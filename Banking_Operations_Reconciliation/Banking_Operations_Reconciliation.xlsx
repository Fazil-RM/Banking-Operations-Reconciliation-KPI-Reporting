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Banking_Operations_Reconciliation\"/>
    </mc:Choice>
  </mc:AlternateContent>
  <xr:revisionPtr revIDLastSave="0" documentId="13_ncr:1_{C08B6AD8-91CB-4BD6-B849-319F44629909}" xr6:coauthVersionLast="47" xr6:coauthVersionMax="47" xr10:uidLastSave="{00000000-0000-0000-0000-000000000000}"/>
  <bookViews>
    <workbookView xWindow="-120" yWindow="-120" windowWidth="20730" windowHeight="11040" firstSheet="11" activeTab="15" xr2:uid="{80C0361A-400C-4EDE-AAD5-B2E71C201AB7}"/>
  </bookViews>
  <sheets>
    <sheet name="Processor_Transactions" sheetId="9" r:id="rId1"/>
    <sheet name="Bank__Data" sheetId="10" r:id="rId2"/>
    <sheet name="Data_Quality_Exceptions" sheetId="19" r:id="rId3"/>
    <sheet name="Transaction_Exceptions" sheetId="18" r:id="rId4"/>
    <sheet name="Currency_Exceptions" sheetId="17" r:id="rId5"/>
    <sheet name="Amount_Exceptions" sheetId="16" r:id="rId6"/>
    <sheet name="Settlement_Exceptions" sheetId="15" r:id="rId7"/>
    <sheet name="Processor_Bank_Reconciliation" sheetId="14" r:id="rId8"/>
    <sheet name="Bank_Batch_Summary" sheetId="13" r:id="rId9"/>
    <sheet name="Processor_Batch_Summary" sheetId="12" r:id="rId10"/>
    <sheet name="Recon_Internal_Processor" sheetId="11" r:id="rId11"/>
    <sheet name="Internal__Data" sheetId="8" r:id="rId12"/>
    <sheet name="Project_Overview" sheetId="1" r:id="rId13"/>
    <sheet name="Reconciliation" sheetId="5" r:id="rId14"/>
    <sheet name="Exception_Log" sheetId="6" r:id="rId15"/>
    <sheet name="KPI_Dashboard" sheetId="7" r:id="rId16"/>
  </sheets>
  <definedNames>
    <definedName name="ExternalData_1" localSheetId="11" hidden="1">Internal__Data!$A$1:$H$1011</definedName>
    <definedName name="ExternalData_10" localSheetId="2" hidden="1">Data_Quality_Exceptions!$A$1:$L$1076</definedName>
    <definedName name="ExternalData_2" localSheetId="1" hidden="1">Bank__Data!$A$1:$G$220</definedName>
    <definedName name="ExternalData_2" localSheetId="0" hidden="1">Processor_Transactions!$A$1:$K$1076</definedName>
    <definedName name="ExternalData_2" localSheetId="10" hidden="1">Recon_Internal_Processor!$A$1:$T$1081</definedName>
    <definedName name="ExternalData_3" localSheetId="9" hidden="1">Processor_Batch_Summary!$A$1:$F$220</definedName>
    <definedName name="ExternalData_4" localSheetId="8" hidden="1">Bank_Batch_Summary!$A$1:$D$210</definedName>
    <definedName name="ExternalData_5" localSheetId="7" hidden="1">Processor_Bank_Reconciliation!$A$1:$I$220</definedName>
    <definedName name="ExternalData_6" localSheetId="6" hidden="1">Settlement_Exceptions!$A$1:$I$63</definedName>
    <definedName name="ExternalData_7" localSheetId="5" hidden="1">Amount_Exceptions!$A$1:$T$61</definedName>
    <definedName name="ExternalData_8" localSheetId="4" hidden="1">'Currency_Exceptions'!$A$1:$T$11</definedName>
    <definedName name="ExternalData_9" localSheetId="3" hidden="1">Transaction_Exceptions!$A$1:$T$71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C6" i="5"/>
  <c r="C5" i="5"/>
  <c r="B14" i="6"/>
  <c r="B15" i="6"/>
  <c r="B16" i="6"/>
  <c r="B17" i="6"/>
  <c r="K11" i="7"/>
  <c r="K15" i="7"/>
  <c r="N11" i="7"/>
  <c r="N3" i="7"/>
  <c r="N5" i="7"/>
  <c r="N4" i="7"/>
  <c r="M11" i="7"/>
  <c r="L7" i="7" s="1"/>
  <c r="L11" i="7"/>
  <c r="L6" i="7" s="1"/>
  <c r="L5" i="7"/>
  <c r="N15" i="7"/>
  <c r="L4" i="7" s="1"/>
  <c r="L15" i="7"/>
  <c r="L3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91D6F7-FD82-40E7-B391-F52A43177BC0}" keepAlive="1" name="Query - Amount_Exceptions" description="Connection to the 'Amount_Exceptions' query in the workbook." type="5" refreshedVersion="8" background="1" saveData="1">
    <dbPr connection="Provider=Microsoft.Mashup.OleDb.1;Data Source=$Workbook$;Location=Amount_Exceptions;Extended Properties=&quot;&quot;" command="SELECT * FROM [Amount_Exceptions]"/>
  </connection>
  <connection id="2" xr16:uid="{26E1653F-612E-4CDA-A43C-651FC239E065}" keepAlive="1" name="Query - Bank_Batch_Summary" description="Connection to the 'Bank_Batch_Summary' query in the workbook." type="5" refreshedVersion="8" background="1" saveData="1">
    <dbPr connection="Provider=Microsoft.Mashup.OleDb.1;Data Source=$Workbook$;Location=Bank_Batch_Summary;Extended Properties=&quot;&quot;" command="SELECT * FROM [Bank_Batch_Summary]"/>
  </connection>
  <connection id="3" xr16:uid="{35147775-4775-4882-A0FB-D7E8C388D6A7}" keepAlive="1" name="Query - Bank_Settlements" description="Connection to the 'Bank_Settlements' query in the workbook." type="5" refreshedVersion="8" background="1" saveData="1">
    <dbPr connection="Provider=Microsoft.Mashup.OleDb.1;Data Source=$Workbook$;Location=Bank_Settlements;Extended Properties=&quot;&quot;" command="SELECT * FROM [Bank_Settlements]"/>
  </connection>
  <connection id="4" xr16:uid="{3B02516B-8B49-451A-B645-82FA23C3AB06}" keepAlive="1" name="Query - Currency_Exceptions" description="Connection to the 'Currency_Exceptions' query in the workbook." type="5" refreshedVersion="8" background="1" saveData="1">
    <dbPr connection="Provider=Microsoft.Mashup.OleDb.1;Data Source=$Workbook$;Location=Currency_Exceptions;Extended Properties=&quot;&quot;" command="SELECT * FROM [Currency_Exceptions]"/>
  </connection>
  <connection id="5" xr16:uid="{25445825-CCA6-4D62-9414-344D78B0871E}" keepAlive="1" name="Query - Data_Quality_Exceptions" description="Connection to the 'Data_Quality_Exceptions' query in the workbook." type="5" refreshedVersion="8" background="1" saveData="1">
    <dbPr connection="Provider=Microsoft.Mashup.OleDb.1;Data Source=$Workbook$;Location=Data_Quality_Exceptions;Extended Properties=&quot;&quot;" command="SELECT * FROM [Data_Quality_Exceptions]"/>
  </connection>
  <connection id="6" xr16:uid="{6B38861F-9766-45FE-A4E1-AE0526A05D9D}" keepAlive="1" name="Query - Internal_Transactions" description="Connection to the 'Internal_Transactions' query in the workbook." type="5" refreshedVersion="8" background="1" saveData="1">
    <dbPr connection="Provider=Microsoft.Mashup.OleDb.1;Data Source=$Workbook$;Location=Internal_Transactions;Extended Properties=&quot;&quot;" command="SELECT * FROM [Internal_Transactions]"/>
  </connection>
  <connection id="7" xr16:uid="{D700127F-2929-4D25-97C6-6143DC4DC92B}" keepAlive="1" name="Query - Processor_Bank_Reconciliation" description="Connection to the 'Processor_Bank_Reconciliation' query in the workbook." type="5" refreshedVersion="8" background="1" saveData="1">
    <dbPr connection="Provider=Microsoft.Mashup.OleDb.1;Data Source=$Workbook$;Location=Processor_Bank_Reconciliation;Extended Properties=&quot;&quot;" command="SELECT * FROM [Processor_Bank_Reconciliation]"/>
  </connection>
  <connection id="8" xr16:uid="{61A9BDBB-D226-46C8-AD93-DA4B7897967B}" keepAlive="1" name="Query - Processor_Batch_Summary" description="Connection to the 'Processor_Batch_Summary' query in the workbook." type="5" refreshedVersion="8" background="1" saveData="1">
    <dbPr connection="Provider=Microsoft.Mashup.OleDb.1;Data Source=$Workbook$;Location=Processor_Batch_Summary;Extended Properties=&quot;&quot;" command="SELECT * FROM [Processor_Batch_Summary]"/>
  </connection>
  <connection id="9" xr16:uid="{C1495AD0-7CA7-4490-8F7D-E60E378322F6}" keepAlive="1" name="Query - Processor_Transactions" description="Connection to the 'Processor_Transactions' query in the workbook." type="5" refreshedVersion="8" background="1" saveData="1">
    <dbPr connection="Provider=Microsoft.Mashup.OleDb.1;Data Source=$Workbook$;Location=Processor_Transactions;Extended Properties=&quot;&quot;" command="SELECT * FROM [Processor_Transactions]"/>
  </connection>
  <connection id="10" xr16:uid="{B84F446A-2692-4F3A-91A8-32E7F525336B}" keepAlive="1" name="Query - Recon_Internal_Processor" description="Connection to the 'Recon_Internal_Processor' query in the workbook." type="5" refreshedVersion="8" background="1" saveData="1">
    <dbPr connection="Provider=Microsoft.Mashup.OleDb.1;Data Source=$Workbook$;Location=Recon_Internal_Processor;Extended Properties=&quot;&quot;" command="SELECT * FROM [Recon_Internal_Processor]"/>
  </connection>
  <connection id="11" xr16:uid="{BBE1A5BD-6B83-4A72-BA3A-7237B1F688A0}" keepAlive="1" name="Query - Settlement_Exceptions" description="Connection to the 'Settlement_Exceptions' query in the workbook." type="5" refreshedVersion="8" background="1" saveData="1">
    <dbPr connection="Provider=Microsoft.Mashup.OleDb.1;Data Source=$Workbook$;Location=Settlement_Exceptions;Extended Properties=&quot;&quot;" command="SELECT * FROM [Settlement_Exceptions]"/>
  </connection>
  <connection id="12" xr16:uid="{3761A806-4677-4A9D-B06F-4F98C24BF48A}" keepAlive="1" name="Query - Transaction_Exceptions" description="Connection to the 'Transaction_Exceptions' query in the workbook." type="5" refreshedVersion="8" background="1" saveData="1">
    <dbPr connection="Provider=Microsoft.Mashup.OleDb.1;Data Source=$Workbook$;Location=Transaction_Exceptions;Extended Properties=&quot;&quot;" command="SELECT * FROM [Transaction_Exceptions]"/>
  </connection>
</connections>
</file>

<file path=xl/sharedStrings.xml><?xml version="1.0" encoding="utf-8"?>
<sst xmlns="http://schemas.openxmlformats.org/spreadsheetml/2006/main" count="38981" uniqueCount="5044">
  <si>
    <t>Banking Operations Reconciliation &amp; KPI Reporting</t>
  </si>
  <si>
    <t>Project Objective</t>
  </si>
  <si>
    <t>Reconcile internal payment records with processor and bank settlement records.</t>
  </si>
  <si>
    <t>Tools Used</t>
  </si>
  <si>
    <t>Microsoft Excel 365, Power Query, PivotTables and Charts</t>
  </si>
  <si>
    <t>Dataset</t>
  </si>
  <si>
    <t>ReconRiver Synthetic Reconciliation — Mixed Exceptions</t>
  </si>
  <si>
    <t>Key Deliverables</t>
  </si>
  <si>
    <t>Data Cleaning, Reconciliation, Exception Log and KPI Dashboard</t>
  </si>
  <si>
    <t>internal_payment_id</t>
  </si>
  <si>
    <t>merchant_order_id</t>
  </si>
  <si>
    <t>occurred_at</t>
  </si>
  <si>
    <t>gross_amount</t>
  </si>
  <si>
    <t>currency</t>
  </si>
  <si>
    <t>payment_status</t>
  </si>
  <si>
    <t>payment_method</t>
  </si>
  <si>
    <t>synthetic_customer_reference</t>
  </si>
  <si>
    <t>SYNTH-INT-000001</t>
  </si>
  <si>
    <t>SYNTH-ORDER-000001</t>
  </si>
  <si>
    <t>GBP</t>
  </si>
  <si>
    <t>CAPTURED</t>
  </si>
  <si>
    <t>WALLET_SYNTHETIC</t>
  </si>
  <si>
    <t>SYNTH-CUSTOMER-000001</t>
  </si>
  <si>
    <t>SYNTH-INT-000002</t>
  </si>
  <si>
    <t>SYNTH-ORDER-000002</t>
  </si>
  <si>
    <t>USD</t>
  </si>
  <si>
    <t>TRANSFER_SYNTHETIC</t>
  </si>
  <si>
    <t>SYNTH-CUSTOMER-000002</t>
  </si>
  <si>
    <t>SYNTH-INT-000003</t>
  </si>
  <si>
    <t>SYNTH-ORDER-000003</t>
  </si>
  <si>
    <t>CARD_SYNTHETIC</t>
  </si>
  <si>
    <t>SYNTH-CUSTOMER-000003</t>
  </si>
  <si>
    <t>SYNTH-INT-000004</t>
  </si>
  <si>
    <t>SYNTH-ORDER-000004</t>
  </si>
  <si>
    <t>SYNTH-CUSTOMER-000004</t>
  </si>
  <si>
    <t>SYNTH-INT-000005</t>
  </si>
  <si>
    <t>SYNTH-ORDER-000005</t>
  </si>
  <si>
    <t>SYNTH-CUSTOMER-000005</t>
  </si>
  <si>
    <t>SYNTH-INT-000006</t>
  </si>
  <si>
    <t>SYNTH-ORDER-000006</t>
  </si>
  <si>
    <t>SYNTH-CUSTOMER-000006</t>
  </si>
  <si>
    <t>SYNTH-INT-000007</t>
  </si>
  <si>
    <t>SYNTH-ORDER-000007</t>
  </si>
  <si>
    <t>SYNTH-CUSTOMER-000007</t>
  </si>
  <si>
    <t>SYNTH-INT-000008</t>
  </si>
  <si>
    <t>SYNTH-ORDER-000008</t>
  </si>
  <si>
    <t>SYNTH-CUSTOMER-000008</t>
  </si>
  <si>
    <t>SYNTH-INT-000009</t>
  </si>
  <si>
    <t>SYNTH-ORDER-000009</t>
  </si>
  <si>
    <t>SYNTH-CUSTOMER-000009</t>
  </si>
  <si>
    <t>SYNTH-INT-000010</t>
  </si>
  <si>
    <t>SYNTH-ORDER-000010</t>
  </si>
  <si>
    <t>EUR</t>
  </si>
  <si>
    <t>SYNTH-CUSTOMER-000010</t>
  </si>
  <si>
    <t>SYNTH-INT-000011</t>
  </si>
  <si>
    <t>SYNTH-ORDER-000011</t>
  </si>
  <si>
    <t>SYNTH-CUSTOMER-000011</t>
  </si>
  <si>
    <t>SYNTH-INT-000012</t>
  </si>
  <si>
    <t>SYNTH-ORDER-000012</t>
  </si>
  <si>
    <t>SYNTH-CUSTOMER-000012</t>
  </si>
  <si>
    <t>SYNTH-INT-000013</t>
  </si>
  <si>
    <t>SYNTH-ORDER-000013</t>
  </si>
  <si>
    <t>SYNTH-CUSTOMER-000013</t>
  </si>
  <si>
    <t>SYNTH-INT-000014</t>
  </si>
  <si>
    <t>SYNTH-ORDER-000014</t>
  </si>
  <si>
    <t>SYNTH-CUSTOMER-000014</t>
  </si>
  <si>
    <t>SYNTH-INT-000015</t>
  </si>
  <si>
    <t>SYNTH-ORDER-000015</t>
  </si>
  <si>
    <t>SYNTH-CUSTOMER-000015</t>
  </si>
  <si>
    <t>SYNTH-INT-000016</t>
  </si>
  <si>
    <t>SYNTH-ORDER-000016</t>
  </si>
  <si>
    <t>SYNTH-CUSTOMER-000016</t>
  </si>
  <si>
    <t>SYNTH-INT-000017</t>
  </si>
  <si>
    <t>SYNTH-ORDER-000017</t>
  </si>
  <si>
    <t>SYNTH-CUSTOMER-000017</t>
  </si>
  <si>
    <t>SYNTH-INT-000018</t>
  </si>
  <si>
    <t>SYNTH-ORDER-000018</t>
  </si>
  <si>
    <t>SYNTH-CUSTOMER-000018</t>
  </si>
  <si>
    <t>SYNTH-INT-000019</t>
  </si>
  <si>
    <t>SYNTH-ORDER-000019</t>
  </si>
  <si>
    <t>SYNTH-CUSTOMER-000019</t>
  </si>
  <si>
    <t>SYNTH-INT-000020</t>
  </si>
  <si>
    <t>SYNTH-ORDER-000020</t>
  </si>
  <si>
    <t>SYNTH-CUSTOMER-000020</t>
  </si>
  <si>
    <t>SYNTH-INT-000021</t>
  </si>
  <si>
    <t>SYNTH-ORDER-000021</t>
  </si>
  <si>
    <t>SYNTH-CUSTOMER-000021</t>
  </si>
  <si>
    <t>SYNTH-INT-000022</t>
  </si>
  <si>
    <t>SYNTH-ORDER-000022</t>
  </si>
  <si>
    <t>SYNTH-CUSTOMER-000022</t>
  </si>
  <si>
    <t>SYNTH-INT-000023</t>
  </si>
  <si>
    <t>SYNTH-ORDER-000023</t>
  </si>
  <si>
    <t>PARTIALLY_REFUNDED</t>
  </si>
  <si>
    <t>SYNTH-CUSTOMER-000023</t>
  </si>
  <si>
    <t>SYNTH-INT-000024</t>
  </si>
  <si>
    <t>SYNTH-ORDER-000024</t>
  </si>
  <si>
    <t>SYNTH-CUSTOMER-000024</t>
  </si>
  <si>
    <t>SYNTH-INT-000025</t>
  </si>
  <si>
    <t>SYNTH-ORDER-000025</t>
  </si>
  <si>
    <t>SYNTH-CUSTOMER-000025</t>
  </si>
  <si>
    <t>SYNTH-INT-000026</t>
  </si>
  <si>
    <t>SYNTH-ORDER-000026</t>
  </si>
  <si>
    <t>SYNTH-CUSTOMER-000026</t>
  </si>
  <si>
    <t>SYNTH-INT-000027</t>
  </si>
  <si>
    <t>SYNTH-ORDER-000027</t>
  </si>
  <si>
    <t>SYNTH-CUSTOMER-000027</t>
  </si>
  <si>
    <t>SYNTH-INT-000028</t>
  </si>
  <si>
    <t>SYNTH-ORDER-000028</t>
  </si>
  <si>
    <t>SYNTH-CUSTOMER-000028</t>
  </si>
  <si>
    <t>SYNTH-INT-000029</t>
  </si>
  <si>
    <t>SYNTH-ORDER-000029</t>
  </si>
  <si>
    <t>SYNTH-CUSTOMER-000029</t>
  </si>
  <si>
    <t>SYNTH-INT-000030</t>
  </si>
  <si>
    <t>SYNTH-ORDER-000030</t>
  </si>
  <si>
    <t>SYNTH-CUSTOMER-000030</t>
  </si>
  <si>
    <t>SYNTH-INT-000031</t>
  </si>
  <si>
    <t>SYNTH-ORDER-000031</t>
  </si>
  <si>
    <t>SYNTH-CUSTOMER-000031</t>
  </si>
  <si>
    <t>SYNTH-INT-000032</t>
  </si>
  <si>
    <t>SYNTH-ORDER-000032</t>
  </si>
  <si>
    <t>SYNTH-CUSTOMER-000032</t>
  </si>
  <si>
    <t>SYNTH-INT-000033</t>
  </si>
  <si>
    <t>SYNTH-ORDER-000033</t>
  </si>
  <si>
    <t>SYNTH-CUSTOMER-000033</t>
  </si>
  <si>
    <t>SYNTH-INT-000034</t>
  </si>
  <si>
    <t>SYNTH-ORDER-000034</t>
  </si>
  <si>
    <t>SYNTH-CUSTOMER-000034</t>
  </si>
  <si>
    <t>SYNTH-INT-000035</t>
  </si>
  <si>
    <t>SYNTH-ORDER-000035</t>
  </si>
  <si>
    <t>SYNTH-CUSTOMER-000035</t>
  </si>
  <si>
    <t>SYNTH-INT-000036</t>
  </si>
  <si>
    <t>SYNTH-ORDER-000036</t>
  </si>
  <si>
    <t>SYNTH-CUSTOMER-000036</t>
  </si>
  <si>
    <t>SYNTH-INT-000037</t>
  </si>
  <si>
    <t>SYNTH-ORDER-000037</t>
  </si>
  <si>
    <t>SYNTH-CUSTOMER-000037</t>
  </si>
  <si>
    <t>SYNTH-INT-000038</t>
  </si>
  <si>
    <t>SYNTH-ORDER-000038</t>
  </si>
  <si>
    <t>SYNTH-CUSTOMER-000038</t>
  </si>
  <si>
    <t>SYNTH-INT-000039</t>
  </si>
  <si>
    <t>SYNTH-ORDER-000039</t>
  </si>
  <si>
    <t>SYNTH-CUSTOMER-000039</t>
  </si>
  <si>
    <t>SYNTH-INT-000040</t>
  </si>
  <si>
    <t>SYNTH-ORDER-000040</t>
  </si>
  <si>
    <t>SYNTH-CUSTOMER-000040</t>
  </si>
  <si>
    <t>SYNTH-INT-000041</t>
  </si>
  <si>
    <t>SYNTH-ORDER-000041</t>
  </si>
  <si>
    <t>SYNTH-CUSTOMER-000041</t>
  </si>
  <si>
    <t>SYNTH-INT-000042</t>
  </si>
  <si>
    <t>SYNTH-ORDER-000042</t>
  </si>
  <si>
    <t>SYNTH-CUSTOMER-000042</t>
  </si>
  <si>
    <t>SYNTH-INT-000043</t>
  </si>
  <si>
    <t>SYNTH-ORDER-000043</t>
  </si>
  <si>
    <t>SYNTH-CUSTOMER-000043</t>
  </si>
  <si>
    <t>SYNTH-INT-000044</t>
  </si>
  <si>
    <t>SYNTH-ORDER-000044</t>
  </si>
  <si>
    <t>SYNTH-CUSTOMER-000044</t>
  </si>
  <si>
    <t>SYNTH-INT-000045</t>
  </si>
  <si>
    <t>SYNTH-ORDER-000045</t>
  </si>
  <si>
    <t>SYNTH-CUSTOMER-000045</t>
  </si>
  <si>
    <t>SYNTH-INT-000046</t>
  </si>
  <si>
    <t>SYNTH-ORDER-000046</t>
  </si>
  <si>
    <t>SYNTH-CUSTOMER-000046</t>
  </si>
  <si>
    <t>SYNTH-INT-000047</t>
  </si>
  <si>
    <t>SYNTH-ORDER-000047</t>
  </si>
  <si>
    <t>SYNTH-CUSTOMER-000047</t>
  </si>
  <si>
    <t>SYNTH-INT-000048</t>
  </si>
  <si>
    <t>SYNTH-ORDER-000048</t>
  </si>
  <si>
    <t>SYNTH-CUSTOMER-000048</t>
  </si>
  <si>
    <t>SYNTH-INT-000049</t>
  </si>
  <si>
    <t>SYNTH-ORDER-000049</t>
  </si>
  <si>
    <t>SYNTH-CUSTOMER-000049</t>
  </si>
  <si>
    <t>SYNTH-INT-000050</t>
  </si>
  <si>
    <t>SYNTH-ORDER-000050</t>
  </si>
  <si>
    <t>SYNTH-CUSTOMER-000050</t>
  </si>
  <si>
    <t>SYNTH-INT-000051</t>
  </si>
  <si>
    <t>SYNTH-ORDER-000051</t>
  </si>
  <si>
    <t>SYNTH-CUSTOMER-000051</t>
  </si>
  <si>
    <t>SYNTH-INT-000052</t>
  </si>
  <si>
    <t>SYNTH-ORDER-000052</t>
  </si>
  <si>
    <t>SYNTH-CUSTOMER-000052</t>
  </si>
  <si>
    <t>SYNTH-INT-000053</t>
  </si>
  <si>
    <t>SYNTH-ORDER-000053</t>
  </si>
  <si>
    <t>SYNTH-CUSTOMER-000053</t>
  </si>
  <si>
    <t>SYNTH-INT-000054</t>
  </si>
  <si>
    <t>SYNTH-ORDER-000054</t>
  </si>
  <si>
    <t>SYNTH-CUSTOMER-000054</t>
  </si>
  <si>
    <t>SYNTH-INT-000055</t>
  </si>
  <si>
    <t>SYNTH-ORDER-000055</t>
  </si>
  <si>
    <t>SYNTH-CUSTOMER-000055</t>
  </si>
  <si>
    <t>SYNTH-INT-000056</t>
  </si>
  <si>
    <t>SYNTH-ORDER-000056</t>
  </si>
  <si>
    <t>SYNTH-CUSTOMER-000056</t>
  </si>
  <si>
    <t>SYNTH-INT-000057</t>
  </si>
  <si>
    <t>SYNTH-ORDER-000057</t>
  </si>
  <si>
    <t>SYNTH-CUSTOMER-000057</t>
  </si>
  <si>
    <t>SYNTH-INT-000058</t>
  </si>
  <si>
    <t>SYNTH-ORDER-000058</t>
  </si>
  <si>
    <t>SYNTH-CUSTOMER-000058</t>
  </si>
  <si>
    <t>SYNTH-INT-000059</t>
  </si>
  <si>
    <t>SYNTH-ORDER-000059</t>
  </si>
  <si>
    <t>SYNTH-CUSTOMER-000059</t>
  </si>
  <si>
    <t>SYNTH-INT-000060</t>
  </si>
  <si>
    <t>SYNTH-ORDER-000060</t>
  </si>
  <si>
    <t>SYNTH-CUSTOMER-000060</t>
  </si>
  <si>
    <t>SYNTH-INT-000061</t>
  </si>
  <si>
    <t>SYNTH-ORDER-000061</t>
  </si>
  <si>
    <t>SYNTH-CUSTOMER-000061</t>
  </si>
  <si>
    <t>SYNTH-INT-000062</t>
  </si>
  <si>
    <t>SYNTH-ORDER-000062</t>
  </si>
  <si>
    <t>SYNTH-CUSTOMER-000062</t>
  </si>
  <si>
    <t>SYNTH-INT-000063</t>
  </si>
  <si>
    <t>SYNTH-ORDER-000063</t>
  </si>
  <si>
    <t>SYNTH-CUSTOMER-000063</t>
  </si>
  <si>
    <t>SYNTH-INT-000064</t>
  </si>
  <si>
    <t>SYNTH-ORDER-000064</t>
  </si>
  <si>
    <t>SYNTH-CUSTOMER-000064</t>
  </si>
  <si>
    <t>SYNTH-INT-000065</t>
  </si>
  <si>
    <t>SYNTH-ORDER-000065</t>
  </si>
  <si>
    <t>SYNTH-CUSTOMER-000065</t>
  </si>
  <si>
    <t>SYNTH-INT-000066</t>
  </si>
  <si>
    <t>SYNTH-ORDER-000066</t>
  </si>
  <si>
    <t>SYNTH-CUSTOMER-000066</t>
  </si>
  <si>
    <t>SYNTH-INT-000067</t>
  </si>
  <si>
    <t>SYNTH-ORDER-000067</t>
  </si>
  <si>
    <t>SYNTH-CUSTOMER-000067</t>
  </si>
  <si>
    <t>SYNTH-INT-000068</t>
  </si>
  <si>
    <t>SYNTH-ORDER-000068</t>
  </si>
  <si>
    <t>SYNTH-CUSTOMER-000068</t>
  </si>
  <si>
    <t>SYNTH-INT-000069</t>
  </si>
  <si>
    <t>SYNTH-ORDER-000069</t>
  </si>
  <si>
    <t>SYNTH-CUSTOMER-000069</t>
  </si>
  <si>
    <t>SYNTH-INT-000070</t>
  </si>
  <si>
    <t>SYNTH-ORDER-000070</t>
  </si>
  <si>
    <t>SYNTH-CUSTOMER-000070</t>
  </si>
  <si>
    <t>SYNTH-INT-000071</t>
  </si>
  <si>
    <t>SYNTH-ORDER-000071</t>
  </si>
  <si>
    <t>SYNTH-CUSTOMER-000071</t>
  </si>
  <si>
    <t>SYNTH-INT-000072</t>
  </si>
  <si>
    <t>SYNTH-ORDER-000072</t>
  </si>
  <si>
    <t>SYNTH-CUSTOMER-000072</t>
  </si>
  <si>
    <t>SYNTH-INT-000073</t>
  </si>
  <si>
    <t>SYNTH-ORDER-000073</t>
  </si>
  <si>
    <t>SYNTH-CUSTOMER-000073</t>
  </si>
  <si>
    <t>SYNTH-INT-000074</t>
  </si>
  <si>
    <t>SYNTH-ORDER-000074</t>
  </si>
  <si>
    <t>SYNTH-CUSTOMER-000074</t>
  </si>
  <si>
    <t>SYNTH-INT-000075</t>
  </si>
  <si>
    <t>SYNTH-ORDER-000075</t>
  </si>
  <si>
    <t>SYNTH-CUSTOMER-000075</t>
  </si>
  <si>
    <t>SYNTH-INT-000076</t>
  </si>
  <si>
    <t>SYNTH-ORDER-000076</t>
  </si>
  <si>
    <t>SYNTH-CUSTOMER-000076</t>
  </si>
  <si>
    <t>SYNTH-INT-000077</t>
  </si>
  <si>
    <t>SYNTH-ORDER-000077</t>
  </si>
  <si>
    <t>SYNTH-CUSTOMER-000077</t>
  </si>
  <si>
    <t>SYNTH-INT-000078</t>
  </si>
  <si>
    <t>SYNTH-ORDER-000078</t>
  </si>
  <si>
    <t>SYNTH-CUSTOMER-000078</t>
  </si>
  <si>
    <t>SYNTH-INT-000079</t>
  </si>
  <si>
    <t>SYNTH-ORDER-000079</t>
  </si>
  <si>
    <t>SYNTH-CUSTOMER-000079</t>
  </si>
  <si>
    <t>SYNTH-INT-000080</t>
  </si>
  <si>
    <t>SYNTH-ORDER-000080</t>
  </si>
  <si>
    <t>SYNTH-CUSTOMER-000080</t>
  </si>
  <si>
    <t>SYNTH-INT-000081</t>
  </si>
  <si>
    <t>SYNTH-ORDER-000081</t>
  </si>
  <si>
    <t>SYNTH-CUSTOMER-000081</t>
  </si>
  <si>
    <t>SYNTH-INT-000082</t>
  </si>
  <si>
    <t>SYNTH-ORDER-000082</t>
  </si>
  <si>
    <t>SYNTH-CUSTOMER-000082</t>
  </si>
  <si>
    <t>SYNTH-INT-000083</t>
  </si>
  <si>
    <t>SYNTH-ORDER-000083</t>
  </si>
  <si>
    <t>SYNTH-CUSTOMER-000083</t>
  </si>
  <si>
    <t>SYNTH-INT-000084</t>
  </si>
  <si>
    <t>SYNTH-ORDER-000084</t>
  </si>
  <si>
    <t>SYNTH-CUSTOMER-000084</t>
  </si>
  <si>
    <t>SYNTH-INT-000085</t>
  </si>
  <si>
    <t>SYNTH-ORDER-000085</t>
  </si>
  <si>
    <t>SYNTH-CUSTOMER-000085</t>
  </si>
  <si>
    <t>SYNTH-INT-000086</t>
  </si>
  <si>
    <t>SYNTH-ORDER-000086</t>
  </si>
  <si>
    <t>SYNTH-CUSTOMER-000086</t>
  </si>
  <si>
    <t>SYNTH-INT-000087</t>
  </si>
  <si>
    <t>SYNTH-ORDER-000087</t>
  </si>
  <si>
    <t>SYNTH-CUSTOMER-000087</t>
  </si>
  <si>
    <t>SYNTH-INT-000088</t>
  </si>
  <si>
    <t>SYNTH-ORDER-000088</t>
  </si>
  <si>
    <t>SYNTH-CUSTOMER-000088</t>
  </si>
  <si>
    <t>SYNTH-INT-000089</t>
  </si>
  <si>
    <t>SYNTH-ORDER-000089</t>
  </si>
  <si>
    <t>SYNTH-CUSTOMER-000089</t>
  </si>
  <si>
    <t>SYNTH-INT-000090</t>
  </si>
  <si>
    <t>SYNTH-ORDER-000090</t>
  </si>
  <si>
    <t>SYNTH-CUSTOMER-000090</t>
  </si>
  <si>
    <t>SYNTH-INT-000091</t>
  </si>
  <si>
    <t>SYNTH-ORDER-000091</t>
  </si>
  <si>
    <t>SYNTH-CUSTOMER-000091</t>
  </si>
  <si>
    <t>SYNTH-INT-000092</t>
  </si>
  <si>
    <t>SYNTH-ORDER-000092</t>
  </si>
  <si>
    <t>SYNTH-CUSTOMER-000092</t>
  </si>
  <si>
    <t>SYNTH-INT-000093</t>
  </si>
  <si>
    <t>SYNTH-ORDER-000093</t>
  </si>
  <si>
    <t>SYNTH-CUSTOMER-000093</t>
  </si>
  <si>
    <t>SYNTH-INT-000094</t>
  </si>
  <si>
    <t>SYNTH-ORDER-000094</t>
  </si>
  <si>
    <t>SYNTH-CUSTOMER-000094</t>
  </si>
  <si>
    <t>SYNTH-INT-000095</t>
  </si>
  <si>
    <t>SYNTH-ORDER-000095</t>
  </si>
  <si>
    <t>SYNTH-CUSTOMER-000095</t>
  </si>
  <si>
    <t>SYNTH-INT-000096</t>
  </si>
  <si>
    <t>SYNTH-ORDER-000096</t>
  </si>
  <si>
    <t>SYNTH-CUSTOMER-000096</t>
  </si>
  <si>
    <t>SYNTH-INT-000097</t>
  </si>
  <si>
    <t>SYNTH-ORDER-000097</t>
  </si>
  <si>
    <t>SYNTH-CUSTOMER-000097</t>
  </si>
  <si>
    <t>SYNTH-INT-000098</t>
  </si>
  <si>
    <t>SYNTH-ORDER-000098</t>
  </si>
  <si>
    <t>SYNTH-CUSTOMER-000098</t>
  </si>
  <si>
    <t>SYNTH-INT-000099</t>
  </si>
  <si>
    <t>SYNTH-ORDER-000099</t>
  </si>
  <si>
    <t>SYNTH-CUSTOMER-000099</t>
  </si>
  <si>
    <t>SYNTH-INT-000100</t>
  </si>
  <si>
    <t>SYNTH-ORDER-000100</t>
  </si>
  <si>
    <t>SYNTH-CUSTOMER-000100</t>
  </si>
  <si>
    <t>SYNTH-INT-000101</t>
  </si>
  <si>
    <t>SYNTH-ORDER-000101</t>
  </si>
  <si>
    <t>SYNTH-CUSTOMER-000101</t>
  </si>
  <si>
    <t>SYNTH-INT-000102</t>
  </si>
  <si>
    <t>SYNTH-ORDER-000102</t>
  </si>
  <si>
    <t>SYNTH-CUSTOMER-000102</t>
  </si>
  <si>
    <t>SYNTH-INT-000103</t>
  </si>
  <si>
    <t>SYNTH-ORDER-000103</t>
  </si>
  <si>
    <t>SYNTH-CUSTOMER-000103</t>
  </si>
  <si>
    <t>SYNTH-INT-000104</t>
  </si>
  <si>
    <t>SYNTH-ORDER-000104</t>
  </si>
  <si>
    <t>SYNTH-CUSTOMER-000104</t>
  </si>
  <si>
    <t>SYNTH-INT-000105</t>
  </si>
  <si>
    <t>SYNTH-ORDER-000105</t>
  </si>
  <si>
    <t>SYNTH-CUSTOMER-000105</t>
  </si>
  <si>
    <t>SYNTH-INT-000106</t>
  </si>
  <si>
    <t>SYNTH-ORDER-000106</t>
  </si>
  <si>
    <t>SYNTH-CUSTOMER-000106</t>
  </si>
  <si>
    <t>SYNTH-INT-000107</t>
  </si>
  <si>
    <t>SYNTH-ORDER-000107</t>
  </si>
  <si>
    <t>SYNTH-CUSTOMER-000107</t>
  </si>
  <si>
    <t>SYNTH-INT-000108</t>
  </si>
  <si>
    <t>SYNTH-ORDER-000108</t>
  </si>
  <si>
    <t>SYNTH-CUSTOMER-000108</t>
  </si>
  <si>
    <t>SYNTH-INT-000109</t>
  </si>
  <si>
    <t>SYNTH-ORDER-000109</t>
  </si>
  <si>
    <t>SYNTH-CUSTOMER-000109</t>
  </si>
  <si>
    <t>SYNTH-INT-000110</t>
  </si>
  <si>
    <t>SYNTH-ORDER-000110</t>
  </si>
  <si>
    <t>SYNTH-CUSTOMER-000110</t>
  </si>
  <si>
    <t>SYNTH-INT-000111</t>
  </si>
  <si>
    <t>SYNTH-ORDER-000111</t>
  </si>
  <si>
    <t>SYNTH-CUSTOMER-000111</t>
  </si>
  <si>
    <t>SYNTH-INT-000112</t>
  </si>
  <si>
    <t>SYNTH-ORDER-000112</t>
  </si>
  <si>
    <t>SYNTH-CUSTOMER-000112</t>
  </si>
  <si>
    <t>SYNTH-INT-000113</t>
  </si>
  <si>
    <t>SYNTH-ORDER-000113</t>
  </si>
  <si>
    <t>SYNTH-CUSTOMER-000113</t>
  </si>
  <si>
    <t>SYNTH-INT-000114</t>
  </si>
  <si>
    <t>SYNTH-ORDER-000114</t>
  </si>
  <si>
    <t>SYNTH-CUSTOMER-000114</t>
  </si>
  <si>
    <t>SYNTH-INT-000115</t>
  </si>
  <si>
    <t>SYNTH-ORDER-000115</t>
  </si>
  <si>
    <t>SYNTH-CUSTOMER-000115</t>
  </si>
  <si>
    <t>SYNTH-INT-000116</t>
  </si>
  <si>
    <t>SYNTH-ORDER-000116</t>
  </si>
  <si>
    <t>SYNTH-CUSTOMER-000116</t>
  </si>
  <si>
    <t>SYNTH-INT-000117</t>
  </si>
  <si>
    <t>SYNTH-ORDER-000117</t>
  </si>
  <si>
    <t>SYNTH-CUSTOMER-000117</t>
  </si>
  <si>
    <t>SYNTH-INT-000118</t>
  </si>
  <si>
    <t>SYNTH-ORDER-000118</t>
  </si>
  <si>
    <t>SYNTH-CUSTOMER-000118</t>
  </si>
  <si>
    <t>SYNTH-INT-000119</t>
  </si>
  <si>
    <t>SYNTH-ORDER-000119</t>
  </si>
  <si>
    <t>SYNTH-CUSTOMER-000119</t>
  </si>
  <si>
    <t>SYNTH-INT-000120</t>
  </si>
  <si>
    <t>SYNTH-ORDER-000120</t>
  </si>
  <si>
    <t>SYNTH-CUSTOMER-000120</t>
  </si>
  <si>
    <t>SYNTH-INT-000121</t>
  </si>
  <si>
    <t>SYNTH-ORDER-000121</t>
  </si>
  <si>
    <t>SYNTH-CUSTOMER-000121</t>
  </si>
  <si>
    <t>SYNTH-INT-000122</t>
  </si>
  <si>
    <t>SYNTH-ORDER-000122</t>
  </si>
  <si>
    <t>SYNTH-CUSTOMER-000122</t>
  </si>
  <si>
    <t>SYNTH-INT-000123</t>
  </si>
  <si>
    <t>SYNTH-ORDER-000123</t>
  </si>
  <si>
    <t>SYNTH-CUSTOMER-000123</t>
  </si>
  <si>
    <t>SYNTH-INT-000124</t>
  </si>
  <si>
    <t>SYNTH-ORDER-000124</t>
  </si>
  <si>
    <t>SYNTH-CUSTOMER-000124</t>
  </si>
  <si>
    <t>SYNTH-INT-000125</t>
  </si>
  <si>
    <t>SYNTH-ORDER-000125</t>
  </si>
  <si>
    <t>SYNTH-CUSTOMER-000125</t>
  </si>
  <si>
    <t>SYNTH-INT-000126</t>
  </si>
  <si>
    <t>SYNTH-ORDER-000126</t>
  </si>
  <si>
    <t>SYNTH-CUSTOMER-000126</t>
  </si>
  <si>
    <t>SYNTH-INT-000127</t>
  </si>
  <si>
    <t>SYNTH-ORDER-000127</t>
  </si>
  <si>
    <t>SYNTH-CUSTOMER-000127</t>
  </si>
  <si>
    <t>SYNTH-INT-000128</t>
  </si>
  <si>
    <t>SYNTH-ORDER-000128</t>
  </si>
  <si>
    <t>SYNTH-CUSTOMER-000128</t>
  </si>
  <si>
    <t>SYNTH-INT-000129</t>
  </si>
  <si>
    <t>SYNTH-ORDER-000129</t>
  </si>
  <si>
    <t>SYNTH-CUSTOMER-000129</t>
  </si>
  <si>
    <t>SYNTH-INT-000130</t>
  </si>
  <si>
    <t>SYNTH-ORDER-000130</t>
  </si>
  <si>
    <t>SYNTH-CUSTOMER-000130</t>
  </si>
  <si>
    <t>SYNTH-INT-000131</t>
  </si>
  <si>
    <t>SYNTH-ORDER-000131</t>
  </si>
  <si>
    <t>SYNTH-CUSTOMER-000131</t>
  </si>
  <si>
    <t>SYNTH-INT-000132</t>
  </si>
  <si>
    <t>SYNTH-ORDER-000132</t>
  </si>
  <si>
    <t>SYNTH-CUSTOMER-000132</t>
  </si>
  <si>
    <t>SYNTH-INT-000133</t>
  </si>
  <si>
    <t>SYNTH-ORDER-000133</t>
  </si>
  <si>
    <t>SYNTH-CUSTOMER-000133</t>
  </si>
  <si>
    <t>SYNTH-INT-000134</t>
  </si>
  <si>
    <t>SYNTH-ORDER-000134</t>
  </si>
  <si>
    <t>SYNTH-CUSTOMER-000134</t>
  </si>
  <si>
    <t>SYNTH-INT-000135</t>
  </si>
  <si>
    <t>SYNTH-ORDER-000135</t>
  </si>
  <si>
    <t>REFUNDED</t>
  </si>
  <si>
    <t>SYNTH-CUSTOMER-000135</t>
  </si>
  <si>
    <t>SYNTH-INT-000136</t>
  </si>
  <si>
    <t>SYNTH-ORDER-000136</t>
  </si>
  <si>
    <t>SYNTH-CUSTOMER-000136</t>
  </si>
  <si>
    <t>SYNTH-INT-000137</t>
  </si>
  <si>
    <t>SYNTH-ORDER-000137</t>
  </si>
  <si>
    <t>SYNTH-CUSTOMER-000137</t>
  </si>
  <si>
    <t>SYNTH-INT-000138</t>
  </si>
  <si>
    <t>SYNTH-ORDER-000138</t>
  </si>
  <si>
    <t>SYNTH-CUSTOMER-000138</t>
  </si>
  <si>
    <t>SYNTH-INT-000139</t>
  </si>
  <si>
    <t>SYNTH-ORDER-000139</t>
  </si>
  <si>
    <t>SYNTH-CUSTOMER-000139</t>
  </si>
  <si>
    <t>SYNTH-INT-000140</t>
  </si>
  <si>
    <t>SYNTH-ORDER-000140</t>
  </si>
  <si>
    <t>SYNTH-CUSTOMER-000140</t>
  </si>
  <si>
    <t>SYNTH-INT-000141</t>
  </si>
  <si>
    <t>SYNTH-ORDER-000141</t>
  </si>
  <si>
    <t>SYNTH-CUSTOMER-000141</t>
  </si>
  <si>
    <t>SYNTH-INT-000142</t>
  </si>
  <si>
    <t>SYNTH-ORDER-000142</t>
  </si>
  <si>
    <t>SYNTH-CUSTOMER-000142</t>
  </si>
  <si>
    <t>SYNTH-INT-000143</t>
  </si>
  <si>
    <t>SYNTH-ORDER-000143</t>
  </si>
  <si>
    <t>SYNTH-CUSTOMER-000143</t>
  </si>
  <si>
    <t>SYNTH-INT-000144</t>
  </si>
  <si>
    <t>SYNTH-ORDER-000144</t>
  </si>
  <si>
    <t>SYNTH-CUSTOMER-000144</t>
  </si>
  <si>
    <t>SYNTH-INT-000145</t>
  </si>
  <si>
    <t>SYNTH-ORDER-000145</t>
  </si>
  <si>
    <t>SYNTH-CUSTOMER-000145</t>
  </si>
  <si>
    <t>SYNTH-INT-000146</t>
  </si>
  <si>
    <t>SYNTH-ORDER-000146</t>
  </si>
  <si>
    <t>SYNTH-CUSTOMER-000146</t>
  </si>
  <si>
    <t>SYNTH-INT-000147</t>
  </si>
  <si>
    <t>SYNTH-ORDER-000147</t>
  </si>
  <si>
    <t>SYNTH-CUSTOMER-000147</t>
  </si>
  <si>
    <t>SYNTH-INT-000148</t>
  </si>
  <si>
    <t>SYNTH-ORDER-000148</t>
  </si>
  <si>
    <t>SYNTH-CUSTOMER-000148</t>
  </si>
  <si>
    <t>SYNTH-INT-000149</t>
  </si>
  <si>
    <t>SYNTH-ORDER-000149</t>
  </si>
  <si>
    <t>SYNTH-CUSTOMER-000149</t>
  </si>
  <si>
    <t>SYNTH-INT-000150</t>
  </si>
  <si>
    <t>SYNTH-ORDER-000150</t>
  </si>
  <si>
    <t>SYNTH-CUSTOMER-000150</t>
  </si>
  <si>
    <t>SYNTH-INT-000151</t>
  </si>
  <si>
    <t>SYNTH-ORDER-000151</t>
  </si>
  <si>
    <t>SYNTH-CUSTOMER-000151</t>
  </si>
  <si>
    <t>SYNTH-INT-000152</t>
  </si>
  <si>
    <t>SYNTH-ORDER-000152</t>
  </si>
  <si>
    <t>SYNTH-CUSTOMER-000152</t>
  </si>
  <si>
    <t>SYNTH-INT-000153</t>
  </si>
  <si>
    <t>SYNTH-ORDER-000153</t>
  </si>
  <si>
    <t>SYNTH-CUSTOMER-000153</t>
  </si>
  <si>
    <t>SYNTH-INT-000154</t>
  </si>
  <si>
    <t>SYNTH-ORDER-000154</t>
  </si>
  <si>
    <t>SYNTH-CUSTOMER-000154</t>
  </si>
  <si>
    <t>SYNTH-INT-000155</t>
  </si>
  <si>
    <t>SYNTH-ORDER-000155</t>
  </si>
  <si>
    <t>SYNTH-CUSTOMER-000155</t>
  </si>
  <si>
    <t>SYNTH-INT-000156</t>
  </si>
  <si>
    <t>SYNTH-ORDER-000156</t>
  </si>
  <si>
    <t>SYNTH-CUSTOMER-000156</t>
  </si>
  <si>
    <t>SYNTH-INT-000157</t>
  </si>
  <si>
    <t>SYNTH-ORDER-000157</t>
  </si>
  <si>
    <t>SYNTH-CUSTOMER-000157</t>
  </si>
  <si>
    <t>SYNTH-INT-000158</t>
  </si>
  <si>
    <t>SYNTH-ORDER-000158</t>
  </si>
  <si>
    <t>SYNTH-CUSTOMER-000158</t>
  </si>
  <si>
    <t>SYNTH-INT-000159</t>
  </si>
  <si>
    <t>SYNTH-ORDER-000159</t>
  </si>
  <si>
    <t>SYNTH-CUSTOMER-000159</t>
  </si>
  <si>
    <t>SYNTH-INT-000160</t>
  </si>
  <si>
    <t>SYNTH-ORDER-000160</t>
  </si>
  <si>
    <t>SYNTH-CUSTOMER-000160</t>
  </si>
  <si>
    <t>SYNTH-INT-000161</t>
  </si>
  <si>
    <t>SYNTH-ORDER-000161</t>
  </si>
  <si>
    <t>SYNTH-CUSTOMER-000161</t>
  </si>
  <si>
    <t>SYNTH-INT-000162</t>
  </si>
  <si>
    <t>SYNTH-ORDER-000162</t>
  </si>
  <si>
    <t>SYNTH-CUSTOMER-000162</t>
  </si>
  <si>
    <t>SYNTH-INT-000163</t>
  </si>
  <si>
    <t>SYNTH-ORDER-000163</t>
  </si>
  <si>
    <t>SYNTH-CUSTOMER-000163</t>
  </si>
  <si>
    <t>SYNTH-INT-000164</t>
  </si>
  <si>
    <t>SYNTH-ORDER-000164</t>
  </si>
  <si>
    <t>SYNTH-CUSTOMER-000164</t>
  </si>
  <si>
    <t>SYNTH-INT-000165</t>
  </si>
  <si>
    <t>SYNTH-ORDER-000165</t>
  </si>
  <si>
    <t>SYNTH-CUSTOMER-000165</t>
  </si>
  <si>
    <t>SYNTH-INT-000166</t>
  </si>
  <si>
    <t>SYNTH-ORDER-000166</t>
  </si>
  <si>
    <t>SYNTH-CUSTOMER-000166</t>
  </si>
  <si>
    <t>SYNTH-INT-000167</t>
  </si>
  <si>
    <t>SYNTH-ORDER-000167</t>
  </si>
  <si>
    <t>SYNTH-CUSTOMER-000167</t>
  </si>
  <si>
    <t>SYNTH-INT-000168</t>
  </si>
  <si>
    <t>SYNTH-ORDER-000168</t>
  </si>
  <si>
    <t>SYNTH-CUSTOMER-000168</t>
  </si>
  <si>
    <t>SYNTH-INT-000169</t>
  </si>
  <si>
    <t>SYNTH-ORDER-000169</t>
  </si>
  <si>
    <t>SYNTH-CUSTOMER-000169</t>
  </si>
  <si>
    <t>SYNTH-INT-000170</t>
  </si>
  <si>
    <t>SYNTH-ORDER-000170</t>
  </si>
  <si>
    <t>SYNTH-CUSTOMER-000170</t>
  </si>
  <si>
    <t>SYNTH-INT-000171</t>
  </si>
  <si>
    <t>SYNTH-ORDER-000171</t>
  </si>
  <si>
    <t>SYNTH-CUSTOMER-000171</t>
  </si>
  <si>
    <t>SYNTH-INT-000172</t>
  </si>
  <si>
    <t>SYNTH-ORDER-000172</t>
  </si>
  <si>
    <t>SYNTH-CUSTOMER-000172</t>
  </si>
  <si>
    <t>SYNTH-INT-000173</t>
  </si>
  <si>
    <t>SYNTH-ORDER-000173</t>
  </si>
  <si>
    <t>SYNTH-CUSTOMER-000173</t>
  </si>
  <si>
    <t>SYNTH-INT-000174</t>
  </si>
  <si>
    <t>SYNTH-ORDER-000174</t>
  </si>
  <si>
    <t>SYNTH-CUSTOMER-000174</t>
  </si>
  <si>
    <t>SYNTH-INT-000175</t>
  </si>
  <si>
    <t>SYNTH-ORDER-000175</t>
  </si>
  <si>
    <t>SYNTH-CUSTOMER-000175</t>
  </si>
  <si>
    <t>SYNTH-INT-000176</t>
  </si>
  <si>
    <t>SYNTH-ORDER-000176</t>
  </si>
  <si>
    <t>SYNTH-CUSTOMER-000176</t>
  </si>
  <si>
    <t>SYNTH-INT-000177</t>
  </si>
  <si>
    <t>SYNTH-ORDER-000177</t>
  </si>
  <si>
    <t>SYNTH-CUSTOMER-000177</t>
  </si>
  <si>
    <t>SYNTH-INT-000178</t>
  </si>
  <si>
    <t>SYNTH-ORDER-000178</t>
  </si>
  <si>
    <t>SYNTH-CUSTOMER-000178</t>
  </si>
  <si>
    <t>SYNTH-INT-000179</t>
  </si>
  <si>
    <t>SYNTH-ORDER-000179</t>
  </si>
  <si>
    <t>SYNTH-CUSTOMER-000179</t>
  </si>
  <si>
    <t>SYNTH-INT-000180</t>
  </si>
  <si>
    <t>SYNTH-ORDER-000180</t>
  </si>
  <si>
    <t>SYNTH-CUSTOMER-000180</t>
  </si>
  <si>
    <t>SYNTH-INT-000181</t>
  </si>
  <si>
    <t>SYNTH-ORDER-000181</t>
  </si>
  <si>
    <t>SYNTH-CUSTOMER-000181</t>
  </si>
  <si>
    <t>SYNTH-INT-000182</t>
  </si>
  <si>
    <t>SYNTH-ORDER-000182</t>
  </si>
  <si>
    <t>SYNTH-CUSTOMER-000182</t>
  </si>
  <si>
    <t>SYNTH-INT-000183</t>
  </si>
  <si>
    <t>SYNTH-ORDER-000183</t>
  </si>
  <si>
    <t>SYNTH-CUSTOMER-000183</t>
  </si>
  <si>
    <t>SYNTH-INT-000184</t>
  </si>
  <si>
    <t>SYNTH-ORDER-000184</t>
  </si>
  <si>
    <t>SYNTH-CUSTOMER-000184</t>
  </si>
  <si>
    <t>SYNTH-INT-000185</t>
  </si>
  <si>
    <t>SYNTH-ORDER-000185</t>
  </si>
  <si>
    <t>SYNTH-CUSTOMER-000185</t>
  </si>
  <si>
    <t>SYNTH-INT-000186</t>
  </si>
  <si>
    <t>SYNTH-ORDER-000186</t>
  </si>
  <si>
    <t>SYNTH-CUSTOMER-000186</t>
  </si>
  <si>
    <t>SYNTH-INT-000187</t>
  </si>
  <si>
    <t>SYNTH-ORDER-000187</t>
  </si>
  <si>
    <t>SYNTH-CUSTOMER-000187</t>
  </si>
  <si>
    <t>SYNTH-INT-000188</t>
  </si>
  <si>
    <t>SYNTH-ORDER-000188</t>
  </si>
  <si>
    <t>SYNTH-CUSTOMER-000188</t>
  </si>
  <si>
    <t>SYNTH-INT-000189</t>
  </si>
  <si>
    <t>SYNTH-ORDER-000189</t>
  </si>
  <si>
    <t>SYNTH-CUSTOMER-000189</t>
  </si>
  <si>
    <t>SYNTH-INT-000190</t>
  </si>
  <si>
    <t>SYNTH-ORDER-000190</t>
  </si>
  <si>
    <t>SYNTH-CUSTOMER-000190</t>
  </si>
  <si>
    <t>SYNTH-INT-000191</t>
  </si>
  <si>
    <t>SYNTH-ORDER-000191</t>
  </si>
  <si>
    <t>SYNTH-CUSTOMER-000191</t>
  </si>
  <si>
    <t>SYNTH-INT-000192</t>
  </si>
  <si>
    <t>SYNTH-ORDER-000192</t>
  </si>
  <si>
    <t>SYNTH-CUSTOMER-000192</t>
  </si>
  <si>
    <t>SYNTH-INT-000193</t>
  </si>
  <si>
    <t>SYNTH-ORDER-000193</t>
  </si>
  <si>
    <t>SYNTH-CUSTOMER-000193</t>
  </si>
  <si>
    <t>SYNTH-INT-000194</t>
  </si>
  <si>
    <t>SYNTH-ORDER-000194</t>
  </si>
  <si>
    <t>SYNTH-CUSTOMER-000194</t>
  </si>
  <si>
    <t>SYNTH-INT-000195</t>
  </si>
  <si>
    <t>SYNTH-ORDER-000195</t>
  </si>
  <si>
    <t>SYNTH-CUSTOMER-000195</t>
  </si>
  <si>
    <t>SYNTH-INT-000196</t>
  </si>
  <si>
    <t>SYNTH-ORDER-000196</t>
  </si>
  <si>
    <t>SYNTH-CUSTOMER-000196</t>
  </si>
  <si>
    <t>SYNTH-INT-000197</t>
  </si>
  <si>
    <t>SYNTH-ORDER-000197</t>
  </si>
  <si>
    <t>SYNTH-CUSTOMER-000197</t>
  </si>
  <si>
    <t>SYNTH-INT-000198</t>
  </si>
  <si>
    <t>SYNTH-ORDER-000198</t>
  </si>
  <si>
    <t>SYNTH-CUSTOMER-000198</t>
  </si>
  <si>
    <t>SYNTH-INT-000199</t>
  </si>
  <si>
    <t>SYNTH-ORDER-000199</t>
  </si>
  <si>
    <t>SYNTH-CUSTOMER-000199</t>
  </si>
  <si>
    <t>SYNTH-INT-000200</t>
  </si>
  <si>
    <t>SYNTH-ORDER-000200</t>
  </si>
  <si>
    <t>SYNTH-CUSTOMER-000200</t>
  </si>
  <si>
    <t>SYNTH-INT-000201</t>
  </si>
  <si>
    <t>SYNTH-ORDER-000201</t>
  </si>
  <si>
    <t>SYNTH-CUSTOMER-000201</t>
  </si>
  <si>
    <t>SYNTH-INT-000202</t>
  </si>
  <si>
    <t>SYNTH-ORDER-000202</t>
  </si>
  <si>
    <t>SYNTH-CUSTOMER-000202</t>
  </si>
  <si>
    <t>SYNTH-INT-000203</t>
  </si>
  <si>
    <t>SYNTH-ORDER-000203</t>
  </si>
  <si>
    <t>SYNTH-CUSTOMER-000203</t>
  </si>
  <si>
    <t>SYNTH-INT-000204</t>
  </si>
  <si>
    <t>SYNTH-ORDER-000204</t>
  </si>
  <si>
    <t>SYNTH-CUSTOMER-000204</t>
  </si>
  <si>
    <t>SYNTH-INT-000205</t>
  </si>
  <si>
    <t>SYNTH-ORDER-000205</t>
  </si>
  <si>
    <t>SYNTH-CUSTOMER-000205</t>
  </si>
  <si>
    <t>SYNTH-INT-000206</t>
  </si>
  <si>
    <t>SYNTH-ORDER-000206</t>
  </si>
  <si>
    <t>SYNTH-CUSTOMER-000206</t>
  </si>
  <si>
    <t>SYNTH-INT-000207</t>
  </si>
  <si>
    <t>SYNTH-ORDER-000207</t>
  </si>
  <si>
    <t>SYNTH-CUSTOMER-000207</t>
  </si>
  <si>
    <t>SYNTH-INT-000208</t>
  </si>
  <si>
    <t>SYNTH-ORDER-000208</t>
  </si>
  <si>
    <t>SYNTH-CUSTOMER-000208</t>
  </si>
  <si>
    <t>SYNTH-INT-000209</t>
  </si>
  <si>
    <t>SYNTH-ORDER-000209</t>
  </si>
  <si>
    <t>SYNTH-CUSTOMER-000209</t>
  </si>
  <si>
    <t>SYNTH-INT-000210</t>
  </si>
  <si>
    <t>SYNTH-ORDER-000210</t>
  </si>
  <si>
    <t>SYNTH-CUSTOMER-000210</t>
  </si>
  <si>
    <t>SYNTH-INT-000211</t>
  </si>
  <si>
    <t>SYNTH-ORDER-000211</t>
  </si>
  <si>
    <t>SYNTH-CUSTOMER-000211</t>
  </si>
  <si>
    <t>SYNTH-INT-000212</t>
  </si>
  <si>
    <t>SYNTH-ORDER-000212</t>
  </si>
  <si>
    <t>SYNTH-CUSTOMER-000212</t>
  </si>
  <si>
    <t>SYNTH-INT-000213</t>
  </si>
  <si>
    <t>SYNTH-ORDER-000213</t>
  </si>
  <si>
    <t>SYNTH-CUSTOMER-000213</t>
  </si>
  <si>
    <t>SYNTH-INT-000214</t>
  </si>
  <si>
    <t>SYNTH-ORDER-000214</t>
  </si>
  <si>
    <t>SYNTH-CUSTOMER-000214</t>
  </si>
  <si>
    <t>SYNTH-INT-000215</t>
  </si>
  <si>
    <t>SYNTH-ORDER-000215</t>
  </si>
  <si>
    <t>SYNTH-CUSTOMER-000215</t>
  </si>
  <si>
    <t>SYNTH-INT-000216</t>
  </si>
  <si>
    <t>SYNTH-ORDER-000216</t>
  </si>
  <si>
    <t>SYNTH-CUSTOMER-000216</t>
  </si>
  <si>
    <t>SYNTH-INT-000217</t>
  </si>
  <si>
    <t>SYNTH-ORDER-000217</t>
  </si>
  <si>
    <t>SYNTH-CUSTOMER-000217</t>
  </si>
  <si>
    <t>SYNTH-INT-000218</t>
  </si>
  <si>
    <t>SYNTH-ORDER-000218</t>
  </si>
  <si>
    <t>SYNTH-CUSTOMER-000218</t>
  </si>
  <si>
    <t>SYNTH-INT-000219</t>
  </si>
  <si>
    <t>SYNTH-ORDER-000219</t>
  </si>
  <si>
    <t>SYNTH-CUSTOMER-000219</t>
  </si>
  <si>
    <t>SYNTH-INT-000220</t>
  </si>
  <si>
    <t>SYNTH-ORDER-000220</t>
  </si>
  <si>
    <t>SYNTH-CUSTOMER-000220</t>
  </si>
  <si>
    <t>SYNTH-INT-000221</t>
  </si>
  <si>
    <t>SYNTH-ORDER-000221</t>
  </si>
  <si>
    <t>SYNTH-CUSTOMER-000221</t>
  </si>
  <si>
    <t>SYNTH-INT-000222</t>
  </si>
  <si>
    <t>SYNTH-ORDER-000222</t>
  </si>
  <si>
    <t>SYNTH-CUSTOMER-000222</t>
  </si>
  <si>
    <t>SYNTH-INT-000223</t>
  </si>
  <si>
    <t>SYNTH-ORDER-000223</t>
  </si>
  <si>
    <t>SYNTH-CUSTOMER-000223</t>
  </si>
  <si>
    <t>SYNTH-INT-000224</t>
  </si>
  <si>
    <t>SYNTH-ORDER-000224</t>
  </si>
  <si>
    <t>SYNTH-CUSTOMER-000224</t>
  </si>
  <si>
    <t>SYNTH-INT-000225</t>
  </si>
  <si>
    <t>SYNTH-ORDER-000225</t>
  </si>
  <si>
    <t>SYNTH-CUSTOMER-000225</t>
  </si>
  <si>
    <t>SYNTH-INT-000226</t>
  </si>
  <si>
    <t>SYNTH-ORDER-000226</t>
  </si>
  <si>
    <t>SYNTH-CUSTOMER-000226</t>
  </si>
  <si>
    <t>SYNTH-INT-000227</t>
  </si>
  <si>
    <t>SYNTH-ORDER-000227</t>
  </si>
  <si>
    <t>SYNTH-CUSTOMER-000227</t>
  </si>
  <si>
    <t>SYNTH-INT-000228</t>
  </si>
  <si>
    <t>SYNTH-ORDER-000228</t>
  </si>
  <si>
    <t>SYNTH-CUSTOMER-000228</t>
  </si>
  <si>
    <t>SYNTH-INT-000229</t>
  </si>
  <si>
    <t>SYNTH-ORDER-000229</t>
  </si>
  <si>
    <t>SYNTH-CUSTOMER-000229</t>
  </si>
  <si>
    <t>SYNTH-INT-000230</t>
  </si>
  <si>
    <t>SYNTH-ORDER-000230</t>
  </si>
  <si>
    <t>SYNTH-CUSTOMER-000230</t>
  </si>
  <si>
    <t>SYNTH-INT-000231</t>
  </si>
  <si>
    <t>SYNTH-ORDER-000231</t>
  </si>
  <si>
    <t>SYNTH-CUSTOMER-000231</t>
  </si>
  <si>
    <t>SYNTH-INT-000232</t>
  </si>
  <si>
    <t>SYNTH-ORDER-000232</t>
  </si>
  <si>
    <t>SYNTH-CUSTOMER-000232</t>
  </si>
  <si>
    <t>SYNTH-INT-000233</t>
  </si>
  <si>
    <t>SYNTH-ORDER-000233</t>
  </si>
  <si>
    <t>SYNTH-CUSTOMER-000233</t>
  </si>
  <si>
    <t>SYNTH-INT-000234</t>
  </si>
  <si>
    <t>SYNTH-ORDER-000234</t>
  </si>
  <si>
    <t>SYNTH-CUSTOMER-000234</t>
  </si>
  <si>
    <t>SYNTH-INT-000235</t>
  </si>
  <si>
    <t>SYNTH-ORDER-000235</t>
  </si>
  <si>
    <t>SYNTH-CUSTOMER-000235</t>
  </si>
  <si>
    <t>SYNTH-INT-000236</t>
  </si>
  <si>
    <t>SYNTH-ORDER-000236</t>
  </si>
  <si>
    <t>SYNTH-CUSTOMER-000236</t>
  </si>
  <si>
    <t>SYNTH-INT-000237</t>
  </si>
  <si>
    <t>SYNTH-ORDER-000237</t>
  </si>
  <si>
    <t>SYNTH-CUSTOMER-000237</t>
  </si>
  <si>
    <t>SYNTH-INT-000238</t>
  </si>
  <si>
    <t>SYNTH-ORDER-000238</t>
  </si>
  <si>
    <t>SYNTH-CUSTOMER-000238</t>
  </si>
  <si>
    <t>SYNTH-INT-000239</t>
  </si>
  <si>
    <t>SYNTH-ORDER-000239</t>
  </si>
  <si>
    <t>SYNTH-CUSTOMER-000239</t>
  </si>
  <si>
    <t>SYNTH-INT-000240</t>
  </si>
  <si>
    <t>SYNTH-ORDER-000240</t>
  </si>
  <si>
    <t>SYNTH-CUSTOMER-000240</t>
  </si>
  <si>
    <t>SYNTH-INT-000241</t>
  </si>
  <si>
    <t>SYNTH-ORDER-000241</t>
  </si>
  <si>
    <t>SYNTH-CUSTOMER-000241</t>
  </si>
  <si>
    <t>SYNTH-INT-000242</t>
  </si>
  <si>
    <t>SYNTH-ORDER-000242</t>
  </si>
  <si>
    <t>SYNTH-CUSTOMER-000242</t>
  </si>
  <si>
    <t>SYNTH-INT-000243</t>
  </si>
  <si>
    <t>SYNTH-ORDER-000243</t>
  </si>
  <si>
    <t>SYNTH-CUSTOMER-000243</t>
  </si>
  <si>
    <t>SYNTH-INT-000244</t>
  </si>
  <si>
    <t>SYNTH-ORDER-000244</t>
  </si>
  <si>
    <t>SYNTH-CUSTOMER-000244</t>
  </si>
  <si>
    <t>SYNTH-INT-000245</t>
  </si>
  <si>
    <t>SYNTH-ORDER-000245</t>
  </si>
  <si>
    <t>SYNTH-CUSTOMER-000245</t>
  </si>
  <si>
    <t>SYNTH-INT-000246</t>
  </si>
  <si>
    <t>SYNTH-ORDER-000246</t>
  </si>
  <si>
    <t>SYNTH-CUSTOMER-000246</t>
  </si>
  <si>
    <t>SYNTH-INT-000247</t>
  </si>
  <si>
    <t>SYNTH-ORDER-000247</t>
  </si>
  <si>
    <t>SYNTH-CUSTOMER-000247</t>
  </si>
  <si>
    <t>SYNTH-INT-000248</t>
  </si>
  <si>
    <t>SYNTH-ORDER-000248</t>
  </si>
  <si>
    <t>SYNTH-CUSTOMER-000248</t>
  </si>
  <si>
    <t>SYNTH-INT-000249</t>
  </si>
  <si>
    <t>SYNTH-ORDER-000249</t>
  </si>
  <si>
    <t>SYNTH-CUSTOMER-000249</t>
  </si>
  <si>
    <t>SYNTH-INT-000250</t>
  </si>
  <si>
    <t>SYNTH-ORDER-000250</t>
  </si>
  <si>
    <t>SYNTH-CUSTOMER-000250</t>
  </si>
  <si>
    <t>SYNTH-INT-000251</t>
  </si>
  <si>
    <t>SYNTH-ORDER-000251</t>
  </si>
  <si>
    <t>SYNTH-CUSTOMER-000251</t>
  </si>
  <si>
    <t>SYNTH-INT-000252</t>
  </si>
  <si>
    <t>SYNTH-ORDER-000252</t>
  </si>
  <si>
    <t>SYNTH-CUSTOMER-000252</t>
  </si>
  <si>
    <t>SYNTH-INT-000253</t>
  </si>
  <si>
    <t>SYNTH-ORDER-000253</t>
  </si>
  <si>
    <t>SYNTH-CUSTOMER-000253</t>
  </si>
  <si>
    <t>SYNTH-INT-000254</t>
  </si>
  <si>
    <t>SYNTH-ORDER-000254</t>
  </si>
  <si>
    <t>SYNTH-CUSTOMER-000254</t>
  </si>
  <si>
    <t>SYNTH-INT-000255</t>
  </si>
  <si>
    <t>SYNTH-ORDER-000255</t>
  </si>
  <si>
    <t>SYNTH-CUSTOMER-000255</t>
  </si>
  <si>
    <t>SYNTH-INT-000256</t>
  </si>
  <si>
    <t>SYNTH-ORDER-000256</t>
  </si>
  <si>
    <t>SYNTH-CUSTOMER-000256</t>
  </si>
  <si>
    <t>SYNTH-INT-000257</t>
  </si>
  <si>
    <t>SYNTH-ORDER-000257</t>
  </si>
  <si>
    <t>SYNTH-CUSTOMER-000257</t>
  </si>
  <si>
    <t>SYNTH-INT-000258</t>
  </si>
  <si>
    <t>SYNTH-ORDER-000258</t>
  </si>
  <si>
    <t>SYNTH-CUSTOMER-000258</t>
  </si>
  <si>
    <t>SYNTH-INT-000259</t>
  </si>
  <si>
    <t>SYNTH-ORDER-000259</t>
  </si>
  <si>
    <t>SYNTH-CUSTOMER-000259</t>
  </si>
  <si>
    <t>SYNTH-INT-000260</t>
  </si>
  <si>
    <t>SYNTH-ORDER-000260</t>
  </si>
  <si>
    <t>SYNTH-CUSTOMER-000260</t>
  </si>
  <si>
    <t>SYNTH-INT-000261</t>
  </si>
  <si>
    <t>SYNTH-ORDER-000261</t>
  </si>
  <si>
    <t>SYNTH-CUSTOMER-000261</t>
  </si>
  <si>
    <t>SYNTH-INT-000262</t>
  </si>
  <si>
    <t>SYNTH-ORDER-000262</t>
  </si>
  <si>
    <t>SYNTH-CUSTOMER-000262</t>
  </si>
  <si>
    <t>SYNTH-INT-000263</t>
  </si>
  <si>
    <t>SYNTH-ORDER-000263</t>
  </si>
  <si>
    <t>SYNTH-CUSTOMER-000263</t>
  </si>
  <si>
    <t>SYNTH-INT-000264</t>
  </si>
  <si>
    <t>SYNTH-ORDER-000264</t>
  </si>
  <si>
    <t>SYNTH-CUSTOMER-000264</t>
  </si>
  <si>
    <t>SYNTH-INT-000265</t>
  </si>
  <si>
    <t>SYNTH-ORDER-000265</t>
  </si>
  <si>
    <t>SYNTH-CUSTOMER-000265</t>
  </si>
  <si>
    <t>SYNTH-INT-000266</t>
  </si>
  <si>
    <t>SYNTH-ORDER-000266</t>
  </si>
  <si>
    <t>SYNTH-CUSTOMER-000266</t>
  </si>
  <si>
    <t>SYNTH-INT-000267</t>
  </si>
  <si>
    <t>SYNTH-ORDER-000267</t>
  </si>
  <si>
    <t>SYNTH-CUSTOMER-000267</t>
  </si>
  <si>
    <t>SYNTH-INT-000268</t>
  </si>
  <si>
    <t>SYNTH-ORDER-000268</t>
  </si>
  <si>
    <t>SYNTH-CUSTOMER-000268</t>
  </si>
  <si>
    <t>SYNTH-INT-000269</t>
  </si>
  <si>
    <t>SYNTH-ORDER-000269</t>
  </si>
  <si>
    <t>SYNTH-CUSTOMER-000269</t>
  </si>
  <si>
    <t>SYNTH-INT-000270</t>
  </si>
  <si>
    <t>SYNTH-ORDER-000270</t>
  </si>
  <si>
    <t>SYNTH-CUSTOMER-000270</t>
  </si>
  <si>
    <t>SYNTH-INT-000271</t>
  </si>
  <si>
    <t>SYNTH-ORDER-000271</t>
  </si>
  <si>
    <t>SYNTH-CUSTOMER-000271</t>
  </si>
  <si>
    <t>SYNTH-INT-000272</t>
  </si>
  <si>
    <t>SYNTH-ORDER-000272</t>
  </si>
  <si>
    <t>SYNTH-CUSTOMER-000272</t>
  </si>
  <si>
    <t>SYNTH-INT-000273</t>
  </si>
  <si>
    <t>SYNTH-ORDER-000273</t>
  </si>
  <si>
    <t>SYNTH-CUSTOMER-000273</t>
  </si>
  <si>
    <t>SYNTH-INT-000274</t>
  </si>
  <si>
    <t>SYNTH-ORDER-000274</t>
  </si>
  <si>
    <t>SYNTH-CUSTOMER-000274</t>
  </si>
  <si>
    <t>SYNTH-INT-000275</t>
  </si>
  <si>
    <t>SYNTH-ORDER-000275</t>
  </si>
  <si>
    <t>SYNTH-CUSTOMER-000275</t>
  </si>
  <si>
    <t>SYNTH-INT-000276</t>
  </si>
  <si>
    <t>SYNTH-ORDER-000276</t>
  </si>
  <si>
    <t>SYNTH-CUSTOMER-000276</t>
  </si>
  <si>
    <t>SYNTH-INT-000277</t>
  </si>
  <si>
    <t>SYNTH-ORDER-000277</t>
  </si>
  <si>
    <t>SYNTH-CUSTOMER-000277</t>
  </si>
  <si>
    <t>SYNTH-INT-000278</t>
  </si>
  <si>
    <t>SYNTH-ORDER-000278</t>
  </si>
  <si>
    <t>SYNTH-CUSTOMER-000278</t>
  </si>
  <si>
    <t>SYNTH-INT-000279</t>
  </si>
  <si>
    <t>SYNTH-ORDER-000279</t>
  </si>
  <si>
    <t>SYNTH-CUSTOMER-000279</t>
  </si>
  <si>
    <t>SYNTH-INT-000280</t>
  </si>
  <si>
    <t>SYNTH-ORDER-000280</t>
  </si>
  <si>
    <t>SYNTH-CUSTOMER-000280</t>
  </si>
  <si>
    <t>SYNTH-INT-000281</t>
  </si>
  <si>
    <t>SYNTH-ORDER-000281</t>
  </si>
  <si>
    <t>SYNTH-CUSTOMER-000281</t>
  </si>
  <si>
    <t>SYNTH-INT-000282</t>
  </si>
  <si>
    <t>SYNTH-ORDER-000282</t>
  </si>
  <si>
    <t>SYNTH-CUSTOMER-000282</t>
  </si>
  <si>
    <t>SYNTH-INT-000283</t>
  </si>
  <si>
    <t>SYNTH-ORDER-000283</t>
  </si>
  <si>
    <t>SYNTH-CUSTOMER-000283</t>
  </si>
  <si>
    <t>SYNTH-INT-000284</t>
  </si>
  <si>
    <t>SYNTH-ORDER-000284</t>
  </si>
  <si>
    <t>SYNTH-CUSTOMER-000284</t>
  </si>
  <si>
    <t>SYNTH-INT-000285</t>
  </si>
  <si>
    <t>SYNTH-ORDER-000285</t>
  </si>
  <si>
    <t>SYNTH-CUSTOMER-000285</t>
  </si>
  <si>
    <t>SYNTH-INT-000286</t>
  </si>
  <si>
    <t>SYNTH-ORDER-000286</t>
  </si>
  <si>
    <t>SYNTH-CUSTOMER-000286</t>
  </si>
  <si>
    <t>SYNTH-INT-000287</t>
  </si>
  <si>
    <t>SYNTH-ORDER-000287</t>
  </si>
  <si>
    <t>SYNTH-CUSTOMER-000287</t>
  </si>
  <si>
    <t>SYNTH-INT-000288</t>
  </si>
  <si>
    <t>SYNTH-ORDER-000288</t>
  </si>
  <si>
    <t>SYNTH-CUSTOMER-000288</t>
  </si>
  <si>
    <t>SYNTH-INT-000289</t>
  </si>
  <si>
    <t>SYNTH-ORDER-000289</t>
  </si>
  <si>
    <t>SYNTH-CUSTOMER-000289</t>
  </si>
  <si>
    <t>SYNTH-INT-000290</t>
  </si>
  <si>
    <t>SYNTH-ORDER-000290</t>
  </si>
  <si>
    <t>SYNTH-CUSTOMER-000290</t>
  </si>
  <si>
    <t>SYNTH-INT-000291</t>
  </si>
  <si>
    <t>SYNTH-ORDER-000291</t>
  </si>
  <si>
    <t>SYNTH-CUSTOMER-000291</t>
  </si>
  <si>
    <t>SYNTH-INT-000292</t>
  </si>
  <si>
    <t>SYNTH-ORDER-000292</t>
  </si>
  <si>
    <t>SYNTH-CUSTOMER-000292</t>
  </si>
  <si>
    <t>SYNTH-INT-000293</t>
  </si>
  <si>
    <t>SYNTH-ORDER-000293</t>
  </si>
  <si>
    <t>SYNTH-CUSTOMER-000293</t>
  </si>
  <si>
    <t>SYNTH-INT-000294</t>
  </si>
  <si>
    <t>SYNTH-ORDER-000294</t>
  </si>
  <si>
    <t>SYNTH-CUSTOMER-000294</t>
  </si>
  <si>
    <t>SYNTH-INT-000295</t>
  </si>
  <si>
    <t>SYNTH-ORDER-000295</t>
  </si>
  <si>
    <t>SYNTH-CUSTOMER-000295</t>
  </si>
  <si>
    <t>SYNTH-INT-000296</t>
  </si>
  <si>
    <t>SYNTH-ORDER-000296</t>
  </si>
  <si>
    <t>SYNTH-CUSTOMER-000296</t>
  </si>
  <si>
    <t>SYNTH-INT-000297</t>
  </si>
  <si>
    <t>SYNTH-ORDER-000297</t>
  </si>
  <si>
    <t>SYNTH-CUSTOMER-000297</t>
  </si>
  <si>
    <t>SYNTH-INT-000298</t>
  </si>
  <si>
    <t>SYNTH-ORDER-000298</t>
  </si>
  <si>
    <t>SYNTH-CUSTOMER-000298</t>
  </si>
  <si>
    <t>SYNTH-INT-000299</t>
  </si>
  <si>
    <t>SYNTH-ORDER-000299</t>
  </si>
  <si>
    <t>SYNTH-CUSTOMER-000299</t>
  </si>
  <si>
    <t>SYNTH-INT-000300</t>
  </si>
  <si>
    <t>SYNTH-ORDER-000300</t>
  </si>
  <si>
    <t>SYNTH-CUSTOMER-000300</t>
  </si>
  <si>
    <t>SYNTH-INT-000301</t>
  </si>
  <si>
    <t>SYNTH-ORDER-000301</t>
  </si>
  <si>
    <t>SYNTH-CUSTOMER-000301</t>
  </si>
  <si>
    <t>SYNTH-INT-000302</t>
  </si>
  <si>
    <t>SYNTH-ORDER-000302</t>
  </si>
  <si>
    <t>SYNTH-CUSTOMER-000302</t>
  </si>
  <si>
    <t>SYNTH-INT-000303</t>
  </si>
  <si>
    <t>SYNTH-ORDER-000303</t>
  </si>
  <si>
    <t>SYNTH-CUSTOMER-000303</t>
  </si>
  <si>
    <t>SYNTH-INT-000304</t>
  </si>
  <si>
    <t>SYNTH-ORDER-000304</t>
  </si>
  <si>
    <t>SYNTH-CUSTOMER-000304</t>
  </si>
  <si>
    <t>SYNTH-INT-000305</t>
  </si>
  <si>
    <t>SYNTH-ORDER-000305</t>
  </si>
  <si>
    <t>SYNTH-CUSTOMER-000305</t>
  </si>
  <si>
    <t>SYNTH-INT-000306</t>
  </si>
  <si>
    <t>SYNTH-ORDER-000306</t>
  </si>
  <si>
    <t>SYNTH-CUSTOMER-000306</t>
  </si>
  <si>
    <t>SYNTH-INT-000307</t>
  </si>
  <si>
    <t>SYNTH-ORDER-000307</t>
  </si>
  <si>
    <t>SYNTH-CUSTOMER-000307</t>
  </si>
  <si>
    <t>SYNTH-INT-000308</t>
  </si>
  <si>
    <t>SYNTH-ORDER-000308</t>
  </si>
  <si>
    <t>SYNTH-CUSTOMER-000308</t>
  </si>
  <si>
    <t>SYNTH-INT-000309</t>
  </si>
  <si>
    <t>SYNTH-ORDER-000309</t>
  </si>
  <si>
    <t>SYNTH-CUSTOMER-000309</t>
  </si>
  <si>
    <t>SYNTH-INT-000310</t>
  </si>
  <si>
    <t>SYNTH-ORDER-000310</t>
  </si>
  <si>
    <t>SYNTH-CUSTOMER-000310</t>
  </si>
  <si>
    <t>SYNTH-INT-000311</t>
  </si>
  <si>
    <t>SYNTH-ORDER-000311</t>
  </si>
  <si>
    <t>SYNTH-CUSTOMER-000311</t>
  </si>
  <si>
    <t>SYNTH-INT-000312</t>
  </si>
  <si>
    <t>SYNTH-ORDER-000312</t>
  </si>
  <si>
    <t>SYNTH-CUSTOMER-000312</t>
  </si>
  <si>
    <t>SYNTH-INT-000313</t>
  </si>
  <si>
    <t>SYNTH-ORDER-000313</t>
  </si>
  <si>
    <t>SYNTH-CUSTOMER-000313</t>
  </si>
  <si>
    <t>SYNTH-INT-000314</t>
  </si>
  <si>
    <t>SYNTH-ORDER-000314</t>
  </si>
  <si>
    <t>SYNTH-CUSTOMER-000314</t>
  </si>
  <si>
    <t>SYNTH-INT-000315</t>
  </si>
  <si>
    <t>SYNTH-ORDER-000315</t>
  </si>
  <si>
    <t>SYNTH-CUSTOMER-000315</t>
  </si>
  <si>
    <t>SYNTH-INT-000316</t>
  </si>
  <si>
    <t>SYNTH-ORDER-000316</t>
  </si>
  <si>
    <t>SYNTH-CUSTOMER-000316</t>
  </si>
  <si>
    <t>SYNTH-INT-000317</t>
  </si>
  <si>
    <t>SYNTH-ORDER-000317</t>
  </si>
  <si>
    <t>SYNTH-CUSTOMER-000317</t>
  </si>
  <si>
    <t>SYNTH-INT-000318</t>
  </si>
  <si>
    <t>SYNTH-ORDER-000318</t>
  </si>
  <si>
    <t>SYNTH-CUSTOMER-000318</t>
  </si>
  <si>
    <t>SYNTH-INT-000319</t>
  </si>
  <si>
    <t>SYNTH-ORDER-000319</t>
  </si>
  <si>
    <t>SYNTH-CUSTOMER-000319</t>
  </si>
  <si>
    <t>SYNTH-INT-000320</t>
  </si>
  <si>
    <t>SYNTH-ORDER-000320</t>
  </si>
  <si>
    <t>SYNTH-CUSTOMER-000320</t>
  </si>
  <si>
    <t>SYNTH-INT-000321</t>
  </si>
  <si>
    <t>SYNTH-ORDER-000321</t>
  </si>
  <si>
    <t>SYNTH-CUSTOMER-000321</t>
  </si>
  <si>
    <t>SYNTH-INT-000322</t>
  </si>
  <si>
    <t>SYNTH-ORDER-000322</t>
  </si>
  <si>
    <t>SYNTH-CUSTOMER-000322</t>
  </si>
  <si>
    <t>SYNTH-INT-000323</t>
  </si>
  <si>
    <t>SYNTH-ORDER-000323</t>
  </si>
  <si>
    <t>SYNTH-CUSTOMER-000323</t>
  </si>
  <si>
    <t>SYNTH-INT-000324</t>
  </si>
  <si>
    <t>SYNTH-ORDER-000324</t>
  </si>
  <si>
    <t>SYNTH-CUSTOMER-000324</t>
  </si>
  <si>
    <t>SYNTH-INT-000325</t>
  </si>
  <si>
    <t>SYNTH-ORDER-000325</t>
  </si>
  <si>
    <t>SYNTH-CUSTOMER-000325</t>
  </si>
  <si>
    <t>SYNTH-INT-000326</t>
  </si>
  <si>
    <t>SYNTH-ORDER-000326</t>
  </si>
  <si>
    <t>SYNTH-CUSTOMER-000326</t>
  </si>
  <si>
    <t>SYNTH-INT-000327</t>
  </si>
  <si>
    <t>SYNTH-ORDER-000327</t>
  </si>
  <si>
    <t>SYNTH-CUSTOMER-000327</t>
  </si>
  <si>
    <t>SYNTH-INT-000328</t>
  </si>
  <si>
    <t>SYNTH-ORDER-000328</t>
  </si>
  <si>
    <t>SYNTH-CUSTOMER-000328</t>
  </si>
  <si>
    <t>SYNTH-INT-000329</t>
  </si>
  <si>
    <t>SYNTH-ORDER-000329</t>
  </si>
  <si>
    <t>SYNTH-CUSTOMER-000329</t>
  </si>
  <si>
    <t>SYNTH-INT-000330</t>
  </si>
  <si>
    <t>SYNTH-ORDER-000330</t>
  </si>
  <si>
    <t>SYNTH-CUSTOMER-000330</t>
  </si>
  <si>
    <t>SYNTH-INT-000331</t>
  </si>
  <si>
    <t>SYNTH-ORDER-000331</t>
  </si>
  <si>
    <t>SYNTH-CUSTOMER-000331</t>
  </si>
  <si>
    <t>SYNTH-INT-000332</t>
  </si>
  <si>
    <t>SYNTH-ORDER-000332</t>
  </si>
  <si>
    <t>SYNTH-CUSTOMER-000332</t>
  </si>
  <si>
    <t>SYNTH-INT-000333</t>
  </si>
  <si>
    <t>SYNTH-ORDER-000333</t>
  </si>
  <si>
    <t>SYNTH-CUSTOMER-000333</t>
  </si>
  <si>
    <t>SYNTH-INT-000334</t>
  </si>
  <si>
    <t>SYNTH-ORDER-000334</t>
  </si>
  <si>
    <t>SYNTH-CUSTOMER-000334</t>
  </si>
  <si>
    <t>SYNTH-INT-000335</t>
  </si>
  <si>
    <t>SYNTH-ORDER-000335</t>
  </si>
  <si>
    <t>SYNTH-CUSTOMER-000335</t>
  </si>
  <si>
    <t>SYNTH-INT-000336</t>
  </si>
  <si>
    <t>SYNTH-ORDER-000336</t>
  </si>
  <si>
    <t>SYNTH-CUSTOMER-000336</t>
  </si>
  <si>
    <t>SYNTH-INT-000337</t>
  </si>
  <si>
    <t>SYNTH-ORDER-000337</t>
  </si>
  <si>
    <t>SYNTH-CUSTOMER-000337</t>
  </si>
  <si>
    <t>SYNTH-INT-000338</t>
  </si>
  <si>
    <t>SYNTH-ORDER-000338</t>
  </si>
  <si>
    <t>SYNTH-CUSTOMER-000338</t>
  </si>
  <si>
    <t>SYNTH-INT-000339</t>
  </si>
  <si>
    <t>SYNTH-ORDER-000339</t>
  </si>
  <si>
    <t>SYNTH-CUSTOMER-000339</t>
  </si>
  <si>
    <t>SYNTH-INT-000340</t>
  </si>
  <si>
    <t>SYNTH-ORDER-000340</t>
  </si>
  <si>
    <t>SYNTH-CUSTOMER-000340</t>
  </si>
  <si>
    <t>SYNTH-INT-000341</t>
  </si>
  <si>
    <t>SYNTH-ORDER-000341</t>
  </si>
  <si>
    <t>SYNTH-CUSTOMER-000341</t>
  </si>
  <si>
    <t>SYNTH-INT-000342</t>
  </si>
  <si>
    <t>SYNTH-ORDER-000342</t>
  </si>
  <si>
    <t>SYNTH-CUSTOMER-000342</t>
  </si>
  <si>
    <t>SYNTH-INT-000343</t>
  </si>
  <si>
    <t>SYNTH-ORDER-000343</t>
  </si>
  <si>
    <t>SYNTH-CUSTOMER-000343</t>
  </si>
  <si>
    <t>SYNTH-INT-000344</t>
  </si>
  <si>
    <t>SYNTH-ORDER-000344</t>
  </si>
  <si>
    <t>SYNTH-CUSTOMER-000344</t>
  </si>
  <si>
    <t>SYNTH-INT-000345</t>
  </si>
  <si>
    <t>SYNTH-ORDER-000345</t>
  </si>
  <si>
    <t>SYNTH-CUSTOMER-000345</t>
  </si>
  <si>
    <t>SYNTH-INT-000346</t>
  </si>
  <si>
    <t>SYNTH-ORDER-000346</t>
  </si>
  <si>
    <t>SYNTH-CUSTOMER-000346</t>
  </si>
  <si>
    <t>SYNTH-INT-000347</t>
  </si>
  <si>
    <t>SYNTH-ORDER-000347</t>
  </si>
  <si>
    <t>SYNTH-CUSTOMER-000347</t>
  </si>
  <si>
    <t>SYNTH-INT-000348</t>
  </si>
  <si>
    <t>SYNTH-ORDER-000348</t>
  </si>
  <si>
    <t>SYNTH-CUSTOMER-000348</t>
  </si>
  <si>
    <t>SYNTH-INT-000349</t>
  </si>
  <si>
    <t>SYNTH-ORDER-000349</t>
  </si>
  <si>
    <t>SYNTH-CUSTOMER-000349</t>
  </si>
  <si>
    <t>SYNTH-INT-000350</t>
  </si>
  <si>
    <t>SYNTH-ORDER-000350</t>
  </si>
  <si>
    <t>SYNTH-CUSTOMER-000350</t>
  </si>
  <si>
    <t>SYNTH-INT-000351</t>
  </si>
  <si>
    <t>SYNTH-ORDER-000351</t>
  </si>
  <si>
    <t>SYNTH-CUSTOMER-000351</t>
  </si>
  <si>
    <t>SYNTH-INT-000352</t>
  </si>
  <si>
    <t>SYNTH-ORDER-000352</t>
  </si>
  <si>
    <t>SYNTH-CUSTOMER-000352</t>
  </si>
  <si>
    <t>SYNTH-INT-000353</t>
  </si>
  <si>
    <t>SYNTH-ORDER-000353</t>
  </si>
  <si>
    <t>SYNTH-CUSTOMER-000353</t>
  </si>
  <si>
    <t>SYNTH-INT-000354</t>
  </si>
  <si>
    <t>SYNTH-ORDER-000354</t>
  </si>
  <si>
    <t>SYNTH-CUSTOMER-000354</t>
  </si>
  <si>
    <t>SYNTH-INT-000355</t>
  </si>
  <si>
    <t>SYNTH-ORDER-000355</t>
  </si>
  <si>
    <t>SYNTH-CUSTOMER-000355</t>
  </si>
  <si>
    <t>SYNTH-INT-000356</t>
  </si>
  <si>
    <t>SYNTH-ORDER-000356</t>
  </si>
  <si>
    <t>SYNTH-CUSTOMER-000356</t>
  </si>
  <si>
    <t>SYNTH-INT-000357</t>
  </si>
  <si>
    <t>SYNTH-ORDER-000357</t>
  </si>
  <si>
    <t>SYNTH-CUSTOMER-000357</t>
  </si>
  <si>
    <t>SYNTH-INT-000358</t>
  </si>
  <si>
    <t>SYNTH-ORDER-000358</t>
  </si>
  <si>
    <t>SYNTH-CUSTOMER-000358</t>
  </si>
  <si>
    <t>SYNTH-INT-000359</t>
  </si>
  <si>
    <t>SYNTH-ORDER-000359</t>
  </si>
  <si>
    <t>SYNTH-CUSTOMER-000359</t>
  </si>
  <si>
    <t>SYNTH-INT-000360</t>
  </si>
  <si>
    <t>SYNTH-ORDER-000360</t>
  </si>
  <si>
    <t>SYNTH-CUSTOMER-000360</t>
  </si>
  <si>
    <t>SYNTH-INT-000361</t>
  </si>
  <si>
    <t>SYNTH-ORDER-000361</t>
  </si>
  <si>
    <t>SYNTH-CUSTOMER-000361</t>
  </si>
  <si>
    <t>SYNTH-INT-000362</t>
  </si>
  <si>
    <t>SYNTH-ORDER-000362</t>
  </si>
  <si>
    <t>SYNTH-CUSTOMER-000362</t>
  </si>
  <si>
    <t>SYNTH-INT-000363</t>
  </si>
  <si>
    <t>SYNTH-ORDER-000363</t>
  </si>
  <si>
    <t>SYNTH-CUSTOMER-000363</t>
  </si>
  <si>
    <t>SYNTH-INT-000364</t>
  </si>
  <si>
    <t>SYNTH-ORDER-000364</t>
  </si>
  <si>
    <t>SYNTH-CUSTOMER-000364</t>
  </si>
  <si>
    <t>SYNTH-INT-000365</t>
  </si>
  <si>
    <t>SYNTH-ORDER-000365</t>
  </si>
  <si>
    <t>SYNTH-CUSTOMER-000365</t>
  </si>
  <si>
    <t>SYNTH-INT-000366</t>
  </si>
  <si>
    <t>SYNTH-ORDER-000366</t>
  </si>
  <si>
    <t>SYNTH-CUSTOMER-000366</t>
  </si>
  <si>
    <t>SYNTH-INT-000367</t>
  </si>
  <si>
    <t>SYNTH-ORDER-000367</t>
  </si>
  <si>
    <t>SYNTH-CUSTOMER-000367</t>
  </si>
  <si>
    <t>SYNTH-INT-000368</t>
  </si>
  <si>
    <t>SYNTH-ORDER-000368</t>
  </si>
  <si>
    <t>SYNTH-CUSTOMER-000368</t>
  </si>
  <si>
    <t>SYNTH-INT-000369</t>
  </si>
  <si>
    <t>SYNTH-ORDER-000369</t>
  </si>
  <si>
    <t>SYNTH-CUSTOMER-000369</t>
  </si>
  <si>
    <t>SYNTH-INT-000370</t>
  </si>
  <si>
    <t>SYNTH-ORDER-000370</t>
  </si>
  <si>
    <t>SYNTH-CUSTOMER-000370</t>
  </si>
  <si>
    <t>SYNTH-INT-000371</t>
  </si>
  <si>
    <t>SYNTH-ORDER-000371</t>
  </si>
  <si>
    <t>SYNTH-CUSTOMER-000371</t>
  </si>
  <si>
    <t>SYNTH-INT-000372</t>
  </si>
  <si>
    <t>SYNTH-ORDER-000372</t>
  </si>
  <si>
    <t>SYNTH-CUSTOMER-000372</t>
  </si>
  <si>
    <t>SYNTH-INT-000373</t>
  </si>
  <si>
    <t>SYNTH-ORDER-000373</t>
  </si>
  <si>
    <t>SYNTH-CUSTOMER-000373</t>
  </si>
  <si>
    <t>SYNTH-INT-000374</t>
  </si>
  <si>
    <t>SYNTH-ORDER-000374</t>
  </si>
  <si>
    <t>SYNTH-CUSTOMER-000374</t>
  </si>
  <si>
    <t>SYNTH-INT-000375</t>
  </si>
  <si>
    <t>SYNTH-ORDER-000375</t>
  </si>
  <si>
    <t>SYNTH-CUSTOMER-000375</t>
  </si>
  <si>
    <t>SYNTH-INT-000376</t>
  </si>
  <si>
    <t>SYNTH-ORDER-000376</t>
  </si>
  <si>
    <t>SYNTH-CUSTOMER-000376</t>
  </si>
  <si>
    <t>SYNTH-INT-000377</t>
  </si>
  <si>
    <t>SYNTH-ORDER-000377</t>
  </si>
  <si>
    <t>SYNTH-CUSTOMER-000377</t>
  </si>
  <si>
    <t>SYNTH-INT-000378</t>
  </si>
  <si>
    <t>SYNTH-ORDER-000378</t>
  </si>
  <si>
    <t>SYNTH-CUSTOMER-000378</t>
  </si>
  <si>
    <t>SYNTH-INT-000379</t>
  </si>
  <si>
    <t>SYNTH-ORDER-000379</t>
  </si>
  <si>
    <t>SYNTH-CUSTOMER-000379</t>
  </si>
  <si>
    <t>SYNTH-INT-000380</t>
  </si>
  <si>
    <t>SYNTH-ORDER-000380</t>
  </si>
  <si>
    <t>SYNTH-CUSTOMER-000380</t>
  </si>
  <si>
    <t>SYNTH-INT-000381</t>
  </si>
  <si>
    <t>SYNTH-ORDER-000381</t>
  </si>
  <si>
    <t>SYNTH-CUSTOMER-000381</t>
  </si>
  <si>
    <t>SYNTH-INT-000382</t>
  </si>
  <si>
    <t>SYNTH-ORDER-000382</t>
  </si>
  <si>
    <t>SYNTH-CUSTOMER-000382</t>
  </si>
  <si>
    <t>SYNTH-INT-000383</t>
  </si>
  <si>
    <t>SYNTH-ORDER-000383</t>
  </si>
  <si>
    <t>SYNTH-CUSTOMER-000383</t>
  </si>
  <si>
    <t>SYNTH-INT-000384</t>
  </si>
  <si>
    <t>SYNTH-ORDER-000384</t>
  </si>
  <si>
    <t>SYNTH-CUSTOMER-000384</t>
  </si>
  <si>
    <t>SYNTH-INT-000385</t>
  </si>
  <si>
    <t>SYNTH-ORDER-000385</t>
  </si>
  <si>
    <t>SYNTH-CUSTOMER-000385</t>
  </si>
  <si>
    <t>SYNTH-INT-000386</t>
  </si>
  <si>
    <t>SYNTH-ORDER-000386</t>
  </si>
  <si>
    <t>SYNTH-CUSTOMER-000386</t>
  </si>
  <si>
    <t>SYNTH-INT-000387</t>
  </si>
  <si>
    <t>SYNTH-ORDER-000387</t>
  </si>
  <si>
    <t>SYNTH-CUSTOMER-000387</t>
  </si>
  <si>
    <t>SYNTH-INT-000388</t>
  </si>
  <si>
    <t>SYNTH-ORDER-000388</t>
  </si>
  <si>
    <t>SYNTH-CUSTOMER-000388</t>
  </si>
  <si>
    <t>SYNTH-INT-000389</t>
  </si>
  <si>
    <t>SYNTH-ORDER-000389</t>
  </si>
  <si>
    <t>SYNTH-CUSTOMER-000389</t>
  </si>
  <si>
    <t>SYNTH-INT-000390</t>
  </si>
  <si>
    <t>SYNTH-ORDER-000390</t>
  </si>
  <si>
    <t>SYNTH-CUSTOMER-000390</t>
  </si>
  <si>
    <t>SYNTH-INT-000391</t>
  </si>
  <si>
    <t>SYNTH-ORDER-000391</t>
  </si>
  <si>
    <t>SYNTH-CUSTOMER-000391</t>
  </si>
  <si>
    <t>SYNTH-INT-000392</t>
  </si>
  <si>
    <t>SYNTH-ORDER-000392</t>
  </si>
  <si>
    <t>SYNTH-CUSTOMER-000392</t>
  </si>
  <si>
    <t>SYNTH-INT-000393</t>
  </si>
  <si>
    <t>SYNTH-ORDER-000393</t>
  </si>
  <si>
    <t>SYNTH-CUSTOMER-000393</t>
  </si>
  <si>
    <t>SYNTH-INT-000394</t>
  </si>
  <si>
    <t>SYNTH-ORDER-000394</t>
  </si>
  <si>
    <t>SYNTH-CUSTOMER-000394</t>
  </si>
  <si>
    <t>SYNTH-INT-000395</t>
  </si>
  <si>
    <t>SYNTH-ORDER-000395</t>
  </si>
  <si>
    <t>SYNTH-CUSTOMER-000395</t>
  </si>
  <si>
    <t>SYNTH-INT-000396</t>
  </si>
  <si>
    <t>SYNTH-ORDER-000396</t>
  </si>
  <si>
    <t>SYNTH-CUSTOMER-000396</t>
  </si>
  <si>
    <t>SYNTH-INT-000397</t>
  </si>
  <si>
    <t>SYNTH-ORDER-000397</t>
  </si>
  <si>
    <t>SYNTH-CUSTOMER-000397</t>
  </si>
  <si>
    <t>SYNTH-INT-000398</t>
  </si>
  <si>
    <t>SYNTH-ORDER-000398</t>
  </si>
  <si>
    <t>SYNTH-CUSTOMER-000398</t>
  </si>
  <si>
    <t>SYNTH-INT-000399</t>
  </si>
  <si>
    <t>SYNTH-ORDER-000399</t>
  </si>
  <si>
    <t>SYNTH-CUSTOMER-000399</t>
  </si>
  <si>
    <t>SYNTH-INT-000400</t>
  </si>
  <si>
    <t>SYNTH-ORDER-000400</t>
  </si>
  <si>
    <t>SYNTH-CUSTOMER-000400</t>
  </si>
  <si>
    <t>SYNTH-INT-000401</t>
  </si>
  <si>
    <t>SYNTH-ORDER-000401</t>
  </si>
  <si>
    <t>SYNTH-CUSTOMER-000401</t>
  </si>
  <si>
    <t>SYNTH-INT-000402</t>
  </si>
  <si>
    <t>SYNTH-ORDER-000402</t>
  </si>
  <si>
    <t>SYNTH-CUSTOMER-000402</t>
  </si>
  <si>
    <t>SYNTH-INT-000403</t>
  </si>
  <si>
    <t>SYNTH-ORDER-000403</t>
  </si>
  <si>
    <t>SYNTH-CUSTOMER-000403</t>
  </si>
  <si>
    <t>SYNTH-INT-000404</t>
  </si>
  <si>
    <t>SYNTH-ORDER-000404</t>
  </si>
  <si>
    <t>SYNTH-CUSTOMER-000404</t>
  </si>
  <si>
    <t>SYNTH-INT-000405</t>
  </si>
  <si>
    <t>SYNTH-ORDER-000405</t>
  </si>
  <si>
    <t>SYNTH-CUSTOMER-000405</t>
  </si>
  <si>
    <t>SYNTH-INT-000406</t>
  </si>
  <si>
    <t>SYNTH-ORDER-000406</t>
  </si>
  <si>
    <t>SYNTH-CUSTOMER-000406</t>
  </si>
  <si>
    <t>SYNTH-INT-000407</t>
  </si>
  <si>
    <t>SYNTH-ORDER-000407</t>
  </si>
  <si>
    <t>SYNTH-CUSTOMER-000407</t>
  </si>
  <si>
    <t>SYNTH-INT-000408</t>
  </si>
  <si>
    <t>SYNTH-ORDER-000408</t>
  </si>
  <si>
    <t>SYNTH-CUSTOMER-000408</t>
  </si>
  <si>
    <t>SYNTH-INT-000409</t>
  </si>
  <si>
    <t>SYNTH-ORDER-000409</t>
  </si>
  <si>
    <t>SYNTH-CUSTOMER-000409</t>
  </si>
  <si>
    <t>SYNTH-INT-000410</t>
  </si>
  <si>
    <t>SYNTH-ORDER-000410</t>
  </si>
  <si>
    <t>SYNTH-CUSTOMER-000410</t>
  </si>
  <si>
    <t>SYNTH-INT-000411</t>
  </si>
  <si>
    <t>SYNTH-ORDER-000411</t>
  </si>
  <si>
    <t>SYNTH-CUSTOMER-000411</t>
  </si>
  <si>
    <t>SYNTH-INT-000412</t>
  </si>
  <si>
    <t>SYNTH-ORDER-000412</t>
  </si>
  <si>
    <t>SYNTH-CUSTOMER-000412</t>
  </si>
  <si>
    <t>SYNTH-INT-000413</t>
  </si>
  <si>
    <t>SYNTH-ORDER-000413</t>
  </si>
  <si>
    <t>SYNTH-CUSTOMER-000413</t>
  </si>
  <si>
    <t>SYNTH-INT-000414</t>
  </si>
  <si>
    <t>SYNTH-ORDER-000414</t>
  </si>
  <si>
    <t>SYNTH-CUSTOMER-000414</t>
  </si>
  <si>
    <t>SYNTH-INT-000415</t>
  </si>
  <si>
    <t>SYNTH-ORDER-000415</t>
  </si>
  <si>
    <t>SYNTH-CUSTOMER-000415</t>
  </si>
  <si>
    <t>SYNTH-INT-000416</t>
  </si>
  <si>
    <t>SYNTH-ORDER-000416</t>
  </si>
  <si>
    <t>SYNTH-CUSTOMER-000416</t>
  </si>
  <si>
    <t>SYNTH-INT-000417</t>
  </si>
  <si>
    <t>SYNTH-ORDER-000417</t>
  </si>
  <si>
    <t>SYNTH-CUSTOMER-000417</t>
  </si>
  <si>
    <t>SYNTH-INT-000418</t>
  </si>
  <si>
    <t>SYNTH-ORDER-000418</t>
  </si>
  <si>
    <t>SYNTH-CUSTOMER-000418</t>
  </si>
  <si>
    <t>SYNTH-INT-000419</t>
  </si>
  <si>
    <t>SYNTH-ORDER-000419</t>
  </si>
  <si>
    <t>SYNTH-CUSTOMER-000419</t>
  </si>
  <si>
    <t>SYNTH-INT-000420</t>
  </si>
  <si>
    <t>SYNTH-ORDER-000420</t>
  </si>
  <si>
    <t>SYNTH-CUSTOMER-000420</t>
  </si>
  <si>
    <t>SYNTH-INT-000421</t>
  </si>
  <si>
    <t>SYNTH-ORDER-000421</t>
  </si>
  <si>
    <t>SYNTH-CUSTOMER-000421</t>
  </si>
  <si>
    <t>SYNTH-INT-000422</t>
  </si>
  <si>
    <t>SYNTH-ORDER-000422</t>
  </si>
  <si>
    <t>SYNTH-CUSTOMER-000422</t>
  </si>
  <si>
    <t>SYNTH-INT-000423</t>
  </si>
  <si>
    <t>SYNTH-ORDER-000423</t>
  </si>
  <si>
    <t>SYNTH-CUSTOMER-000423</t>
  </si>
  <si>
    <t>SYNTH-INT-000424</t>
  </si>
  <si>
    <t>SYNTH-ORDER-000424</t>
  </si>
  <si>
    <t>SYNTH-CUSTOMER-000424</t>
  </si>
  <si>
    <t>SYNTH-INT-000425</t>
  </si>
  <si>
    <t>SYNTH-ORDER-000425</t>
  </si>
  <si>
    <t>SYNTH-CUSTOMER-000425</t>
  </si>
  <si>
    <t>SYNTH-INT-000426</t>
  </si>
  <si>
    <t>SYNTH-ORDER-000426</t>
  </si>
  <si>
    <t>SYNTH-CUSTOMER-000426</t>
  </si>
  <si>
    <t>SYNTH-INT-000427</t>
  </si>
  <si>
    <t>SYNTH-ORDER-000427</t>
  </si>
  <si>
    <t>SYNTH-CUSTOMER-000427</t>
  </si>
  <si>
    <t>SYNTH-INT-000428</t>
  </si>
  <si>
    <t>SYNTH-ORDER-000428</t>
  </si>
  <si>
    <t>SYNTH-CUSTOMER-000428</t>
  </si>
  <si>
    <t>SYNTH-INT-000429</t>
  </si>
  <si>
    <t>SYNTH-ORDER-000429</t>
  </si>
  <si>
    <t>SYNTH-CUSTOMER-000429</t>
  </si>
  <si>
    <t>SYNTH-INT-000430</t>
  </si>
  <si>
    <t>SYNTH-ORDER-000430</t>
  </si>
  <si>
    <t>SYNTH-CUSTOMER-000430</t>
  </si>
  <si>
    <t>SYNTH-INT-000431</t>
  </si>
  <si>
    <t>SYNTH-ORDER-000431</t>
  </si>
  <si>
    <t>SYNTH-CUSTOMER-000431</t>
  </si>
  <si>
    <t>SYNTH-INT-000432</t>
  </si>
  <si>
    <t>SYNTH-ORDER-000432</t>
  </si>
  <si>
    <t>SYNTH-CUSTOMER-000432</t>
  </si>
  <si>
    <t>SYNTH-INT-000433</t>
  </si>
  <si>
    <t>SYNTH-ORDER-000433</t>
  </si>
  <si>
    <t>SYNTH-CUSTOMER-000433</t>
  </si>
  <si>
    <t>SYNTH-INT-000434</t>
  </si>
  <si>
    <t>SYNTH-ORDER-000434</t>
  </si>
  <si>
    <t>SYNTH-CUSTOMER-000434</t>
  </si>
  <si>
    <t>SYNTH-INT-000435</t>
  </si>
  <si>
    <t>SYNTH-ORDER-000435</t>
  </si>
  <si>
    <t>SYNTH-CUSTOMER-000435</t>
  </si>
  <si>
    <t>SYNTH-INT-000436</t>
  </si>
  <si>
    <t>SYNTH-ORDER-000436</t>
  </si>
  <si>
    <t>SYNTH-CUSTOMER-000436</t>
  </si>
  <si>
    <t>SYNTH-INT-000437</t>
  </si>
  <si>
    <t>SYNTH-ORDER-000437</t>
  </si>
  <si>
    <t>SYNTH-CUSTOMER-000437</t>
  </si>
  <si>
    <t>SYNTH-INT-000438</t>
  </si>
  <si>
    <t>SYNTH-ORDER-000438</t>
  </si>
  <si>
    <t>SYNTH-CUSTOMER-000438</t>
  </si>
  <si>
    <t>SYNTH-INT-000439</t>
  </si>
  <si>
    <t>SYNTH-ORDER-000439</t>
  </si>
  <si>
    <t>SYNTH-CUSTOMER-000439</t>
  </si>
  <si>
    <t>SYNTH-INT-000440</t>
  </si>
  <si>
    <t>SYNTH-ORDER-000440</t>
  </si>
  <si>
    <t>SYNTH-CUSTOMER-000440</t>
  </si>
  <si>
    <t>SYNTH-INT-000441</t>
  </si>
  <si>
    <t>SYNTH-ORDER-000441</t>
  </si>
  <si>
    <t>SYNTH-CUSTOMER-000441</t>
  </si>
  <si>
    <t>SYNTH-INT-000442</t>
  </si>
  <si>
    <t>SYNTH-ORDER-000442</t>
  </si>
  <si>
    <t>SYNTH-CUSTOMER-000442</t>
  </si>
  <si>
    <t>SYNTH-INT-000443</t>
  </si>
  <si>
    <t>SYNTH-ORDER-000443</t>
  </si>
  <si>
    <t>SYNTH-CUSTOMER-000443</t>
  </si>
  <si>
    <t>SYNTH-INT-000444</t>
  </si>
  <si>
    <t>SYNTH-ORDER-000444</t>
  </si>
  <si>
    <t>SYNTH-CUSTOMER-000444</t>
  </si>
  <si>
    <t>SYNTH-INT-000445</t>
  </si>
  <si>
    <t>SYNTH-ORDER-000445</t>
  </si>
  <si>
    <t>SYNTH-CUSTOMER-000445</t>
  </si>
  <si>
    <t>SYNTH-INT-000446</t>
  </si>
  <si>
    <t>SYNTH-ORDER-000446</t>
  </si>
  <si>
    <t>SYNTH-CUSTOMER-000446</t>
  </si>
  <si>
    <t>SYNTH-INT-000447</t>
  </si>
  <si>
    <t>SYNTH-ORDER-000447</t>
  </si>
  <si>
    <t>SYNTH-CUSTOMER-000447</t>
  </si>
  <si>
    <t>SYNTH-INT-000448</t>
  </si>
  <si>
    <t>SYNTH-ORDER-000448</t>
  </si>
  <si>
    <t>SYNTH-CUSTOMER-000448</t>
  </si>
  <si>
    <t>SYNTH-INT-000449</t>
  </si>
  <si>
    <t>SYNTH-ORDER-000449</t>
  </si>
  <si>
    <t>SYNTH-CUSTOMER-000449</t>
  </si>
  <si>
    <t>SYNTH-INT-000450</t>
  </si>
  <si>
    <t>SYNTH-ORDER-000450</t>
  </si>
  <si>
    <t>SYNTH-CUSTOMER-000450</t>
  </si>
  <si>
    <t>SYNTH-INT-000451</t>
  </si>
  <si>
    <t>SYNTH-ORDER-000451</t>
  </si>
  <si>
    <t>SYNTH-CUSTOMER-000451</t>
  </si>
  <si>
    <t>SYNTH-INT-000452</t>
  </si>
  <si>
    <t>SYNTH-ORDER-000452</t>
  </si>
  <si>
    <t>SYNTH-CUSTOMER-000452</t>
  </si>
  <si>
    <t>SYNTH-INT-000453</t>
  </si>
  <si>
    <t>SYNTH-ORDER-000453</t>
  </si>
  <si>
    <t>SYNTH-CUSTOMER-000453</t>
  </si>
  <si>
    <t>SYNTH-INT-000454</t>
  </si>
  <si>
    <t>SYNTH-ORDER-000454</t>
  </si>
  <si>
    <t>SYNTH-CUSTOMER-000454</t>
  </si>
  <si>
    <t>SYNTH-INT-000455</t>
  </si>
  <si>
    <t>SYNTH-ORDER-000455</t>
  </si>
  <si>
    <t>SYNTH-CUSTOMER-000455</t>
  </si>
  <si>
    <t>SYNTH-INT-000456</t>
  </si>
  <si>
    <t>SYNTH-ORDER-000456</t>
  </si>
  <si>
    <t>SYNTH-CUSTOMER-000456</t>
  </si>
  <si>
    <t>SYNTH-INT-000457</t>
  </si>
  <si>
    <t>SYNTH-ORDER-000457</t>
  </si>
  <si>
    <t>SYNTH-CUSTOMER-000457</t>
  </si>
  <si>
    <t>SYNTH-INT-000458</t>
  </si>
  <si>
    <t>SYNTH-ORDER-000458</t>
  </si>
  <si>
    <t>SYNTH-CUSTOMER-000458</t>
  </si>
  <si>
    <t>SYNTH-INT-000459</t>
  </si>
  <si>
    <t>SYNTH-ORDER-000459</t>
  </si>
  <si>
    <t>SYNTH-CUSTOMER-000459</t>
  </si>
  <si>
    <t>SYNTH-INT-000460</t>
  </si>
  <si>
    <t>SYNTH-ORDER-000460</t>
  </si>
  <si>
    <t>SYNTH-CUSTOMER-000460</t>
  </si>
  <si>
    <t>SYNTH-INT-000461</t>
  </si>
  <si>
    <t>SYNTH-ORDER-000461</t>
  </si>
  <si>
    <t>SYNTH-CUSTOMER-000461</t>
  </si>
  <si>
    <t>SYNTH-INT-000462</t>
  </si>
  <si>
    <t>SYNTH-ORDER-000462</t>
  </si>
  <si>
    <t>SYNTH-CUSTOMER-000462</t>
  </si>
  <si>
    <t>SYNTH-INT-000463</t>
  </si>
  <si>
    <t>SYNTH-ORDER-000463</t>
  </si>
  <si>
    <t>SYNTH-CUSTOMER-000463</t>
  </si>
  <si>
    <t>SYNTH-INT-000464</t>
  </si>
  <si>
    <t>SYNTH-ORDER-000464</t>
  </si>
  <si>
    <t>SYNTH-CUSTOMER-000464</t>
  </si>
  <si>
    <t>SYNTH-INT-000465</t>
  </si>
  <si>
    <t>SYNTH-ORDER-000465</t>
  </si>
  <si>
    <t>SYNTH-CUSTOMER-000465</t>
  </si>
  <si>
    <t>SYNTH-INT-000466</t>
  </si>
  <si>
    <t>SYNTH-ORDER-000466</t>
  </si>
  <si>
    <t>SYNTH-CUSTOMER-000466</t>
  </si>
  <si>
    <t>SYNTH-INT-000467</t>
  </si>
  <si>
    <t>SYNTH-ORDER-000467</t>
  </si>
  <si>
    <t>SYNTH-CUSTOMER-000467</t>
  </si>
  <si>
    <t>SYNTH-INT-000468</t>
  </si>
  <si>
    <t>SYNTH-ORDER-000468</t>
  </si>
  <si>
    <t>SYNTH-CUSTOMER-000468</t>
  </si>
  <si>
    <t>SYNTH-INT-000469</t>
  </si>
  <si>
    <t>SYNTH-ORDER-000469</t>
  </si>
  <si>
    <t>SYNTH-CUSTOMER-000469</t>
  </si>
  <si>
    <t>SYNTH-INT-000470</t>
  </si>
  <si>
    <t>SYNTH-ORDER-000470</t>
  </si>
  <si>
    <t>SYNTH-CUSTOMER-000470</t>
  </si>
  <si>
    <t>SYNTH-INT-000471</t>
  </si>
  <si>
    <t>SYNTH-ORDER-000471</t>
  </si>
  <si>
    <t>SYNTH-CUSTOMER-000471</t>
  </si>
  <si>
    <t>SYNTH-INT-000472</t>
  </si>
  <si>
    <t>SYNTH-ORDER-000472</t>
  </si>
  <si>
    <t>SYNTH-CUSTOMER-000472</t>
  </si>
  <si>
    <t>SYNTH-INT-000473</t>
  </si>
  <si>
    <t>SYNTH-ORDER-000473</t>
  </si>
  <si>
    <t>SYNTH-CUSTOMER-000473</t>
  </si>
  <si>
    <t>SYNTH-INT-000474</t>
  </si>
  <si>
    <t>SYNTH-ORDER-000474</t>
  </si>
  <si>
    <t>SYNTH-CUSTOMER-000474</t>
  </si>
  <si>
    <t>SYNTH-INT-000475</t>
  </si>
  <si>
    <t>SYNTH-ORDER-000475</t>
  </si>
  <si>
    <t>SYNTH-CUSTOMER-000475</t>
  </si>
  <si>
    <t>SYNTH-INT-000476</t>
  </si>
  <si>
    <t>SYNTH-ORDER-000476</t>
  </si>
  <si>
    <t>SYNTH-CUSTOMER-000476</t>
  </si>
  <si>
    <t>SYNTH-INT-000477</t>
  </si>
  <si>
    <t>SYNTH-ORDER-000477</t>
  </si>
  <si>
    <t>SYNTH-CUSTOMER-000477</t>
  </si>
  <si>
    <t>SYNTH-INT-000478</t>
  </si>
  <si>
    <t>SYNTH-ORDER-000478</t>
  </si>
  <si>
    <t>SYNTH-CUSTOMER-000478</t>
  </si>
  <si>
    <t>SYNTH-INT-000479</t>
  </si>
  <si>
    <t>SYNTH-ORDER-000479</t>
  </si>
  <si>
    <t>SYNTH-CUSTOMER-000479</t>
  </si>
  <si>
    <t>SYNTH-INT-000480</t>
  </si>
  <si>
    <t>SYNTH-ORDER-000480</t>
  </si>
  <si>
    <t>SYNTH-CUSTOMER-000480</t>
  </si>
  <si>
    <t>SYNTH-INT-000481</t>
  </si>
  <si>
    <t>SYNTH-ORDER-000481</t>
  </si>
  <si>
    <t>SYNTH-CUSTOMER-000481</t>
  </si>
  <si>
    <t>SYNTH-INT-000482</t>
  </si>
  <si>
    <t>SYNTH-ORDER-000482</t>
  </si>
  <si>
    <t>SYNTH-CUSTOMER-000482</t>
  </si>
  <si>
    <t>SYNTH-INT-000483</t>
  </si>
  <si>
    <t>SYNTH-ORDER-000483</t>
  </si>
  <si>
    <t>SYNTH-CUSTOMER-000483</t>
  </si>
  <si>
    <t>SYNTH-INT-000484</t>
  </si>
  <si>
    <t>SYNTH-ORDER-000484</t>
  </si>
  <si>
    <t>SYNTH-CUSTOMER-000484</t>
  </si>
  <si>
    <t>SYNTH-INT-000485</t>
  </si>
  <si>
    <t>SYNTH-ORDER-000485</t>
  </si>
  <si>
    <t>SYNTH-CUSTOMER-000485</t>
  </si>
  <si>
    <t>SYNTH-INT-000486</t>
  </si>
  <si>
    <t>SYNTH-ORDER-000486</t>
  </si>
  <si>
    <t>SYNTH-CUSTOMER-000486</t>
  </si>
  <si>
    <t>SYNTH-INT-000487</t>
  </si>
  <si>
    <t>SYNTH-ORDER-000487</t>
  </si>
  <si>
    <t>SYNTH-CUSTOMER-000487</t>
  </si>
  <si>
    <t>SYNTH-INT-000488</t>
  </si>
  <si>
    <t>SYNTH-ORDER-000488</t>
  </si>
  <si>
    <t>SYNTH-CUSTOMER-000488</t>
  </si>
  <si>
    <t>SYNTH-INT-000489</t>
  </si>
  <si>
    <t>SYNTH-ORDER-000489</t>
  </si>
  <si>
    <t>SYNTH-CUSTOMER-000489</t>
  </si>
  <si>
    <t>SYNTH-INT-000490</t>
  </si>
  <si>
    <t>SYNTH-ORDER-000490</t>
  </si>
  <si>
    <t>SYNTH-CUSTOMER-000490</t>
  </si>
  <si>
    <t>SYNTH-INT-000491</t>
  </si>
  <si>
    <t>SYNTH-ORDER-000491</t>
  </si>
  <si>
    <t>SYNTH-CUSTOMER-000491</t>
  </si>
  <si>
    <t>SYNTH-INT-000492</t>
  </si>
  <si>
    <t>SYNTH-ORDER-000492</t>
  </si>
  <si>
    <t>SYNTH-CUSTOMER-000492</t>
  </si>
  <si>
    <t>SYNTH-INT-000493</t>
  </si>
  <si>
    <t>SYNTH-ORDER-000493</t>
  </si>
  <si>
    <t>SYNTH-CUSTOMER-000493</t>
  </si>
  <si>
    <t>SYNTH-INT-000494</t>
  </si>
  <si>
    <t>SYNTH-ORDER-000494</t>
  </si>
  <si>
    <t>SYNTH-CUSTOMER-000494</t>
  </si>
  <si>
    <t>SYNTH-INT-000495</t>
  </si>
  <si>
    <t>SYNTH-ORDER-000495</t>
  </si>
  <si>
    <t>SYNTH-CUSTOMER-000495</t>
  </si>
  <si>
    <t>SYNTH-INT-000496</t>
  </si>
  <si>
    <t>SYNTH-ORDER-000496</t>
  </si>
  <si>
    <t>SYNTH-CUSTOMER-000496</t>
  </si>
  <si>
    <t>SYNTH-INT-000497</t>
  </si>
  <si>
    <t>SYNTH-ORDER-000497</t>
  </si>
  <si>
    <t>SYNTH-CUSTOMER-000497</t>
  </si>
  <si>
    <t>SYNTH-INT-000498</t>
  </si>
  <si>
    <t>SYNTH-ORDER-000498</t>
  </si>
  <si>
    <t>SYNTH-CUSTOMER-000498</t>
  </si>
  <si>
    <t>SYNTH-INT-000499</t>
  </si>
  <si>
    <t>SYNTH-ORDER-000499</t>
  </si>
  <si>
    <t>SYNTH-CUSTOMER-000499</t>
  </si>
  <si>
    <t>SYNTH-INT-000500</t>
  </si>
  <si>
    <t>SYNTH-ORDER-000500</t>
  </si>
  <si>
    <t>SYNTH-CUSTOMER-000500</t>
  </si>
  <si>
    <t>SYNTH-INT-000501</t>
  </si>
  <si>
    <t>SYNTH-ORDER-000501</t>
  </si>
  <si>
    <t>SYNTH-CUSTOMER-000501</t>
  </si>
  <si>
    <t>SYNTH-INT-000502</t>
  </si>
  <si>
    <t>SYNTH-ORDER-000502</t>
  </si>
  <si>
    <t>SYNTH-CUSTOMER-000502</t>
  </si>
  <si>
    <t>SYNTH-INT-000503</t>
  </si>
  <si>
    <t>SYNTH-ORDER-000503</t>
  </si>
  <si>
    <t>SYNTH-CUSTOMER-000503</t>
  </si>
  <si>
    <t>SYNTH-INT-000504</t>
  </si>
  <si>
    <t>SYNTH-ORDER-000504</t>
  </si>
  <si>
    <t>SYNTH-CUSTOMER-000504</t>
  </si>
  <si>
    <t>SYNTH-INT-000505</t>
  </si>
  <si>
    <t>SYNTH-ORDER-000505</t>
  </si>
  <si>
    <t>SYNTH-CUSTOMER-000505</t>
  </si>
  <si>
    <t>SYNTH-INT-000506</t>
  </si>
  <si>
    <t>SYNTH-ORDER-000506</t>
  </si>
  <si>
    <t>SYNTH-CUSTOMER-000506</t>
  </si>
  <si>
    <t>SYNTH-INT-000507</t>
  </si>
  <si>
    <t>SYNTH-ORDER-000507</t>
  </si>
  <si>
    <t>SYNTH-CUSTOMER-000507</t>
  </si>
  <si>
    <t>SYNTH-INT-000508</t>
  </si>
  <si>
    <t>SYNTH-ORDER-000508</t>
  </si>
  <si>
    <t>SYNTH-CUSTOMER-000508</t>
  </si>
  <si>
    <t>SYNTH-INT-000509</t>
  </si>
  <si>
    <t>SYNTH-ORDER-000509</t>
  </si>
  <si>
    <t>SYNTH-CUSTOMER-000509</t>
  </si>
  <si>
    <t>SYNTH-INT-000510</t>
  </si>
  <si>
    <t>SYNTH-ORDER-000510</t>
  </si>
  <si>
    <t>SYNTH-CUSTOMER-000510</t>
  </si>
  <si>
    <t>SYNTH-INT-000511</t>
  </si>
  <si>
    <t>SYNTH-ORDER-000511</t>
  </si>
  <si>
    <t>SYNTH-CUSTOMER-000511</t>
  </si>
  <si>
    <t>SYNTH-INT-000512</t>
  </si>
  <si>
    <t>SYNTH-ORDER-000512</t>
  </si>
  <si>
    <t>SYNTH-CUSTOMER-000512</t>
  </si>
  <si>
    <t>SYNTH-INT-000513</t>
  </si>
  <si>
    <t>SYNTH-ORDER-000513</t>
  </si>
  <si>
    <t>SYNTH-CUSTOMER-000513</t>
  </si>
  <si>
    <t>SYNTH-INT-000514</t>
  </si>
  <si>
    <t>SYNTH-ORDER-000514</t>
  </si>
  <si>
    <t>SYNTH-CUSTOMER-000514</t>
  </si>
  <si>
    <t>SYNTH-INT-000515</t>
  </si>
  <si>
    <t>SYNTH-ORDER-000515</t>
  </si>
  <si>
    <t>SYNTH-CUSTOMER-000515</t>
  </si>
  <si>
    <t>SYNTH-INT-000516</t>
  </si>
  <si>
    <t>SYNTH-ORDER-000516</t>
  </si>
  <si>
    <t>SYNTH-CUSTOMER-000516</t>
  </si>
  <si>
    <t>SYNTH-INT-000517</t>
  </si>
  <si>
    <t>SYNTH-ORDER-000517</t>
  </si>
  <si>
    <t>SYNTH-CUSTOMER-000517</t>
  </si>
  <si>
    <t>SYNTH-INT-000518</t>
  </si>
  <si>
    <t>SYNTH-ORDER-000518</t>
  </si>
  <si>
    <t>SYNTH-CUSTOMER-000518</t>
  </si>
  <si>
    <t>SYNTH-INT-000519</t>
  </si>
  <si>
    <t>SYNTH-ORDER-000519</t>
  </si>
  <si>
    <t>SYNTH-CUSTOMER-000519</t>
  </si>
  <si>
    <t>SYNTH-INT-000520</t>
  </si>
  <si>
    <t>SYNTH-ORDER-000520</t>
  </si>
  <si>
    <t>SYNTH-CUSTOMER-000520</t>
  </si>
  <si>
    <t>SYNTH-INT-000521</t>
  </si>
  <si>
    <t>SYNTH-ORDER-000521</t>
  </si>
  <si>
    <t>SYNTH-CUSTOMER-000521</t>
  </si>
  <si>
    <t>SYNTH-INT-000522</t>
  </si>
  <si>
    <t>SYNTH-ORDER-000522</t>
  </si>
  <si>
    <t>SYNTH-CUSTOMER-000522</t>
  </si>
  <si>
    <t>SYNTH-INT-000523</t>
  </si>
  <si>
    <t>SYNTH-ORDER-000523</t>
  </si>
  <si>
    <t>SYNTH-CUSTOMER-000523</t>
  </si>
  <si>
    <t>SYNTH-INT-000524</t>
  </si>
  <si>
    <t>SYNTH-ORDER-000524</t>
  </si>
  <si>
    <t>SYNTH-CUSTOMER-000524</t>
  </si>
  <si>
    <t>SYNTH-INT-000525</t>
  </si>
  <si>
    <t>SYNTH-ORDER-000525</t>
  </si>
  <si>
    <t>SYNTH-CUSTOMER-000525</t>
  </si>
  <si>
    <t>SYNTH-INT-000526</t>
  </si>
  <si>
    <t>SYNTH-ORDER-000526</t>
  </si>
  <si>
    <t>SYNTH-CUSTOMER-000526</t>
  </si>
  <si>
    <t>SYNTH-INT-000527</t>
  </si>
  <si>
    <t>SYNTH-ORDER-000527</t>
  </si>
  <si>
    <t>SYNTH-CUSTOMER-000527</t>
  </si>
  <si>
    <t>SYNTH-INT-000528</t>
  </si>
  <si>
    <t>SYNTH-ORDER-000528</t>
  </si>
  <si>
    <t>SYNTH-CUSTOMER-000528</t>
  </si>
  <si>
    <t>SYNTH-INT-000529</t>
  </si>
  <si>
    <t>SYNTH-ORDER-000529</t>
  </si>
  <si>
    <t>SYNTH-CUSTOMER-000529</t>
  </si>
  <si>
    <t>SYNTH-INT-000530</t>
  </si>
  <si>
    <t>SYNTH-ORDER-000530</t>
  </si>
  <si>
    <t>SYNTH-CUSTOMER-000530</t>
  </si>
  <si>
    <t>SYNTH-INT-000531</t>
  </si>
  <si>
    <t>SYNTH-ORDER-000531</t>
  </si>
  <si>
    <t>SYNTH-CUSTOMER-000531</t>
  </si>
  <si>
    <t>SYNTH-INT-000532</t>
  </si>
  <si>
    <t>SYNTH-ORDER-000532</t>
  </si>
  <si>
    <t>SYNTH-CUSTOMER-000532</t>
  </si>
  <si>
    <t>SYNTH-INT-000533</t>
  </si>
  <si>
    <t>SYNTH-ORDER-000533</t>
  </si>
  <si>
    <t>SYNTH-CUSTOMER-000533</t>
  </si>
  <si>
    <t>SYNTH-INT-000534</t>
  </si>
  <si>
    <t>SYNTH-ORDER-000534</t>
  </si>
  <si>
    <t>SYNTH-CUSTOMER-000534</t>
  </si>
  <si>
    <t>SYNTH-INT-000535</t>
  </si>
  <si>
    <t>SYNTH-ORDER-000535</t>
  </si>
  <si>
    <t>SYNTH-CUSTOMER-000535</t>
  </si>
  <si>
    <t>SYNTH-INT-000536</t>
  </si>
  <si>
    <t>SYNTH-ORDER-000536</t>
  </si>
  <si>
    <t>SYNTH-CUSTOMER-000536</t>
  </si>
  <si>
    <t>SYNTH-INT-000537</t>
  </si>
  <si>
    <t>SYNTH-ORDER-000537</t>
  </si>
  <si>
    <t>SYNTH-CUSTOMER-000537</t>
  </si>
  <si>
    <t>SYNTH-INT-000538</t>
  </si>
  <si>
    <t>SYNTH-ORDER-000538</t>
  </si>
  <si>
    <t>SYNTH-CUSTOMER-000538</t>
  </si>
  <si>
    <t>SYNTH-INT-000539</t>
  </si>
  <si>
    <t>SYNTH-ORDER-000539</t>
  </si>
  <si>
    <t>SYNTH-CUSTOMER-000539</t>
  </si>
  <si>
    <t>SYNTH-INT-000540</t>
  </si>
  <si>
    <t>SYNTH-ORDER-000540</t>
  </si>
  <si>
    <t>SYNTH-CUSTOMER-000540</t>
  </si>
  <si>
    <t>SYNTH-INT-000541</t>
  </si>
  <si>
    <t>SYNTH-ORDER-000541</t>
  </si>
  <si>
    <t>SYNTH-CUSTOMER-000541</t>
  </si>
  <si>
    <t>SYNTH-INT-000542</t>
  </si>
  <si>
    <t>SYNTH-ORDER-000542</t>
  </si>
  <si>
    <t>SYNTH-CUSTOMER-000542</t>
  </si>
  <si>
    <t>SYNTH-INT-000543</t>
  </si>
  <si>
    <t>SYNTH-ORDER-000543</t>
  </si>
  <si>
    <t>SYNTH-CUSTOMER-000543</t>
  </si>
  <si>
    <t>SYNTH-INT-000544</t>
  </si>
  <si>
    <t>SYNTH-ORDER-000544</t>
  </si>
  <si>
    <t>SYNTH-CUSTOMER-000544</t>
  </si>
  <si>
    <t>SYNTH-INT-000545</t>
  </si>
  <si>
    <t>SYNTH-ORDER-000545</t>
  </si>
  <si>
    <t>SYNTH-CUSTOMER-000545</t>
  </si>
  <si>
    <t>SYNTH-INT-000546</t>
  </si>
  <si>
    <t>SYNTH-ORDER-000546</t>
  </si>
  <si>
    <t>SYNTH-CUSTOMER-000546</t>
  </si>
  <si>
    <t>SYNTH-INT-000547</t>
  </si>
  <si>
    <t>SYNTH-ORDER-000547</t>
  </si>
  <si>
    <t>SYNTH-CUSTOMER-000547</t>
  </si>
  <si>
    <t>SYNTH-INT-000548</t>
  </si>
  <si>
    <t>SYNTH-ORDER-000548</t>
  </si>
  <si>
    <t>SYNTH-CUSTOMER-000548</t>
  </si>
  <si>
    <t>SYNTH-INT-000549</t>
  </si>
  <si>
    <t>SYNTH-ORDER-000549</t>
  </si>
  <si>
    <t>SYNTH-CUSTOMER-000549</t>
  </si>
  <si>
    <t>SYNTH-INT-000550</t>
  </si>
  <si>
    <t>SYNTH-ORDER-000550</t>
  </si>
  <si>
    <t>SYNTH-CUSTOMER-000550</t>
  </si>
  <si>
    <t>SYNTH-INT-000551</t>
  </si>
  <si>
    <t>SYNTH-ORDER-000551</t>
  </si>
  <si>
    <t>SYNTH-CUSTOMER-000551</t>
  </si>
  <si>
    <t>SYNTH-INT-000552</t>
  </si>
  <si>
    <t>SYNTH-ORDER-000552</t>
  </si>
  <si>
    <t>SYNTH-CUSTOMER-000552</t>
  </si>
  <si>
    <t>SYNTH-INT-000553</t>
  </si>
  <si>
    <t>SYNTH-ORDER-000553</t>
  </si>
  <si>
    <t>SYNTH-CUSTOMER-000553</t>
  </si>
  <si>
    <t>SYNTH-INT-000554</t>
  </si>
  <si>
    <t>SYNTH-ORDER-000554</t>
  </si>
  <si>
    <t>SYNTH-CUSTOMER-000554</t>
  </si>
  <si>
    <t>SYNTH-INT-000555</t>
  </si>
  <si>
    <t>SYNTH-ORDER-000555</t>
  </si>
  <si>
    <t>SYNTH-CUSTOMER-000555</t>
  </si>
  <si>
    <t>SYNTH-INT-000556</t>
  </si>
  <si>
    <t>SYNTH-ORDER-000556</t>
  </si>
  <si>
    <t>SYNTH-CUSTOMER-000556</t>
  </si>
  <si>
    <t>SYNTH-INT-000557</t>
  </si>
  <si>
    <t>SYNTH-ORDER-000557</t>
  </si>
  <si>
    <t>SYNTH-CUSTOMER-000557</t>
  </si>
  <si>
    <t>SYNTH-INT-000558</t>
  </si>
  <si>
    <t>SYNTH-ORDER-000558</t>
  </si>
  <si>
    <t>SYNTH-CUSTOMER-000558</t>
  </si>
  <si>
    <t>SYNTH-INT-000559</t>
  </si>
  <si>
    <t>SYNTH-ORDER-000559</t>
  </si>
  <si>
    <t>SYNTH-CUSTOMER-000559</t>
  </si>
  <si>
    <t>SYNTH-INT-000560</t>
  </si>
  <si>
    <t>SYNTH-ORDER-000560</t>
  </si>
  <si>
    <t>SYNTH-CUSTOMER-000560</t>
  </si>
  <si>
    <t>SYNTH-INT-000561</t>
  </si>
  <si>
    <t>SYNTH-ORDER-000561</t>
  </si>
  <si>
    <t>SYNTH-CUSTOMER-000561</t>
  </si>
  <si>
    <t>SYNTH-INT-000562</t>
  </si>
  <si>
    <t>SYNTH-ORDER-000562</t>
  </si>
  <si>
    <t>SYNTH-CUSTOMER-000562</t>
  </si>
  <si>
    <t>SYNTH-INT-000563</t>
  </si>
  <si>
    <t>SYNTH-ORDER-000563</t>
  </si>
  <si>
    <t>SYNTH-CUSTOMER-000563</t>
  </si>
  <si>
    <t>SYNTH-INT-000564</t>
  </si>
  <si>
    <t>SYNTH-ORDER-000564</t>
  </si>
  <si>
    <t>SYNTH-CUSTOMER-000564</t>
  </si>
  <si>
    <t>SYNTH-INT-000565</t>
  </si>
  <si>
    <t>SYNTH-ORDER-000565</t>
  </si>
  <si>
    <t>SYNTH-CUSTOMER-000565</t>
  </si>
  <si>
    <t>SYNTH-INT-000566</t>
  </si>
  <si>
    <t>SYNTH-ORDER-000566</t>
  </si>
  <si>
    <t>SYNTH-CUSTOMER-000566</t>
  </si>
  <si>
    <t>SYNTH-INT-000567</t>
  </si>
  <si>
    <t>SYNTH-ORDER-000567</t>
  </si>
  <si>
    <t>SYNTH-CUSTOMER-000567</t>
  </si>
  <si>
    <t>SYNTH-INT-000568</t>
  </si>
  <si>
    <t>SYNTH-ORDER-000568</t>
  </si>
  <si>
    <t>SYNTH-CUSTOMER-000568</t>
  </si>
  <si>
    <t>SYNTH-INT-000569</t>
  </si>
  <si>
    <t>SYNTH-ORDER-000569</t>
  </si>
  <si>
    <t>SYNTH-CUSTOMER-000569</t>
  </si>
  <si>
    <t>SYNTH-INT-000570</t>
  </si>
  <si>
    <t>SYNTH-ORDER-000570</t>
  </si>
  <si>
    <t>SYNTH-CUSTOMER-000570</t>
  </si>
  <si>
    <t>SYNTH-INT-000571</t>
  </si>
  <si>
    <t>SYNTH-ORDER-000571</t>
  </si>
  <si>
    <t>SYNTH-CUSTOMER-000571</t>
  </si>
  <si>
    <t>SYNTH-INT-000572</t>
  </si>
  <si>
    <t>SYNTH-ORDER-000572</t>
  </si>
  <si>
    <t>SYNTH-CUSTOMER-000572</t>
  </si>
  <si>
    <t>SYNTH-INT-000573</t>
  </si>
  <si>
    <t>SYNTH-ORDER-000573</t>
  </si>
  <si>
    <t>SYNTH-CUSTOMER-000573</t>
  </si>
  <si>
    <t>SYNTH-INT-000574</t>
  </si>
  <si>
    <t>SYNTH-ORDER-000574</t>
  </si>
  <si>
    <t>SYNTH-CUSTOMER-000574</t>
  </si>
  <si>
    <t>SYNTH-INT-000575</t>
  </si>
  <si>
    <t>SYNTH-ORDER-000575</t>
  </si>
  <si>
    <t>SYNTH-CUSTOMER-000575</t>
  </si>
  <si>
    <t>SYNTH-INT-000576</t>
  </si>
  <si>
    <t>SYNTH-ORDER-000576</t>
  </si>
  <si>
    <t>SYNTH-CUSTOMER-000576</t>
  </si>
  <si>
    <t>SYNTH-INT-000577</t>
  </si>
  <si>
    <t>SYNTH-ORDER-000577</t>
  </si>
  <si>
    <t>SYNTH-CUSTOMER-000577</t>
  </si>
  <si>
    <t>SYNTH-INT-000578</t>
  </si>
  <si>
    <t>SYNTH-ORDER-000578</t>
  </si>
  <si>
    <t>SYNTH-CUSTOMER-000578</t>
  </si>
  <si>
    <t>SYNTH-INT-000579</t>
  </si>
  <si>
    <t>SYNTH-ORDER-000579</t>
  </si>
  <si>
    <t>SYNTH-CUSTOMER-000579</t>
  </si>
  <si>
    <t>SYNTH-INT-000580</t>
  </si>
  <si>
    <t>SYNTH-ORDER-000580</t>
  </si>
  <si>
    <t>SYNTH-CUSTOMER-000580</t>
  </si>
  <si>
    <t>SYNTH-INT-000581</t>
  </si>
  <si>
    <t>SYNTH-ORDER-000581</t>
  </si>
  <si>
    <t>SYNTH-CUSTOMER-000581</t>
  </si>
  <si>
    <t>SYNTH-INT-000582</t>
  </si>
  <si>
    <t>SYNTH-ORDER-000582</t>
  </si>
  <si>
    <t>SYNTH-CUSTOMER-000582</t>
  </si>
  <si>
    <t>SYNTH-INT-000583</t>
  </si>
  <si>
    <t>SYNTH-ORDER-000583</t>
  </si>
  <si>
    <t>SYNTH-CUSTOMER-000583</t>
  </si>
  <si>
    <t>SYNTH-INT-000584</t>
  </si>
  <si>
    <t>SYNTH-ORDER-000584</t>
  </si>
  <si>
    <t>SYNTH-CUSTOMER-000584</t>
  </si>
  <si>
    <t>SYNTH-INT-000585</t>
  </si>
  <si>
    <t>SYNTH-ORDER-000585</t>
  </si>
  <si>
    <t>SYNTH-CUSTOMER-000585</t>
  </si>
  <si>
    <t>SYNTH-INT-000586</t>
  </si>
  <si>
    <t>SYNTH-ORDER-000586</t>
  </si>
  <si>
    <t>SYNTH-CUSTOMER-000586</t>
  </si>
  <si>
    <t>SYNTH-INT-000587</t>
  </si>
  <si>
    <t>SYNTH-ORDER-000587</t>
  </si>
  <si>
    <t>SYNTH-CUSTOMER-000587</t>
  </si>
  <si>
    <t>SYNTH-INT-000588</t>
  </si>
  <si>
    <t>SYNTH-ORDER-000588</t>
  </si>
  <si>
    <t>SYNTH-CUSTOMER-000588</t>
  </si>
  <si>
    <t>SYNTH-INT-000589</t>
  </si>
  <si>
    <t>SYNTH-ORDER-000589</t>
  </si>
  <si>
    <t>SYNTH-CUSTOMER-000589</t>
  </si>
  <si>
    <t>SYNTH-INT-000590</t>
  </si>
  <si>
    <t>SYNTH-ORDER-000590</t>
  </si>
  <si>
    <t>SYNTH-CUSTOMER-000590</t>
  </si>
  <si>
    <t>SYNTH-INT-000591</t>
  </si>
  <si>
    <t>SYNTH-ORDER-000591</t>
  </si>
  <si>
    <t>SYNTH-CUSTOMER-000591</t>
  </si>
  <si>
    <t>SYNTH-INT-000592</t>
  </si>
  <si>
    <t>SYNTH-ORDER-000592</t>
  </si>
  <si>
    <t>SYNTH-CUSTOMER-000592</t>
  </si>
  <si>
    <t>SYNTH-INT-000593</t>
  </si>
  <si>
    <t>SYNTH-ORDER-000593</t>
  </si>
  <si>
    <t>SYNTH-CUSTOMER-000593</t>
  </si>
  <si>
    <t>SYNTH-INT-000594</t>
  </si>
  <si>
    <t>SYNTH-ORDER-000594</t>
  </si>
  <si>
    <t>SYNTH-CUSTOMER-000594</t>
  </si>
  <si>
    <t>SYNTH-INT-000595</t>
  </si>
  <si>
    <t>SYNTH-ORDER-000595</t>
  </si>
  <si>
    <t>SYNTH-CUSTOMER-000595</t>
  </si>
  <si>
    <t>SYNTH-INT-000596</t>
  </si>
  <si>
    <t>SYNTH-ORDER-000596</t>
  </si>
  <si>
    <t>SYNTH-CUSTOMER-000596</t>
  </si>
  <si>
    <t>SYNTH-INT-000597</t>
  </si>
  <si>
    <t>SYNTH-ORDER-000597</t>
  </si>
  <si>
    <t>SYNTH-CUSTOMER-000597</t>
  </si>
  <si>
    <t>SYNTH-INT-000598</t>
  </si>
  <si>
    <t>SYNTH-ORDER-000598</t>
  </si>
  <si>
    <t>SYNTH-CUSTOMER-000598</t>
  </si>
  <si>
    <t>SYNTH-INT-000599</t>
  </si>
  <si>
    <t>SYNTH-ORDER-000599</t>
  </si>
  <si>
    <t>SYNTH-CUSTOMER-000599</t>
  </si>
  <si>
    <t>SYNTH-INT-000600</t>
  </si>
  <si>
    <t>SYNTH-ORDER-000600</t>
  </si>
  <si>
    <t>SYNTH-CUSTOMER-000600</t>
  </si>
  <si>
    <t>SYNTH-INT-000601</t>
  </si>
  <si>
    <t>SYNTH-ORDER-000601</t>
  </si>
  <si>
    <t>SYNTH-CUSTOMER-000601</t>
  </si>
  <si>
    <t>SYNTH-INT-000602</t>
  </si>
  <si>
    <t>SYNTH-ORDER-000602</t>
  </si>
  <si>
    <t>SYNTH-CUSTOMER-000602</t>
  </si>
  <si>
    <t>SYNTH-INT-000603</t>
  </si>
  <si>
    <t>SYNTH-ORDER-000603</t>
  </si>
  <si>
    <t>SYNTH-CUSTOMER-000603</t>
  </si>
  <si>
    <t>SYNTH-INT-000604</t>
  </si>
  <si>
    <t>SYNTH-ORDER-000604</t>
  </si>
  <si>
    <t>SYNTH-CUSTOMER-000604</t>
  </si>
  <si>
    <t>SYNTH-INT-000605</t>
  </si>
  <si>
    <t>SYNTH-ORDER-000605</t>
  </si>
  <si>
    <t>SYNTH-CUSTOMER-000605</t>
  </si>
  <si>
    <t>SYNTH-INT-000606</t>
  </si>
  <si>
    <t>SYNTH-ORDER-000606</t>
  </si>
  <si>
    <t>SYNTH-CUSTOMER-000606</t>
  </si>
  <si>
    <t>SYNTH-INT-000607</t>
  </si>
  <si>
    <t>SYNTH-ORDER-000607</t>
  </si>
  <si>
    <t>SYNTH-CUSTOMER-000607</t>
  </si>
  <si>
    <t>SYNTH-INT-000608</t>
  </si>
  <si>
    <t>SYNTH-ORDER-000608</t>
  </si>
  <si>
    <t>SYNTH-CUSTOMER-000608</t>
  </si>
  <si>
    <t>SYNTH-INT-000609</t>
  </si>
  <si>
    <t>SYNTH-ORDER-000609</t>
  </si>
  <si>
    <t>SYNTH-CUSTOMER-000609</t>
  </si>
  <si>
    <t>SYNTH-INT-000610</t>
  </si>
  <si>
    <t>SYNTH-ORDER-000610</t>
  </si>
  <si>
    <t>SYNTH-CUSTOMER-000610</t>
  </si>
  <si>
    <t>SYNTH-INT-000611</t>
  </si>
  <si>
    <t>SYNTH-ORDER-000611</t>
  </si>
  <si>
    <t>SYNTH-CUSTOMER-000611</t>
  </si>
  <si>
    <t>SYNTH-INT-000612</t>
  </si>
  <si>
    <t>SYNTH-ORDER-000612</t>
  </si>
  <si>
    <t>SYNTH-CUSTOMER-000612</t>
  </si>
  <si>
    <t>SYNTH-INT-000613</t>
  </si>
  <si>
    <t>SYNTH-ORDER-000613</t>
  </si>
  <si>
    <t>SYNTH-CUSTOMER-000613</t>
  </si>
  <si>
    <t>SYNTH-INT-000614</t>
  </si>
  <si>
    <t>SYNTH-ORDER-000614</t>
  </si>
  <si>
    <t>SYNTH-CUSTOMER-000614</t>
  </si>
  <si>
    <t>SYNTH-INT-000615</t>
  </si>
  <si>
    <t>SYNTH-ORDER-000615</t>
  </si>
  <si>
    <t>SYNTH-CUSTOMER-000615</t>
  </si>
  <si>
    <t>SYNTH-INT-000616</t>
  </si>
  <si>
    <t>SYNTH-ORDER-000616</t>
  </si>
  <si>
    <t>SYNTH-CUSTOMER-000616</t>
  </si>
  <si>
    <t>SYNTH-INT-000617</t>
  </si>
  <si>
    <t>SYNTH-ORDER-000617</t>
  </si>
  <si>
    <t>SYNTH-CUSTOMER-000617</t>
  </si>
  <si>
    <t>SYNTH-INT-000618</t>
  </si>
  <si>
    <t>SYNTH-ORDER-000618</t>
  </si>
  <si>
    <t>SYNTH-CUSTOMER-000618</t>
  </si>
  <si>
    <t>SYNTH-INT-000619</t>
  </si>
  <si>
    <t>SYNTH-ORDER-000619</t>
  </si>
  <si>
    <t>SYNTH-CUSTOMER-000619</t>
  </si>
  <si>
    <t>SYNTH-INT-000620</t>
  </si>
  <si>
    <t>SYNTH-ORDER-000620</t>
  </si>
  <si>
    <t>SYNTH-CUSTOMER-000620</t>
  </si>
  <si>
    <t>SYNTH-INT-000621</t>
  </si>
  <si>
    <t>SYNTH-ORDER-000621</t>
  </si>
  <si>
    <t>SYNTH-CUSTOMER-000621</t>
  </si>
  <si>
    <t>SYNTH-INT-000622</t>
  </si>
  <si>
    <t>SYNTH-ORDER-000622</t>
  </si>
  <si>
    <t>SYNTH-CUSTOMER-000622</t>
  </si>
  <si>
    <t>SYNTH-INT-000623</t>
  </si>
  <si>
    <t>SYNTH-ORDER-000623</t>
  </si>
  <si>
    <t>SYNTH-CUSTOMER-000623</t>
  </si>
  <si>
    <t>SYNTH-INT-000624</t>
  </si>
  <si>
    <t>SYNTH-ORDER-000624</t>
  </si>
  <si>
    <t>SYNTH-CUSTOMER-000624</t>
  </si>
  <si>
    <t>SYNTH-INT-000625</t>
  </si>
  <si>
    <t>SYNTH-ORDER-000625</t>
  </si>
  <si>
    <t>SYNTH-CUSTOMER-000625</t>
  </si>
  <si>
    <t>SYNTH-INT-000626</t>
  </si>
  <si>
    <t>SYNTH-ORDER-000626</t>
  </si>
  <si>
    <t>SYNTH-CUSTOMER-000626</t>
  </si>
  <si>
    <t>SYNTH-INT-000627</t>
  </si>
  <si>
    <t>SYNTH-ORDER-000627</t>
  </si>
  <si>
    <t>SYNTH-CUSTOMER-000627</t>
  </si>
  <si>
    <t>SYNTH-INT-000628</t>
  </si>
  <si>
    <t>SYNTH-ORDER-000628</t>
  </si>
  <si>
    <t>SYNTH-CUSTOMER-000628</t>
  </si>
  <si>
    <t>SYNTH-INT-000629</t>
  </si>
  <si>
    <t>SYNTH-ORDER-000629</t>
  </si>
  <si>
    <t>SYNTH-CUSTOMER-000629</t>
  </si>
  <si>
    <t>SYNTH-INT-000630</t>
  </si>
  <si>
    <t>SYNTH-ORDER-000630</t>
  </si>
  <si>
    <t>SYNTH-CUSTOMER-000630</t>
  </si>
  <si>
    <t>SYNTH-INT-000631</t>
  </si>
  <si>
    <t>SYNTH-ORDER-000631</t>
  </si>
  <si>
    <t>SYNTH-CUSTOMER-000631</t>
  </si>
  <si>
    <t>SYNTH-INT-000632</t>
  </si>
  <si>
    <t>SYNTH-ORDER-000632</t>
  </si>
  <si>
    <t>SYNTH-CUSTOMER-000632</t>
  </si>
  <si>
    <t>SYNTH-INT-000633</t>
  </si>
  <si>
    <t>SYNTH-ORDER-000633</t>
  </si>
  <si>
    <t>SYNTH-CUSTOMER-000633</t>
  </si>
  <si>
    <t>SYNTH-INT-000634</t>
  </si>
  <si>
    <t>SYNTH-ORDER-000634</t>
  </si>
  <si>
    <t>SYNTH-CUSTOMER-000634</t>
  </si>
  <si>
    <t>SYNTH-INT-000635</t>
  </si>
  <si>
    <t>SYNTH-ORDER-000635</t>
  </si>
  <si>
    <t>SYNTH-CUSTOMER-000635</t>
  </si>
  <si>
    <t>SYNTH-INT-000636</t>
  </si>
  <si>
    <t>SYNTH-ORDER-000636</t>
  </si>
  <si>
    <t>SYNTH-CUSTOMER-000636</t>
  </si>
  <si>
    <t>SYNTH-INT-000637</t>
  </si>
  <si>
    <t>SYNTH-ORDER-000637</t>
  </si>
  <si>
    <t>SYNTH-CUSTOMER-000637</t>
  </si>
  <si>
    <t>SYNTH-INT-000638</t>
  </si>
  <si>
    <t>SYNTH-ORDER-000638</t>
  </si>
  <si>
    <t>SYNTH-CUSTOMER-000638</t>
  </si>
  <si>
    <t>SYNTH-INT-000639</t>
  </si>
  <si>
    <t>SYNTH-ORDER-000639</t>
  </si>
  <si>
    <t>SYNTH-CUSTOMER-000639</t>
  </si>
  <si>
    <t>SYNTH-INT-000640</t>
  </si>
  <si>
    <t>SYNTH-ORDER-000640</t>
  </si>
  <si>
    <t>SYNTH-CUSTOMER-000640</t>
  </si>
  <si>
    <t>SYNTH-INT-000641</t>
  </si>
  <si>
    <t>SYNTH-ORDER-000641</t>
  </si>
  <si>
    <t>SYNTH-CUSTOMER-000641</t>
  </si>
  <si>
    <t>SYNTH-INT-000642</t>
  </si>
  <si>
    <t>SYNTH-ORDER-000642</t>
  </si>
  <si>
    <t>SYNTH-CUSTOMER-000642</t>
  </si>
  <si>
    <t>SYNTH-INT-000643</t>
  </si>
  <si>
    <t>SYNTH-ORDER-000643</t>
  </si>
  <si>
    <t>SYNTH-CUSTOMER-000643</t>
  </si>
  <si>
    <t>SYNTH-INT-000644</t>
  </si>
  <si>
    <t>SYNTH-ORDER-000644</t>
  </si>
  <si>
    <t>SYNTH-CUSTOMER-000644</t>
  </si>
  <si>
    <t>SYNTH-INT-000645</t>
  </si>
  <si>
    <t>SYNTH-ORDER-000645</t>
  </si>
  <si>
    <t>SYNTH-CUSTOMER-000645</t>
  </si>
  <si>
    <t>SYNTH-INT-000646</t>
  </si>
  <si>
    <t>SYNTH-ORDER-000646</t>
  </si>
  <si>
    <t>SYNTH-CUSTOMER-000646</t>
  </si>
  <si>
    <t>SYNTH-INT-000647</t>
  </si>
  <si>
    <t>SYNTH-ORDER-000647</t>
  </si>
  <si>
    <t>SYNTH-CUSTOMER-000647</t>
  </si>
  <si>
    <t>SYNTH-INT-000648</t>
  </si>
  <si>
    <t>SYNTH-ORDER-000648</t>
  </si>
  <si>
    <t>SYNTH-CUSTOMER-000648</t>
  </si>
  <si>
    <t>SYNTH-INT-000649</t>
  </si>
  <si>
    <t>SYNTH-ORDER-000649</t>
  </si>
  <si>
    <t>SYNTH-CUSTOMER-000649</t>
  </si>
  <si>
    <t>SYNTH-INT-000650</t>
  </si>
  <si>
    <t>SYNTH-ORDER-000650</t>
  </si>
  <si>
    <t>SYNTH-CUSTOMER-000650</t>
  </si>
  <si>
    <t>SYNTH-INT-000651</t>
  </si>
  <si>
    <t>SYNTH-ORDER-000651</t>
  </si>
  <si>
    <t>SYNTH-CUSTOMER-000651</t>
  </si>
  <si>
    <t>SYNTH-INT-000652</t>
  </si>
  <si>
    <t>SYNTH-ORDER-000652</t>
  </si>
  <si>
    <t>SYNTH-CUSTOMER-000652</t>
  </si>
  <si>
    <t>SYNTH-INT-000653</t>
  </si>
  <si>
    <t>SYNTH-ORDER-000653</t>
  </si>
  <si>
    <t>SYNTH-CUSTOMER-000653</t>
  </si>
  <si>
    <t>SYNTH-INT-000654</t>
  </si>
  <si>
    <t>SYNTH-ORDER-000654</t>
  </si>
  <si>
    <t>SYNTH-CUSTOMER-000654</t>
  </si>
  <si>
    <t>SYNTH-INT-000655</t>
  </si>
  <si>
    <t>SYNTH-ORDER-000655</t>
  </si>
  <si>
    <t>SYNTH-CUSTOMER-000655</t>
  </si>
  <si>
    <t>SYNTH-INT-000656</t>
  </si>
  <si>
    <t>SYNTH-ORDER-000656</t>
  </si>
  <si>
    <t>SYNTH-CUSTOMER-000656</t>
  </si>
  <si>
    <t>SYNTH-INT-000657</t>
  </si>
  <si>
    <t>SYNTH-ORDER-000657</t>
  </si>
  <si>
    <t>SYNTH-CUSTOMER-000657</t>
  </si>
  <si>
    <t>SYNTH-INT-000658</t>
  </si>
  <si>
    <t>SYNTH-ORDER-000658</t>
  </si>
  <si>
    <t>SYNTH-CUSTOMER-000658</t>
  </si>
  <si>
    <t>SYNTH-INT-000659</t>
  </si>
  <si>
    <t>SYNTH-ORDER-000659</t>
  </si>
  <si>
    <t>SYNTH-CUSTOMER-000659</t>
  </si>
  <si>
    <t>SYNTH-INT-000660</t>
  </si>
  <si>
    <t>SYNTH-ORDER-000660</t>
  </si>
  <si>
    <t>SYNTH-CUSTOMER-000660</t>
  </si>
  <si>
    <t>SYNTH-INT-000661</t>
  </si>
  <si>
    <t>SYNTH-ORDER-000661</t>
  </si>
  <si>
    <t>SYNTH-CUSTOMER-000661</t>
  </si>
  <si>
    <t>SYNTH-INT-000662</t>
  </si>
  <si>
    <t>SYNTH-ORDER-000662</t>
  </si>
  <si>
    <t>SYNTH-CUSTOMER-000662</t>
  </si>
  <si>
    <t>SYNTH-INT-000663</t>
  </si>
  <si>
    <t>SYNTH-ORDER-000663</t>
  </si>
  <si>
    <t>SYNTH-CUSTOMER-000663</t>
  </si>
  <si>
    <t>SYNTH-INT-000664</t>
  </si>
  <si>
    <t>SYNTH-ORDER-000664</t>
  </si>
  <si>
    <t>SYNTH-CUSTOMER-000664</t>
  </si>
  <si>
    <t>SYNTH-INT-000665</t>
  </si>
  <si>
    <t>SYNTH-ORDER-000665</t>
  </si>
  <si>
    <t>SYNTH-CUSTOMER-000665</t>
  </si>
  <si>
    <t>SYNTH-INT-000666</t>
  </si>
  <si>
    <t>SYNTH-ORDER-000666</t>
  </si>
  <si>
    <t>SYNTH-CUSTOMER-000666</t>
  </si>
  <si>
    <t>SYNTH-INT-000667</t>
  </si>
  <si>
    <t>SYNTH-ORDER-000667</t>
  </si>
  <si>
    <t>SYNTH-CUSTOMER-000667</t>
  </si>
  <si>
    <t>SYNTH-INT-000668</t>
  </si>
  <si>
    <t>SYNTH-ORDER-000668</t>
  </si>
  <si>
    <t>SYNTH-CUSTOMER-000668</t>
  </si>
  <si>
    <t>SYNTH-INT-000669</t>
  </si>
  <si>
    <t>SYNTH-ORDER-000669</t>
  </si>
  <si>
    <t>SYNTH-CUSTOMER-000669</t>
  </si>
  <si>
    <t>SYNTH-INT-000670</t>
  </si>
  <si>
    <t>SYNTH-ORDER-000670</t>
  </si>
  <si>
    <t>SYNTH-CUSTOMER-000670</t>
  </si>
  <si>
    <t>SYNTH-INT-000671</t>
  </si>
  <si>
    <t>SYNTH-ORDER-000671</t>
  </si>
  <si>
    <t>SYNTH-CUSTOMER-000671</t>
  </si>
  <si>
    <t>SYNTH-INT-000672</t>
  </si>
  <si>
    <t>SYNTH-ORDER-000672</t>
  </si>
  <si>
    <t>SYNTH-CUSTOMER-000672</t>
  </si>
  <si>
    <t>SYNTH-INT-000673</t>
  </si>
  <si>
    <t>SYNTH-ORDER-000673</t>
  </si>
  <si>
    <t>SYNTH-CUSTOMER-000673</t>
  </si>
  <si>
    <t>SYNTH-INT-000674</t>
  </si>
  <si>
    <t>SYNTH-ORDER-000674</t>
  </si>
  <si>
    <t>SYNTH-CUSTOMER-000674</t>
  </si>
  <si>
    <t>SYNTH-INT-000675</t>
  </si>
  <si>
    <t>SYNTH-ORDER-000675</t>
  </si>
  <si>
    <t>SYNTH-CUSTOMER-000675</t>
  </si>
  <si>
    <t>SYNTH-INT-000676</t>
  </si>
  <si>
    <t>SYNTH-ORDER-000676</t>
  </si>
  <si>
    <t>SYNTH-CUSTOMER-000676</t>
  </si>
  <si>
    <t>SYNTH-INT-000677</t>
  </si>
  <si>
    <t>SYNTH-ORDER-000677</t>
  </si>
  <si>
    <t>SYNTH-CUSTOMER-000677</t>
  </si>
  <si>
    <t>SYNTH-INT-000678</t>
  </si>
  <si>
    <t>SYNTH-ORDER-000678</t>
  </si>
  <si>
    <t>SYNTH-CUSTOMER-000678</t>
  </si>
  <si>
    <t>SYNTH-INT-000679</t>
  </si>
  <si>
    <t>SYNTH-ORDER-000679</t>
  </si>
  <si>
    <t>SYNTH-CUSTOMER-000679</t>
  </si>
  <si>
    <t>SYNTH-INT-000680</t>
  </si>
  <si>
    <t>SYNTH-ORDER-000680</t>
  </si>
  <si>
    <t>SYNTH-CUSTOMER-000680</t>
  </si>
  <si>
    <t>SYNTH-INT-000681</t>
  </si>
  <si>
    <t>SYNTH-ORDER-000681</t>
  </si>
  <si>
    <t>SYNTH-CUSTOMER-000681</t>
  </si>
  <si>
    <t>SYNTH-INT-000682</t>
  </si>
  <si>
    <t>SYNTH-ORDER-000682</t>
  </si>
  <si>
    <t>SYNTH-CUSTOMER-000682</t>
  </si>
  <si>
    <t>SYNTH-INT-000683</t>
  </si>
  <si>
    <t>SYNTH-ORDER-000683</t>
  </si>
  <si>
    <t>SYNTH-CUSTOMER-000683</t>
  </si>
  <si>
    <t>SYNTH-INT-000684</t>
  </si>
  <si>
    <t>SYNTH-ORDER-000684</t>
  </si>
  <si>
    <t>SYNTH-CUSTOMER-000684</t>
  </si>
  <si>
    <t>SYNTH-INT-000685</t>
  </si>
  <si>
    <t>SYNTH-ORDER-000685</t>
  </si>
  <si>
    <t>SYNTH-CUSTOMER-000685</t>
  </si>
  <si>
    <t>SYNTH-INT-000686</t>
  </si>
  <si>
    <t>SYNTH-ORDER-000686</t>
  </si>
  <si>
    <t>SYNTH-CUSTOMER-000686</t>
  </si>
  <si>
    <t>SYNTH-INT-000687</t>
  </si>
  <si>
    <t>SYNTH-ORDER-000687</t>
  </si>
  <si>
    <t>SYNTH-CUSTOMER-000687</t>
  </si>
  <si>
    <t>SYNTH-INT-000688</t>
  </si>
  <si>
    <t>SYNTH-ORDER-000688</t>
  </si>
  <si>
    <t>SYNTH-CUSTOMER-000688</t>
  </si>
  <si>
    <t>SYNTH-INT-000689</t>
  </si>
  <si>
    <t>SYNTH-ORDER-000689</t>
  </si>
  <si>
    <t>SYNTH-CUSTOMER-000689</t>
  </si>
  <si>
    <t>SYNTH-INT-000690</t>
  </si>
  <si>
    <t>SYNTH-ORDER-000690</t>
  </si>
  <si>
    <t>SYNTH-CUSTOMER-000690</t>
  </si>
  <si>
    <t>SYNTH-INT-000691</t>
  </si>
  <si>
    <t>SYNTH-ORDER-000691</t>
  </si>
  <si>
    <t>SYNTH-CUSTOMER-000691</t>
  </si>
  <si>
    <t>SYNTH-INT-000692</t>
  </si>
  <si>
    <t>SYNTH-ORDER-000692</t>
  </si>
  <si>
    <t>SYNTH-CUSTOMER-000692</t>
  </si>
  <si>
    <t>SYNTH-INT-000693</t>
  </si>
  <si>
    <t>SYNTH-ORDER-000693</t>
  </si>
  <si>
    <t>SYNTH-CUSTOMER-000693</t>
  </si>
  <si>
    <t>SYNTH-INT-000694</t>
  </si>
  <si>
    <t>SYNTH-ORDER-000694</t>
  </si>
  <si>
    <t>SYNTH-CUSTOMER-000694</t>
  </si>
  <si>
    <t>SYNTH-INT-000695</t>
  </si>
  <si>
    <t>SYNTH-ORDER-000695</t>
  </si>
  <si>
    <t>SYNTH-CUSTOMER-000695</t>
  </si>
  <si>
    <t>SYNTH-INT-000696</t>
  </si>
  <si>
    <t>SYNTH-ORDER-000696</t>
  </si>
  <si>
    <t>SYNTH-CUSTOMER-000696</t>
  </si>
  <si>
    <t>SYNTH-INT-000697</t>
  </si>
  <si>
    <t>SYNTH-ORDER-000697</t>
  </si>
  <si>
    <t>SYNTH-CUSTOMER-000697</t>
  </si>
  <si>
    <t>SYNTH-INT-000698</t>
  </si>
  <si>
    <t>SYNTH-ORDER-000698</t>
  </si>
  <si>
    <t>SYNTH-CUSTOMER-000698</t>
  </si>
  <si>
    <t>SYNTH-INT-000699</t>
  </si>
  <si>
    <t>SYNTH-ORDER-000699</t>
  </si>
  <si>
    <t>SYNTH-CUSTOMER-000699</t>
  </si>
  <si>
    <t>SYNTH-INT-000700</t>
  </si>
  <si>
    <t>SYNTH-ORDER-000700</t>
  </si>
  <si>
    <t>SYNTH-CUSTOMER-000700</t>
  </si>
  <si>
    <t>SYNTH-INT-000701</t>
  </si>
  <si>
    <t>SYNTH-ORDER-000701</t>
  </si>
  <si>
    <t>SYNTH-CUSTOMER-000701</t>
  </si>
  <si>
    <t>SYNTH-INT-000702</t>
  </si>
  <si>
    <t>SYNTH-ORDER-000702</t>
  </si>
  <si>
    <t>SYNTH-CUSTOMER-000702</t>
  </si>
  <si>
    <t>SYNTH-INT-000703</t>
  </si>
  <si>
    <t>SYNTH-ORDER-000703</t>
  </si>
  <si>
    <t>SYNTH-CUSTOMER-000703</t>
  </si>
  <si>
    <t>SYNTH-INT-000704</t>
  </si>
  <si>
    <t>SYNTH-ORDER-000704</t>
  </si>
  <si>
    <t>SYNTH-CUSTOMER-000704</t>
  </si>
  <si>
    <t>SYNTH-INT-000705</t>
  </si>
  <si>
    <t>SYNTH-ORDER-000705</t>
  </si>
  <si>
    <t>SYNTH-CUSTOMER-000705</t>
  </si>
  <si>
    <t>SYNTH-INT-000706</t>
  </si>
  <si>
    <t>SYNTH-ORDER-000706</t>
  </si>
  <si>
    <t>SYNTH-CUSTOMER-000706</t>
  </si>
  <si>
    <t>SYNTH-INT-000707</t>
  </si>
  <si>
    <t>SYNTH-ORDER-000707</t>
  </si>
  <si>
    <t>SYNTH-CUSTOMER-000707</t>
  </si>
  <si>
    <t>SYNTH-INT-000708</t>
  </si>
  <si>
    <t>SYNTH-ORDER-000708</t>
  </si>
  <si>
    <t>SYNTH-CUSTOMER-000708</t>
  </si>
  <si>
    <t>SYNTH-INT-000709</t>
  </si>
  <si>
    <t>SYNTH-ORDER-000709</t>
  </si>
  <si>
    <t>SYNTH-CUSTOMER-000709</t>
  </si>
  <si>
    <t>SYNTH-INT-000710</t>
  </si>
  <si>
    <t>SYNTH-ORDER-000710</t>
  </si>
  <si>
    <t>SYNTH-CUSTOMER-000710</t>
  </si>
  <si>
    <t>SYNTH-INT-000711</t>
  </si>
  <si>
    <t>SYNTH-ORDER-000711</t>
  </si>
  <si>
    <t>SYNTH-CUSTOMER-000711</t>
  </si>
  <si>
    <t>SYNTH-INT-000712</t>
  </si>
  <si>
    <t>SYNTH-ORDER-000712</t>
  </si>
  <si>
    <t>SYNTH-CUSTOMER-000712</t>
  </si>
  <si>
    <t>SYNTH-INT-000713</t>
  </si>
  <si>
    <t>SYNTH-ORDER-000713</t>
  </si>
  <si>
    <t>SYNTH-CUSTOMER-000713</t>
  </si>
  <si>
    <t>SYNTH-INT-000714</t>
  </si>
  <si>
    <t>SYNTH-ORDER-000714</t>
  </si>
  <si>
    <t>SYNTH-CUSTOMER-000714</t>
  </si>
  <si>
    <t>SYNTH-INT-000715</t>
  </si>
  <si>
    <t>SYNTH-ORDER-000715</t>
  </si>
  <si>
    <t>SYNTH-CUSTOMER-000715</t>
  </si>
  <si>
    <t>SYNTH-INT-000716</t>
  </si>
  <si>
    <t>SYNTH-ORDER-000716</t>
  </si>
  <si>
    <t>SYNTH-CUSTOMER-000716</t>
  </si>
  <si>
    <t>SYNTH-INT-000717</t>
  </si>
  <si>
    <t>SYNTH-ORDER-000717</t>
  </si>
  <si>
    <t>SYNTH-CUSTOMER-000717</t>
  </si>
  <si>
    <t>SYNTH-INT-000718</t>
  </si>
  <si>
    <t>SYNTH-ORDER-000718</t>
  </si>
  <si>
    <t>SYNTH-CUSTOMER-000718</t>
  </si>
  <si>
    <t>SYNTH-INT-000719</t>
  </si>
  <si>
    <t>SYNTH-ORDER-000719</t>
  </si>
  <si>
    <t>SYNTH-CUSTOMER-000719</t>
  </si>
  <si>
    <t>SYNTH-INT-000720</t>
  </si>
  <si>
    <t>SYNTH-ORDER-000720</t>
  </si>
  <si>
    <t>SYNTH-CUSTOMER-000720</t>
  </si>
  <si>
    <t>SYNTH-INT-000721</t>
  </si>
  <si>
    <t>SYNTH-ORDER-000721</t>
  </si>
  <si>
    <t>SYNTH-CUSTOMER-000721</t>
  </si>
  <si>
    <t>SYNTH-INT-000722</t>
  </si>
  <si>
    <t>SYNTH-ORDER-000722</t>
  </si>
  <si>
    <t>SYNTH-CUSTOMER-000722</t>
  </si>
  <si>
    <t>SYNTH-INT-000723</t>
  </si>
  <si>
    <t>SYNTH-ORDER-000723</t>
  </si>
  <si>
    <t>SYNTH-CUSTOMER-000723</t>
  </si>
  <si>
    <t>SYNTH-INT-000724</t>
  </si>
  <si>
    <t>SYNTH-ORDER-000724</t>
  </si>
  <si>
    <t>SYNTH-CUSTOMER-000724</t>
  </si>
  <si>
    <t>SYNTH-INT-000725</t>
  </si>
  <si>
    <t>SYNTH-ORDER-000725</t>
  </si>
  <si>
    <t>SYNTH-CUSTOMER-000725</t>
  </si>
  <si>
    <t>SYNTH-INT-000726</t>
  </si>
  <si>
    <t>SYNTH-ORDER-000726</t>
  </si>
  <si>
    <t>SYNTH-CUSTOMER-000726</t>
  </si>
  <si>
    <t>SYNTH-INT-000727</t>
  </si>
  <si>
    <t>SYNTH-ORDER-000727</t>
  </si>
  <si>
    <t>SYNTH-CUSTOMER-000727</t>
  </si>
  <si>
    <t>SYNTH-INT-000728</t>
  </si>
  <si>
    <t>SYNTH-ORDER-000728</t>
  </si>
  <si>
    <t>SYNTH-CUSTOMER-000728</t>
  </si>
  <si>
    <t>SYNTH-INT-000729</t>
  </si>
  <si>
    <t>SYNTH-ORDER-000729</t>
  </si>
  <si>
    <t>SYNTH-CUSTOMER-000729</t>
  </si>
  <si>
    <t>SYNTH-INT-000730</t>
  </si>
  <si>
    <t>SYNTH-ORDER-000730</t>
  </si>
  <si>
    <t>SYNTH-CUSTOMER-000730</t>
  </si>
  <si>
    <t>SYNTH-INT-000731</t>
  </si>
  <si>
    <t>SYNTH-ORDER-000731</t>
  </si>
  <si>
    <t>SYNTH-CUSTOMER-000731</t>
  </si>
  <si>
    <t>SYNTH-INT-000732</t>
  </si>
  <si>
    <t>SYNTH-ORDER-000732</t>
  </si>
  <si>
    <t>SYNTH-CUSTOMER-000732</t>
  </si>
  <si>
    <t>SYNTH-INT-000733</t>
  </si>
  <si>
    <t>SYNTH-ORDER-000733</t>
  </si>
  <si>
    <t>SYNTH-CUSTOMER-000733</t>
  </si>
  <si>
    <t>SYNTH-INT-000734</t>
  </si>
  <si>
    <t>SYNTH-ORDER-000734</t>
  </si>
  <si>
    <t>SYNTH-CUSTOMER-000734</t>
  </si>
  <si>
    <t>SYNTH-INT-000735</t>
  </si>
  <si>
    <t>SYNTH-ORDER-000735</t>
  </si>
  <si>
    <t>SYNTH-CUSTOMER-000735</t>
  </si>
  <si>
    <t>SYNTH-INT-000736</t>
  </si>
  <si>
    <t>SYNTH-ORDER-000736</t>
  </si>
  <si>
    <t>SYNTH-CUSTOMER-000736</t>
  </si>
  <si>
    <t>SYNTH-INT-000737</t>
  </si>
  <si>
    <t>SYNTH-ORDER-000737</t>
  </si>
  <si>
    <t>SYNTH-CUSTOMER-000737</t>
  </si>
  <si>
    <t>SYNTH-INT-000738</t>
  </si>
  <si>
    <t>SYNTH-ORDER-000738</t>
  </si>
  <si>
    <t>SYNTH-CUSTOMER-000738</t>
  </si>
  <si>
    <t>SYNTH-INT-000739</t>
  </si>
  <si>
    <t>SYNTH-ORDER-000739</t>
  </si>
  <si>
    <t>SYNTH-CUSTOMER-000739</t>
  </si>
  <si>
    <t>SYNTH-INT-000740</t>
  </si>
  <si>
    <t>SYNTH-ORDER-000740</t>
  </si>
  <si>
    <t>SYNTH-CUSTOMER-000740</t>
  </si>
  <si>
    <t>SYNTH-INT-000741</t>
  </si>
  <si>
    <t>SYNTH-ORDER-000741</t>
  </si>
  <si>
    <t>SYNTH-CUSTOMER-000741</t>
  </si>
  <si>
    <t>SYNTH-INT-000742</t>
  </si>
  <si>
    <t>SYNTH-ORDER-000742</t>
  </si>
  <si>
    <t>SYNTH-CUSTOMER-000742</t>
  </si>
  <si>
    <t>SYNTH-INT-000743</t>
  </si>
  <si>
    <t>SYNTH-ORDER-000743</t>
  </si>
  <si>
    <t>SYNTH-CUSTOMER-000743</t>
  </si>
  <si>
    <t>SYNTH-INT-000744</t>
  </si>
  <si>
    <t>SYNTH-ORDER-000744</t>
  </si>
  <si>
    <t>SYNTH-CUSTOMER-000744</t>
  </si>
  <si>
    <t>SYNTH-INT-000745</t>
  </si>
  <si>
    <t>SYNTH-ORDER-000745</t>
  </si>
  <si>
    <t>SYNTH-CUSTOMER-000745</t>
  </si>
  <si>
    <t>SYNTH-INT-000746</t>
  </si>
  <si>
    <t>SYNTH-ORDER-000746</t>
  </si>
  <si>
    <t>SYNTH-CUSTOMER-000746</t>
  </si>
  <si>
    <t>SYNTH-INT-000747</t>
  </si>
  <si>
    <t>SYNTH-ORDER-000747</t>
  </si>
  <si>
    <t>SYNTH-CUSTOMER-000747</t>
  </si>
  <si>
    <t>SYNTH-INT-000748</t>
  </si>
  <si>
    <t>SYNTH-ORDER-000748</t>
  </si>
  <si>
    <t>SYNTH-CUSTOMER-000748</t>
  </si>
  <si>
    <t>SYNTH-INT-000749</t>
  </si>
  <si>
    <t>SYNTH-ORDER-000749</t>
  </si>
  <si>
    <t>SYNTH-CUSTOMER-000749</t>
  </si>
  <si>
    <t>SYNTH-INT-000750</t>
  </si>
  <si>
    <t>SYNTH-ORDER-000750</t>
  </si>
  <si>
    <t>SYNTH-CUSTOMER-000750</t>
  </si>
  <si>
    <t>SYNTH-INT-000751</t>
  </si>
  <si>
    <t>SYNTH-ORDER-000751</t>
  </si>
  <si>
    <t>SYNTH-CUSTOMER-000751</t>
  </si>
  <si>
    <t>SYNTH-INT-000752</t>
  </si>
  <si>
    <t>SYNTH-ORDER-000752</t>
  </si>
  <si>
    <t>SYNTH-CUSTOMER-000752</t>
  </si>
  <si>
    <t>SYNTH-INT-000753</t>
  </si>
  <si>
    <t>SYNTH-ORDER-000753</t>
  </si>
  <si>
    <t>SYNTH-CUSTOMER-000753</t>
  </si>
  <si>
    <t>SYNTH-INT-000754</t>
  </si>
  <si>
    <t>SYNTH-ORDER-000754</t>
  </si>
  <si>
    <t>SYNTH-CUSTOMER-000754</t>
  </si>
  <si>
    <t>SYNTH-INT-000755</t>
  </si>
  <si>
    <t>SYNTH-ORDER-000755</t>
  </si>
  <si>
    <t>SYNTH-CUSTOMER-000755</t>
  </si>
  <si>
    <t>SYNTH-INT-000756</t>
  </si>
  <si>
    <t>SYNTH-ORDER-000756</t>
  </si>
  <si>
    <t>SYNTH-CUSTOMER-000756</t>
  </si>
  <si>
    <t>SYNTH-INT-000757</t>
  </si>
  <si>
    <t>SYNTH-ORDER-000757</t>
  </si>
  <si>
    <t>SYNTH-CUSTOMER-000757</t>
  </si>
  <si>
    <t>SYNTH-INT-000758</t>
  </si>
  <si>
    <t>SYNTH-ORDER-000758</t>
  </si>
  <si>
    <t>SYNTH-CUSTOMER-000758</t>
  </si>
  <si>
    <t>SYNTH-INT-000759</t>
  </si>
  <si>
    <t>SYNTH-ORDER-000759</t>
  </si>
  <si>
    <t>SYNTH-CUSTOMER-000759</t>
  </si>
  <si>
    <t>SYNTH-INT-000760</t>
  </si>
  <si>
    <t>SYNTH-ORDER-000760</t>
  </si>
  <si>
    <t>SYNTH-CUSTOMER-000760</t>
  </si>
  <si>
    <t>SYNTH-INT-000761</t>
  </si>
  <si>
    <t>SYNTH-ORDER-000761</t>
  </si>
  <si>
    <t>SYNTH-CUSTOMER-000761</t>
  </si>
  <si>
    <t>SYNTH-INT-000762</t>
  </si>
  <si>
    <t>SYNTH-ORDER-000762</t>
  </si>
  <si>
    <t>SYNTH-CUSTOMER-000762</t>
  </si>
  <si>
    <t>SYNTH-INT-000763</t>
  </si>
  <si>
    <t>SYNTH-ORDER-000763</t>
  </si>
  <si>
    <t>SYNTH-CUSTOMER-000763</t>
  </si>
  <si>
    <t>SYNTH-INT-000764</t>
  </si>
  <si>
    <t>SYNTH-ORDER-000764</t>
  </si>
  <si>
    <t>SYNTH-CUSTOMER-000764</t>
  </si>
  <si>
    <t>SYNTH-INT-000765</t>
  </si>
  <si>
    <t>SYNTH-ORDER-000765</t>
  </si>
  <si>
    <t>SYNTH-CUSTOMER-000765</t>
  </si>
  <si>
    <t>SYNTH-INT-000766</t>
  </si>
  <si>
    <t>SYNTH-ORDER-000766</t>
  </si>
  <si>
    <t>SYNTH-CUSTOMER-000766</t>
  </si>
  <si>
    <t>SYNTH-INT-000767</t>
  </si>
  <si>
    <t>SYNTH-ORDER-000767</t>
  </si>
  <si>
    <t>SYNTH-CUSTOMER-000767</t>
  </si>
  <si>
    <t>SYNTH-INT-000768</t>
  </si>
  <si>
    <t>SYNTH-ORDER-000768</t>
  </si>
  <si>
    <t>SYNTH-CUSTOMER-000768</t>
  </si>
  <si>
    <t>SYNTH-INT-000769</t>
  </si>
  <si>
    <t>SYNTH-ORDER-000769</t>
  </si>
  <si>
    <t>SYNTH-CUSTOMER-000769</t>
  </si>
  <si>
    <t>SYNTH-INT-000770</t>
  </si>
  <si>
    <t>SYNTH-ORDER-000770</t>
  </si>
  <si>
    <t>SYNTH-CUSTOMER-000770</t>
  </si>
  <si>
    <t>SYNTH-INT-000771</t>
  </si>
  <si>
    <t>SYNTH-ORDER-000771</t>
  </si>
  <si>
    <t>SYNTH-CUSTOMER-000771</t>
  </si>
  <si>
    <t>SYNTH-INT-000772</t>
  </si>
  <si>
    <t>SYNTH-ORDER-000772</t>
  </si>
  <si>
    <t>SYNTH-CUSTOMER-000772</t>
  </si>
  <si>
    <t>SYNTH-INT-000773</t>
  </si>
  <si>
    <t>SYNTH-ORDER-000773</t>
  </si>
  <si>
    <t>SYNTH-CUSTOMER-000773</t>
  </si>
  <si>
    <t>SYNTH-INT-000774</t>
  </si>
  <si>
    <t>SYNTH-ORDER-000774</t>
  </si>
  <si>
    <t>SYNTH-CUSTOMER-000774</t>
  </si>
  <si>
    <t>SYNTH-INT-000775</t>
  </si>
  <si>
    <t>SYNTH-ORDER-000775</t>
  </si>
  <si>
    <t>SYNTH-CUSTOMER-000775</t>
  </si>
  <si>
    <t>SYNTH-INT-000776</t>
  </si>
  <si>
    <t>SYNTH-ORDER-000776</t>
  </si>
  <si>
    <t>SYNTH-CUSTOMER-000776</t>
  </si>
  <si>
    <t>SYNTH-INT-000777</t>
  </si>
  <si>
    <t>SYNTH-ORDER-000777</t>
  </si>
  <si>
    <t>SYNTH-CUSTOMER-000777</t>
  </si>
  <si>
    <t>SYNTH-INT-000778</t>
  </si>
  <si>
    <t>SYNTH-ORDER-000778</t>
  </si>
  <si>
    <t>SYNTH-CUSTOMER-000778</t>
  </si>
  <si>
    <t>SYNTH-INT-000779</t>
  </si>
  <si>
    <t>SYNTH-ORDER-000779</t>
  </si>
  <si>
    <t>SYNTH-CUSTOMER-000779</t>
  </si>
  <si>
    <t>SYNTH-INT-000780</t>
  </si>
  <si>
    <t>SYNTH-ORDER-000780</t>
  </si>
  <si>
    <t>SYNTH-CUSTOMER-000780</t>
  </si>
  <si>
    <t>SYNTH-INT-000781</t>
  </si>
  <si>
    <t>SYNTH-ORDER-000781</t>
  </si>
  <si>
    <t>SYNTH-CUSTOMER-000781</t>
  </si>
  <si>
    <t>SYNTH-INT-000782</t>
  </si>
  <si>
    <t>SYNTH-ORDER-000782</t>
  </si>
  <si>
    <t>SYNTH-CUSTOMER-000782</t>
  </si>
  <si>
    <t>SYNTH-INT-000783</t>
  </si>
  <si>
    <t>SYNTH-ORDER-000783</t>
  </si>
  <si>
    <t>SYNTH-CUSTOMER-000783</t>
  </si>
  <si>
    <t>SYNTH-INT-000784</t>
  </si>
  <si>
    <t>SYNTH-ORDER-000784</t>
  </si>
  <si>
    <t>SYNTH-CUSTOMER-000784</t>
  </si>
  <si>
    <t>SYNTH-INT-000785</t>
  </si>
  <si>
    <t>SYNTH-ORDER-000785</t>
  </si>
  <si>
    <t>SYNTH-CUSTOMER-000785</t>
  </si>
  <si>
    <t>SYNTH-INT-000786</t>
  </si>
  <si>
    <t>SYNTH-ORDER-000786</t>
  </si>
  <si>
    <t>SYNTH-CUSTOMER-000786</t>
  </si>
  <si>
    <t>SYNTH-INT-000787</t>
  </si>
  <si>
    <t>SYNTH-ORDER-000787</t>
  </si>
  <si>
    <t>SYNTH-CUSTOMER-000787</t>
  </si>
  <si>
    <t>SYNTH-INT-000788</t>
  </si>
  <si>
    <t>SYNTH-ORDER-000788</t>
  </si>
  <si>
    <t>SYNTH-CUSTOMER-000788</t>
  </si>
  <si>
    <t>SYNTH-INT-000789</t>
  </si>
  <si>
    <t>SYNTH-ORDER-000789</t>
  </si>
  <si>
    <t>SYNTH-CUSTOMER-000789</t>
  </si>
  <si>
    <t>SYNTH-INT-000790</t>
  </si>
  <si>
    <t>SYNTH-ORDER-000790</t>
  </si>
  <si>
    <t>SYNTH-CUSTOMER-000790</t>
  </si>
  <si>
    <t>SYNTH-INT-000791</t>
  </si>
  <si>
    <t>SYNTH-ORDER-000791</t>
  </si>
  <si>
    <t>SYNTH-CUSTOMER-000791</t>
  </si>
  <si>
    <t>SYNTH-INT-000792</t>
  </si>
  <si>
    <t>SYNTH-ORDER-000792</t>
  </si>
  <si>
    <t>SYNTH-CUSTOMER-000792</t>
  </si>
  <si>
    <t>SYNTH-INT-000793</t>
  </si>
  <si>
    <t>SYNTH-ORDER-000793</t>
  </si>
  <si>
    <t>SYNTH-CUSTOMER-000793</t>
  </si>
  <si>
    <t>SYNTH-INT-000794</t>
  </si>
  <si>
    <t>SYNTH-ORDER-000794</t>
  </si>
  <si>
    <t>SYNTH-CUSTOMER-000794</t>
  </si>
  <si>
    <t>SYNTH-INT-000795</t>
  </si>
  <si>
    <t>SYNTH-ORDER-000795</t>
  </si>
  <si>
    <t>SYNTH-CUSTOMER-000795</t>
  </si>
  <si>
    <t>SYNTH-INT-000796</t>
  </si>
  <si>
    <t>SYNTH-ORDER-000796</t>
  </si>
  <si>
    <t>SYNTH-CUSTOMER-000796</t>
  </si>
  <si>
    <t>SYNTH-INT-000797</t>
  </si>
  <si>
    <t>SYNTH-ORDER-000797</t>
  </si>
  <si>
    <t>SYNTH-CUSTOMER-000797</t>
  </si>
  <si>
    <t>SYNTH-INT-000798</t>
  </si>
  <si>
    <t>SYNTH-ORDER-000798</t>
  </si>
  <si>
    <t>SYNTH-CUSTOMER-000798</t>
  </si>
  <si>
    <t>SYNTH-INT-000799</t>
  </si>
  <si>
    <t>SYNTH-ORDER-000799</t>
  </si>
  <si>
    <t>SYNTH-CUSTOMER-000799</t>
  </si>
  <si>
    <t>SYNTH-INT-000800</t>
  </si>
  <si>
    <t>SYNTH-ORDER-000800</t>
  </si>
  <si>
    <t>SYNTH-CUSTOMER-000800</t>
  </si>
  <si>
    <t>SYNTH-INT-000801</t>
  </si>
  <si>
    <t>SYNTH-ORDER-000801</t>
  </si>
  <si>
    <t>SYNTH-CUSTOMER-000801</t>
  </si>
  <si>
    <t>SYNTH-INT-000802</t>
  </si>
  <si>
    <t>SYNTH-ORDER-000802</t>
  </si>
  <si>
    <t>SYNTH-CUSTOMER-000802</t>
  </si>
  <si>
    <t>SYNTH-INT-000803</t>
  </si>
  <si>
    <t>SYNTH-ORDER-000803</t>
  </si>
  <si>
    <t>SYNTH-CUSTOMER-000803</t>
  </si>
  <si>
    <t>SYNTH-INT-000804</t>
  </si>
  <si>
    <t>SYNTH-ORDER-000804</t>
  </si>
  <si>
    <t>SYNTH-CUSTOMER-000804</t>
  </si>
  <si>
    <t>SYNTH-INT-000805</t>
  </si>
  <si>
    <t>SYNTH-ORDER-000805</t>
  </si>
  <si>
    <t>SYNTH-CUSTOMER-000805</t>
  </si>
  <si>
    <t>SYNTH-INT-000806</t>
  </si>
  <si>
    <t>SYNTH-ORDER-000806</t>
  </si>
  <si>
    <t>SYNTH-CUSTOMER-000806</t>
  </si>
  <si>
    <t>SYNTH-INT-000807</t>
  </si>
  <si>
    <t>SYNTH-ORDER-000807</t>
  </si>
  <si>
    <t>SYNTH-CUSTOMER-000807</t>
  </si>
  <si>
    <t>SYNTH-INT-000808</t>
  </si>
  <si>
    <t>SYNTH-ORDER-000808</t>
  </si>
  <si>
    <t>SYNTH-CUSTOMER-000808</t>
  </si>
  <si>
    <t>SYNTH-INT-000809</t>
  </si>
  <si>
    <t>SYNTH-ORDER-000809</t>
  </si>
  <si>
    <t>SYNTH-CUSTOMER-000809</t>
  </si>
  <si>
    <t>SYNTH-INT-000810</t>
  </si>
  <si>
    <t>SYNTH-ORDER-000810</t>
  </si>
  <si>
    <t>SYNTH-CUSTOMER-000810</t>
  </si>
  <si>
    <t>SYNTH-INT-000811</t>
  </si>
  <si>
    <t>SYNTH-ORDER-000811</t>
  </si>
  <si>
    <t>SYNTH-CUSTOMER-000811</t>
  </si>
  <si>
    <t>SYNTH-INT-000812</t>
  </si>
  <si>
    <t>SYNTH-ORDER-000812</t>
  </si>
  <si>
    <t>SYNTH-CUSTOMER-000812</t>
  </si>
  <si>
    <t>SYNTH-INT-000813</t>
  </si>
  <si>
    <t>SYNTH-ORDER-000813</t>
  </si>
  <si>
    <t>SYNTH-CUSTOMER-000813</t>
  </si>
  <si>
    <t>SYNTH-INT-000814</t>
  </si>
  <si>
    <t>SYNTH-ORDER-000814</t>
  </si>
  <si>
    <t>SYNTH-CUSTOMER-000814</t>
  </si>
  <si>
    <t>SYNTH-INT-000815</t>
  </si>
  <si>
    <t>SYNTH-ORDER-000815</t>
  </si>
  <si>
    <t>SYNTH-CUSTOMER-000815</t>
  </si>
  <si>
    <t>SYNTH-INT-000816</t>
  </si>
  <si>
    <t>SYNTH-ORDER-000816</t>
  </si>
  <si>
    <t>SYNTH-CUSTOMER-000816</t>
  </si>
  <si>
    <t>SYNTH-INT-000817</t>
  </si>
  <si>
    <t>SYNTH-ORDER-000817</t>
  </si>
  <si>
    <t>SYNTH-CUSTOMER-000817</t>
  </si>
  <si>
    <t>SYNTH-INT-000818</t>
  </si>
  <si>
    <t>SYNTH-ORDER-000818</t>
  </si>
  <si>
    <t>SYNTH-CUSTOMER-000818</t>
  </si>
  <si>
    <t>SYNTH-INT-000819</t>
  </si>
  <si>
    <t>SYNTH-ORDER-000819</t>
  </si>
  <si>
    <t>SYNTH-CUSTOMER-000819</t>
  </si>
  <si>
    <t>SYNTH-INT-000820</t>
  </si>
  <si>
    <t>SYNTH-ORDER-000820</t>
  </si>
  <si>
    <t>SYNTH-CUSTOMER-000820</t>
  </si>
  <si>
    <t>SYNTH-INT-000821</t>
  </si>
  <si>
    <t>SYNTH-ORDER-000821</t>
  </si>
  <si>
    <t>SYNTH-CUSTOMER-000821</t>
  </si>
  <si>
    <t>SYNTH-INT-000822</t>
  </si>
  <si>
    <t>SYNTH-ORDER-000822</t>
  </si>
  <si>
    <t>SYNTH-CUSTOMER-000822</t>
  </si>
  <si>
    <t>SYNTH-INT-000823</t>
  </si>
  <si>
    <t>SYNTH-ORDER-000823</t>
  </si>
  <si>
    <t>SYNTH-CUSTOMER-000823</t>
  </si>
  <si>
    <t>SYNTH-INT-000824</t>
  </si>
  <si>
    <t>SYNTH-ORDER-000824</t>
  </si>
  <si>
    <t>SYNTH-CUSTOMER-000824</t>
  </si>
  <si>
    <t>SYNTH-INT-000825</t>
  </si>
  <si>
    <t>SYNTH-ORDER-000825</t>
  </si>
  <si>
    <t>SYNTH-CUSTOMER-000825</t>
  </si>
  <si>
    <t>SYNTH-INT-000826</t>
  </si>
  <si>
    <t>SYNTH-ORDER-000826</t>
  </si>
  <si>
    <t>SYNTH-CUSTOMER-000826</t>
  </si>
  <si>
    <t>SYNTH-INT-000827</t>
  </si>
  <si>
    <t>SYNTH-ORDER-000827</t>
  </si>
  <si>
    <t>SYNTH-CUSTOMER-000827</t>
  </si>
  <si>
    <t>SYNTH-INT-000828</t>
  </si>
  <si>
    <t>SYNTH-ORDER-000828</t>
  </si>
  <si>
    <t>SYNTH-CUSTOMER-000828</t>
  </si>
  <si>
    <t>SYNTH-INT-000829</t>
  </si>
  <si>
    <t>SYNTH-ORDER-000829</t>
  </si>
  <si>
    <t>SYNTH-CUSTOMER-000829</t>
  </si>
  <si>
    <t>SYNTH-INT-000830</t>
  </si>
  <si>
    <t>SYNTH-ORDER-000830</t>
  </si>
  <si>
    <t>SYNTH-CUSTOMER-000830</t>
  </si>
  <si>
    <t>SYNTH-INT-000831</t>
  </si>
  <si>
    <t>SYNTH-ORDER-000831</t>
  </si>
  <si>
    <t>SYNTH-CUSTOMER-000831</t>
  </si>
  <si>
    <t>SYNTH-INT-000832</t>
  </si>
  <si>
    <t>SYNTH-ORDER-000832</t>
  </si>
  <si>
    <t>SYNTH-CUSTOMER-000832</t>
  </si>
  <si>
    <t>SYNTH-INT-000833</t>
  </si>
  <si>
    <t>SYNTH-ORDER-000833</t>
  </si>
  <si>
    <t>SYNTH-CUSTOMER-000833</t>
  </si>
  <si>
    <t>SYNTH-INT-000834</t>
  </si>
  <si>
    <t>SYNTH-ORDER-000834</t>
  </si>
  <si>
    <t>SYNTH-CUSTOMER-000834</t>
  </si>
  <si>
    <t>SYNTH-INT-000835</t>
  </si>
  <si>
    <t>SYNTH-ORDER-000835</t>
  </si>
  <si>
    <t>SYNTH-CUSTOMER-000835</t>
  </si>
  <si>
    <t>SYNTH-INT-000836</t>
  </si>
  <si>
    <t>SYNTH-ORDER-000836</t>
  </si>
  <si>
    <t>SYNTH-CUSTOMER-000836</t>
  </si>
  <si>
    <t>SYNTH-INT-000837</t>
  </si>
  <si>
    <t>SYNTH-ORDER-000837</t>
  </si>
  <si>
    <t>SYNTH-CUSTOMER-000837</t>
  </si>
  <si>
    <t>SYNTH-INT-000838</t>
  </si>
  <si>
    <t>SYNTH-ORDER-000838</t>
  </si>
  <si>
    <t>SYNTH-CUSTOMER-000838</t>
  </si>
  <si>
    <t>SYNTH-INT-000839</t>
  </si>
  <si>
    <t>SYNTH-ORDER-000839</t>
  </si>
  <si>
    <t>SYNTH-CUSTOMER-000839</t>
  </si>
  <si>
    <t>SYNTH-INT-000840</t>
  </si>
  <si>
    <t>SYNTH-ORDER-000840</t>
  </si>
  <si>
    <t>SYNTH-CUSTOMER-000840</t>
  </si>
  <si>
    <t>SYNTH-INT-000841</t>
  </si>
  <si>
    <t>SYNTH-ORDER-000841</t>
  </si>
  <si>
    <t>SYNTH-CUSTOMER-000841</t>
  </si>
  <si>
    <t>SYNTH-INT-000842</t>
  </si>
  <si>
    <t>SYNTH-ORDER-000842</t>
  </si>
  <si>
    <t>SYNTH-CUSTOMER-000842</t>
  </si>
  <si>
    <t>SYNTH-INT-000843</t>
  </si>
  <si>
    <t>SYNTH-ORDER-000843</t>
  </si>
  <si>
    <t>SYNTH-CUSTOMER-000843</t>
  </si>
  <si>
    <t>SYNTH-INT-000844</t>
  </si>
  <si>
    <t>SYNTH-ORDER-000844</t>
  </si>
  <si>
    <t>SYNTH-CUSTOMER-000844</t>
  </si>
  <si>
    <t>SYNTH-INT-000845</t>
  </si>
  <si>
    <t>SYNTH-ORDER-000845</t>
  </si>
  <si>
    <t>SYNTH-CUSTOMER-000845</t>
  </si>
  <si>
    <t>SYNTH-INT-000846</t>
  </si>
  <si>
    <t>SYNTH-ORDER-000846</t>
  </si>
  <si>
    <t>SYNTH-CUSTOMER-000846</t>
  </si>
  <si>
    <t>SYNTH-INT-000847</t>
  </si>
  <si>
    <t>SYNTH-ORDER-000847</t>
  </si>
  <si>
    <t>SYNTH-CUSTOMER-000847</t>
  </si>
  <si>
    <t>SYNTH-INT-000848</t>
  </si>
  <si>
    <t>SYNTH-ORDER-000848</t>
  </si>
  <si>
    <t>SYNTH-CUSTOMER-000848</t>
  </si>
  <si>
    <t>SYNTH-INT-000849</t>
  </si>
  <si>
    <t>SYNTH-ORDER-000849</t>
  </si>
  <si>
    <t>SYNTH-CUSTOMER-000849</t>
  </si>
  <si>
    <t>SYNTH-INT-000850</t>
  </si>
  <si>
    <t>SYNTH-ORDER-000850</t>
  </si>
  <si>
    <t>SYNTH-CUSTOMER-000850</t>
  </si>
  <si>
    <t>SYNTH-INT-000851</t>
  </si>
  <si>
    <t>SYNTH-ORDER-000851</t>
  </si>
  <si>
    <t>SYNTH-CUSTOMER-000851</t>
  </si>
  <si>
    <t>SYNTH-INT-000852</t>
  </si>
  <si>
    <t>SYNTH-ORDER-000852</t>
  </si>
  <si>
    <t>SYNTH-CUSTOMER-000852</t>
  </si>
  <si>
    <t>SYNTH-INT-000853</t>
  </si>
  <si>
    <t>SYNTH-ORDER-000853</t>
  </si>
  <si>
    <t>SYNTH-CUSTOMER-000853</t>
  </si>
  <si>
    <t>SYNTH-INT-000854</t>
  </si>
  <si>
    <t>SYNTH-ORDER-000854</t>
  </si>
  <si>
    <t>SYNTH-CUSTOMER-000854</t>
  </si>
  <si>
    <t>SYNTH-INT-000855</t>
  </si>
  <si>
    <t>SYNTH-ORDER-000855</t>
  </si>
  <si>
    <t>SYNTH-CUSTOMER-000855</t>
  </si>
  <si>
    <t>SYNTH-INT-000856</t>
  </si>
  <si>
    <t>SYNTH-ORDER-000856</t>
  </si>
  <si>
    <t>SYNTH-CUSTOMER-000856</t>
  </si>
  <si>
    <t>SYNTH-INT-000857</t>
  </si>
  <si>
    <t>SYNTH-ORDER-000857</t>
  </si>
  <si>
    <t>SYNTH-CUSTOMER-000857</t>
  </si>
  <si>
    <t>SYNTH-INT-000858</t>
  </si>
  <si>
    <t>SYNTH-ORDER-000858</t>
  </si>
  <si>
    <t>SYNTH-CUSTOMER-000858</t>
  </si>
  <si>
    <t>SYNTH-INT-000859</t>
  </si>
  <si>
    <t>SYNTH-ORDER-000859</t>
  </si>
  <si>
    <t>SYNTH-CUSTOMER-000859</t>
  </si>
  <si>
    <t>SYNTH-INT-000860</t>
  </si>
  <si>
    <t>SYNTH-ORDER-000860</t>
  </si>
  <si>
    <t>SYNTH-CUSTOMER-000860</t>
  </si>
  <si>
    <t>SYNTH-INT-000861</t>
  </si>
  <si>
    <t>SYNTH-ORDER-000861</t>
  </si>
  <si>
    <t>SYNTH-CUSTOMER-000861</t>
  </si>
  <si>
    <t>SYNTH-INT-000862</t>
  </si>
  <si>
    <t>SYNTH-ORDER-000862</t>
  </si>
  <si>
    <t>SYNTH-CUSTOMER-000862</t>
  </si>
  <si>
    <t>SYNTH-INT-000863</t>
  </si>
  <si>
    <t>SYNTH-ORDER-000863</t>
  </si>
  <si>
    <t>SYNTH-CUSTOMER-000863</t>
  </si>
  <si>
    <t>SYNTH-INT-000864</t>
  </si>
  <si>
    <t>SYNTH-ORDER-000864</t>
  </si>
  <si>
    <t>SYNTH-CUSTOMER-000864</t>
  </si>
  <si>
    <t>SYNTH-INT-000865</t>
  </si>
  <si>
    <t>SYNTH-ORDER-000865</t>
  </si>
  <si>
    <t>SYNTH-CUSTOMER-000865</t>
  </si>
  <si>
    <t>SYNTH-INT-000866</t>
  </si>
  <si>
    <t>SYNTH-ORDER-000866</t>
  </si>
  <si>
    <t>SYNTH-CUSTOMER-000866</t>
  </si>
  <si>
    <t>SYNTH-INT-000867</t>
  </si>
  <si>
    <t>SYNTH-ORDER-000867</t>
  </si>
  <si>
    <t>SYNTH-CUSTOMER-000867</t>
  </si>
  <si>
    <t>SYNTH-INT-000868</t>
  </si>
  <si>
    <t>SYNTH-ORDER-000868</t>
  </si>
  <si>
    <t>SYNTH-CUSTOMER-000868</t>
  </si>
  <si>
    <t>SYNTH-INT-000869</t>
  </si>
  <si>
    <t>SYNTH-ORDER-000869</t>
  </si>
  <si>
    <t>SYNTH-CUSTOMER-000869</t>
  </si>
  <si>
    <t>SYNTH-INT-000870</t>
  </si>
  <si>
    <t>SYNTH-ORDER-000870</t>
  </si>
  <si>
    <t>SYNTH-CUSTOMER-000870</t>
  </si>
  <si>
    <t>SYNTH-INT-000871</t>
  </si>
  <si>
    <t>SYNTH-ORDER-000871</t>
  </si>
  <si>
    <t>SYNTH-CUSTOMER-000871</t>
  </si>
  <si>
    <t>SYNTH-INT-000872</t>
  </si>
  <si>
    <t>SYNTH-ORDER-000872</t>
  </si>
  <si>
    <t>SYNTH-CUSTOMER-000872</t>
  </si>
  <si>
    <t>SYNTH-INT-000873</t>
  </si>
  <si>
    <t>SYNTH-ORDER-000873</t>
  </si>
  <si>
    <t>SYNTH-CUSTOMER-000873</t>
  </si>
  <si>
    <t>SYNTH-INT-000874</t>
  </si>
  <si>
    <t>SYNTH-ORDER-000874</t>
  </si>
  <si>
    <t>SYNTH-CUSTOMER-000874</t>
  </si>
  <si>
    <t>SYNTH-INT-000875</t>
  </si>
  <si>
    <t>SYNTH-ORDER-000875</t>
  </si>
  <si>
    <t>SYNTH-CUSTOMER-000875</t>
  </si>
  <si>
    <t>SYNTH-INT-000876</t>
  </si>
  <si>
    <t>SYNTH-ORDER-000876</t>
  </si>
  <si>
    <t>SYNTH-CUSTOMER-000876</t>
  </si>
  <si>
    <t>SYNTH-INT-000877</t>
  </si>
  <si>
    <t>SYNTH-ORDER-000877</t>
  </si>
  <si>
    <t>SYNTH-CUSTOMER-000877</t>
  </si>
  <si>
    <t>SYNTH-INT-000878</t>
  </si>
  <si>
    <t>SYNTH-ORDER-000878</t>
  </si>
  <si>
    <t>SYNTH-CUSTOMER-000878</t>
  </si>
  <si>
    <t>SYNTH-INT-000879</t>
  </si>
  <si>
    <t>SYNTH-ORDER-000879</t>
  </si>
  <si>
    <t>SYNTH-CUSTOMER-000879</t>
  </si>
  <si>
    <t>SYNTH-INT-000880</t>
  </si>
  <si>
    <t>SYNTH-ORDER-000880</t>
  </si>
  <si>
    <t>SYNTH-CUSTOMER-000880</t>
  </si>
  <si>
    <t>SYNTH-INT-000881</t>
  </si>
  <si>
    <t>SYNTH-ORDER-000881</t>
  </si>
  <si>
    <t>SYNTH-CUSTOMER-000881</t>
  </si>
  <si>
    <t>SYNTH-INT-000882</t>
  </si>
  <si>
    <t>SYNTH-ORDER-000882</t>
  </si>
  <si>
    <t>SYNTH-CUSTOMER-000882</t>
  </si>
  <si>
    <t>SYNTH-INT-000883</t>
  </si>
  <si>
    <t>SYNTH-ORDER-000883</t>
  </si>
  <si>
    <t>SYNTH-CUSTOMER-000883</t>
  </si>
  <si>
    <t>SYNTH-INT-000884</t>
  </si>
  <si>
    <t>SYNTH-ORDER-000884</t>
  </si>
  <si>
    <t>SYNTH-CUSTOMER-000884</t>
  </si>
  <si>
    <t>SYNTH-INT-000885</t>
  </si>
  <si>
    <t>SYNTH-ORDER-000885</t>
  </si>
  <si>
    <t>SYNTH-CUSTOMER-000885</t>
  </si>
  <si>
    <t>SYNTH-INT-000886</t>
  </si>
  <si>
    <t>SYNTH-ORDER-000886</t>
  </si>
  <si>
    <t>SYNTH-CUSTOMER-000886</t>
  </si>
  <si>
    <t>SYNTH-INT-000887</t>
  </si>
  <si>
    <t>SYNTH-ORDER-000887</t>
  </si>
  <si>
    <t>SYNTH-CUSTOMER-000887</t>
  </si>
  <si>
    <t>SYNTH-INT-000888</t>
  </si>
  <si>
    <t>SYNTH-ORDER-000888</t>
  </si>
  <si>
    <t>SYNTH-CUSTOMER-000888</t>
  </si>
  <si>
    <t>SYNTH-INT-000889</t>
  </si>
  <si>
    <t>SYNTH-ORDER-000889</t>
  </si>
  <si>
    <t>SYNTH-CUSTOMER-000889</t>
  </si>
  <si>
    <t>SYNTH-INT-000890</t>
  </si>
  <si>
    <t>SYNTH-ORDER-000890</t>
  </si>
  <si>
    <t>SYNTH-CUSTOMER-000890</t>
  </si>
  <si>
    <t>SYNTH-INT-000891</t>
  </si>
  <si>
    <t>SYNTH-ORDER-000891</t>
  </si>
  <si>
    <t>SYNTH-CUSTOMER-000891</t>
  </si>
  <si>
    <t>SYNTH-INT-000892</t>
  </si>
  <si>
    <t>SYNTH-ORDER-000892</t>
  </si>
  <si>
    <t>SYNTH-CUSTOMER-000892</t>
  </si>
  <si>
    <t>SYNTH-INT-000893</t>
  </si>
  <si>
    <t>SYNTH-ORDER-000893</t>
  </si>
  <si>
    <t>SYNTH-CUSTOMER-000893</t>
  </si>
  <si>
    <t>SYNTH-INT-000894</t>
  </si>
  <si>
    <t>SYNTH-ORDER-000894</t>
  </si>
  <si>
    <t>SYNTH-CUSTOMER-000894</t>
  </si>
  <si>
    <t>SYNTH-INT-000895</t>
  </si>
  <si>
    <t>SYNTH-ORDER-000895</t>
  </si>
  <si>
    <t>SYNTH-CUSTOMER-000895</t>
  </si>
  <si>
    <t>SYNTH-INT-000896</t>
  </si>
  <si>
    <t>SYNTH-ORDER-000896</t>
  </si>
  <si>
    <t>SYNTH-CUSTOMER-000896</t>
  </si>
  <si>
    <t>SYNTH-INT-000897</t>
  </si>
  <si>
    <t>SYNTH-ORDER-000897</t>
  </si>
  <si>
    <t>SYNTH-CUSTOMER-000897</t>
  </si>
  <si>
    <t>SYNTH-INT-000898</t>
  </si>
  <si>
    <t>SYNTH-ORDER-000898</t>
  </si>
  <si>
    <t>SYNTH-CUSTOMER-000898</t>
  </si>
  <si>
    <t>SYNTH-INT-000899</t>
  </si>
  <si>
    <t>SYNTH-ORDER-000899</t>
  </si>
  <si>
    <t>SYNTH-CUSTOMER-000899</t>
  </si>
  <si>
    <t>SYNTH-INT-000900</t>
  </si>
  <si>
    <t>SYNTH-ORDER-000900</t>
  </si>
  <si>
    <t>SYNTH-CUSTOMER-000900</t>
  </si>
  <si>
    <t>SYNTH-INT-000901</t>
  </si>
  <si>
    <t>SYNTH-ORDER-000901</t>
  </si>
  <si>
    <t>SYNTH-CUSTOMER-000901</t>
  </si>
  <si>
    <t>SYNTH-INT-000902</t>
  </si>
  <si>
    <t>SYNTH-ORDER-000902</t>
  </si>
  <si>
    <t>SYNTH-CUSTOMER-000902</t>
  </si>
  <si>
    <t>SYNTH-INT-000903</t>
  </si>
  <si>
    <t>SYNTH-ORDER-000903</t>
  </si>
  <si>
    <t>SYNTH-CUSTOMER-000903</t>
  </si>
  <si>
    <t>SYNTH-INT-000904</t>
  </si>
  <si>
    <t>SYNTH-ORDER-000904</t>
  </si>
  <si>
    <t>SYNTH-CUSTOMER-000904</t>
  </si>
  <si>
    <t>SYNTH-INT-000905</t>
  </si>
  <si>
    <t>SYNTH-ORDER-000905</t>
  </si>
  <si>
    <t>SYNTH-CUSTOMER-000905</t>
  </si>
  <si>
    <t>SYNTH-INT-000906</t>
  </si>
  <si>
    <t>SYNTH-ORDER-000906</t>
  </si>
  <si>
    <t>SYNTH-CUSTOMER-000906</t>
  </si>
  <si>
    <t>SYNTH-INT-000907</t>
  </si>
  <si>
    <t>SYNTH-ORDER-000907</t>
  </si>
  <si>
    <t>SYNTH-CUSTOMER-000907</t>
  </si>
  <si>
    <t>SYNTH-INT-000908</t>
  </si>
  <si>
    <t>SYNTH-ORDER-000908</t>
  </si>
  <si>
    <t>SYNTH-CUSTOMER-000908</t>
  </si>
  <si>
    <t>SYNTH-INT-000909</t>
  </si>
  <si>
    <t>SYNTH-ORDER-000909</t>
  </si>
  <si>
    <t>SYNTH-CUSTOMER-000909</t>
  </si>
  <si>
    <t>SYNTH-INT-000910</t>
  </si>
  <si>
    <t>SYNTH-ORDER-000910</t>
  </si>
  <si>
    <t>SYNTH-CUSTOMER-000910</t>
  </si>
  <si>
    <t>SYNTH-INT-000911</t>
  </si>
  <si>
    <t>SYNTH-ORDER-000911</t>
  </si>
  <si>
    <t>SYNTH-CUSTOMER-000911</t>
  </si>
  <si>
    <t>SYNTH-INT-000912</t>
  </si>
  <si>
    <t>SYNTH-ORDER-000912</t>
  </si>
  <si>
    <t>SYNTH-CUSTOMER-000912</t>
  </si>
  <si>
    <t>SYNTH-INT-000913</t>
  </si>
  <si>
    <t>SYNTH-ORDER-000913</t>
  </si>
  <si>
    <t>SYNTH-CUSTOMER-000913</t>
  </si>
  <si>
    <t>SYNTH-INT-000914</t>
  </si>
  <si>
    <t>SYNTH-ORDER-000914</t>
  </si>
  <si>
    <t>SYNTH-CUSTOMER-000914</t>
  </si>
  <si>
    <t>SYNTH-INT-000915</t>
  </si>
  <si>
    <t>SYNTH-ORDER-000915</t>
  </si>
  <si>
    <t>SYNTH-CUSTOMER-000915</t>
  </si>
  <si>
    <t>SYNTH-INT-000916</t>
  </si>
  <si>
    <t>SYNTH-ORDER-000916</t>
  </si>
  <si>
    <t>SYNTH-CUSTOMER-000916</t>
  </si>
  <si>
    <t>SYNTH-INT-000917</t>
  </si>
  <si>
    <t>SYNTH-ORDER-000917</t>
  </si>
  <si>
    <t>SYNTH-CUSTOMER-000917</t>
  </si>
  <si>
    <t>SYNTH-INT-000918</t>
  </si>
  <si>
    <t>SYNTH-ORDER-000918</t>
  </si>
  <si>
    <t>SYNTH-CUSTOMER-000918</t>
  </si>
  <si>
    <t>SYNTH-INT-000919</t>
  </si>
  <si>
    <t>SYNTH-ORDER-000919</t>
  </si>
  <si>
    <t>SYNTH-CUSTOMER-000919</t>
  </si>
  <si>
    <t>SYNTH-INT-000920</t>
  </si>
  <si>
    <t>SYNTH-ORDER-000920</t>
  </si>
  <si>
    <t>SYNTH-CUSTOMER-000920</t>
  </si>
  <si>
    <t>SYNTH-INT-000921</t>
  </si>
  <si>
    <t>SYNTH-ORDER-000921</t>
  </si>
  <si>
    <t>SYNTH-CUSTOMER-000921</t>
  </si>
  <si>
    <t>SYNTH-INT-000922</t>
  </si>
  <si>
    <t>SYNTH-ORDER-000922</t>
  </si>
  <si>
    <t>SYNTH-CUSTOMER-000922</t>
  </si>
  <si>
    <t>SYNTH-INT-000923</t>
  </si>
  <si>
    <t>SYNTH-ORDER-000923</t>
  </si>
  <si>
    <t>SYNTH-CUSTOMER-000923</t>
  </si>
  <si>
    <t>SYNTH-INT-000924</t>
  </si>
  <si>
    <t>SYNTH-ORDER-000924</t>
  </si>
  <si>
    <t>SYNTH-CUSTOMER-000924</t>
  </si>
  <si>
    <t>SYNTH-INT-000925</t>
  </si>
  <si>
    <t>SYNTH-ORDER-000925</t>
  </si>
  <si>
    <t>SYNTH-CUSTOMER-000925</t>
  </si>
  <si>
    <t>SYNTH-INT-000926</t>
  </si>
  <si>
    <t>SYNTH-ORDER-000926</t>
  </si>
  <si>
    <t>SYNTH-CUSTOMER-000926</t>
  </si>
  <si>
    <t>SYNTH-INT-000927</t>
  </si>
  <si>
    <t>SYNTH-ORDER-000927</t>
  </si>
  <si>
    <t>SYNTH-CUSTOMER-000927</t>
  </si>
  <si>
    <t>SYNTH-INT-000928</t>
  </si>
  <si>
    <t>SYNTH-ORDER-000928</t>
  </si>
  <si>
    <t>SYNTH-CUSTOMER-000928</t>
  </si>
  <si>
    <t>SYNTH-INT-000929</t>
  </si>
  <si>
    <t>SYNTH-ORDER-000929</t>
  </si>
  <si>
    <t>SYNTH-CUSTOMER-000929</t>
  </si>
  <si>
    <t>SYNTH-INT-000930</t>
  </si>
  <si>
    <t>SYNTH-ORDER-000930</t>
  </si>
  <si>
    <t>SYNTH-CUSTOMER-000930</t>
  </si>
  <si>
    <t>SYNTH-INT-000931</t>
  </si>
  <si>
    <t>SYNTH-ORDER-000931</t>
  </si>
  <si>
    <t>SYNTH-CUSTOMER-000931</t>
  </si>
  <si>
    <t>SYNTH-INT-000932</t>
  </si>
  <si>
    <t>SYNTH-ORDER-000932</t>
  </si>
  <si>
    <t>SYNTH-CUSTOMER-000932</t>
  </si>
  <si>
    <t>SYNTH-INT-000933</t>
  </si>
  <si>
    <t>SYNTH-ORDER-000933</t>
  </si>
  <si>
    <t>SYNTH-CUSTOMER-000933</t>
  </si>
  <si>
    <t>SYNTH-INT-000934</t>
  </si>
  <si>
    <t>SYNTH-ORDER-000934</t>
  </si>
  <si>
    <t>SYNTH-CUSTOMER-000934</t>
  </si>
  <si>
    <t>SYNTH-INT-000935</t>
  </si>
  <si>
    <t>SYNTH-ORDER-000935</t>
  </si>
  <si>
    <t>SYNTH-CUSTOMER-000935</t>
  </si>
  <si>
    <t>SYNTH-INT-000936</t>
  </si>
  <si>
    <t>SYNTH-ORDER-000936</t>
  </si>
  <si>
    <t>SYNTH-CUSTOMER-000936</t>
  </si>
  <si>
    <t>SYNTH-INT-000937</t>
  </si>
  <si>
    <t>SYNTH-ORDER-000937</t>
  </si>
  <si>
    <t>SYNTH-CUSTOMER-000937</t>
  </si>
  <si>
    <t>SYNTH-INT-000938</t>
  </si>
  <si>
    <t>SYNTH-ORDER-000938</t>
  </si>
  <si>
    <t>SYNTH-CUSTOMER-000938</t>
  </si>
  <si>
    <t>SYNTH-INT-000939</t>
  </si>
  <si>
    <t>SYNTH-ORDER-000939</t>
  </si>
  <si>
    <t>SYNTH-CUSTOMER-000939</t>
  </si>
  <si>
    <t>SYNTH-INT-000940</t>
  </si>
  <si>
    <t>SYNTH-ORDER-000940</t>
  </si>
  <si>
    <t>SYNTH-CUSTOMER-000940</t>
  </si>
  <si>
    <t>SYNTH-INT-000941</t>
  </si>
  <si>
    <t>SYNTH-ORDER-000941</t>
  </si>
  <si>
    <t>SYNTH-CUSTOMER-000941</t>
  </si>
  <si>
    <t>SYNTH-INT-000942</t>
  </si>
  <si>
    <t>SYNTH-ORDER-000942</t>
  </si>
  <si>
    <t>SYNTH-CUSTOMER-000942</t>
  </si>
  <si>
    <t>SYNTH-INT-000943</t>
  </si>
  <si>
    <t>SYNTH-ORDER-000943</t>
  </si>
  <si>
    <t>SYNTH-CUSTOMER-000943</t>
  </si>
  <si>
    <t>SYNTH-INT-000944</t>
  </si>
  <si>
    <t>SYNTH-ORDER-000944</t>
  </si>
  <si>
    <t>SYNTH-CUSTOMER-000944</t>
  </si>
  <si>
    <t>SYNTH-INT-000945</t>
  </si>
  <si>
    <t>SYNTH-ORDER-000945</t>
  </si>
  <si>
    <t>SYNTH-CUSTOMER-000945</t>
  </si>
  <si>
    <t>SYNTH-INT-000946</t>
  </si>
  <si>
    <t>SYNTH-ORDER-000946</t>
  </si>
  <si>
    <t>SYNTH-CUSTOMER-000946</t>
  </si>
  <si>
    <t>SYNTH-INT-000947</t>
  </si>
  <si>
    <t>SYNTH-ORDER-000947</t>
  </si>
  <si>
    <t>SYNTH-CUSTOMER-000947</t>
  </si>
  <si>
    <t>SYNTH-INT-000948</t>
  </si>
  <si>
    <t>SYNTH-ORDER-000948</t>
  </si>
  <si>
    <t>SYNTH-CUSTOMER-000948</t>
  </si>
  <si>
    <t>SYNTH-INT-000949</t>
  </si>
  <si>
    <t>SYNTH-ORDER-000949</t>
  </si>
  <si>
    <t>SYNTH-CUSTOMER-000949</t>
  </si>
  <si>
    <t>SYNTH-INT-000950</t>
  </si>
  <si>
    <t>SYNTH-ORDER-000950</t>
  </si>
  <si>
    <t>SYNTH-CUSTOMER-000950</t>
  </si>
  <si>
    <t>SYNTH-INT-000951</t>
  </si>
  <si>
    <t>SYNTH-ORDER-000951</t>
  </si>
  <si>
    <t>SYNTH-CUSTOMER-000951</t>
  </si>
  <si>
    <t>SYNTH-INT-000952</t>
  </si>
  <si>
    <t>SYNTH-ORDER-000952</t>
  </si>
  <si>
    <t>SYNTH-CUSTOMER-000952</t>
  </si>
  <si>
    <t>SYNTH-INT-000953</t>
  </si>
  <si>
    <t>SYNTH-ORDER-000953</t>
  </si>
  <si>
    <t>SYNTH-CUSTOMER-000953</t>
  </si>
  <si>
    <t>SYNTH-INT-000954</t>
  </si>
  <si>
    <t>SYNTH-ORDER-000954</t>
  </si>
  <si>
    <t>SYNTH-CUSTOMER-000954</t>
  </si>
  <si>
    <t>SYNTH-INT-000955</t>
  </si>
  <si>
    <t>SYNTH-ORDER-000955</t>
  </si>
  <si>
    <t>SYNTH-CUSTOMER-000955</t>
  </si>
  <si>
    <t>SYNTH-INT-000956</t>
  </si>
  <si>
    <t>SYNTH-ORDER-000956</t>
  </si>
  <si>
    <t>SYNTH-CUSTOMER-000956</t>
  </si>
  <si>
    <t>SYNTH-INT-000957</t>
  </si>
  <si>
    <t>SYNTH-ORDER-000957</t>
  </si>
  <si>
    <t>SYNTH-CUSTOMER-000957</t>
  </si>
  <si>
    <t>SYNTH-INT-000958</t>
  </si>
  <si>
    <t>SYNTH-ORDER-000958</t>
  </si>
  <si>
    <t>SYNTH-CUSTOMER-000958</t>
  </si>
  <si>
    <t>SYNTH-INT-000959</t>
  </si>
  <si>
    <t>SYNTH-ORDER-000959</t>
  </si>
  <si>
    <t>SYNTH-CUSTOMER-000959</t>
  </si>
  <si>
    <t>SYNTH-INT-000960</t>
  </si>
  <si>
    <t>SYNTH-ORDER-000960</t>
  </si>
  <si>
    <t>SYNTH-CUSTOMER-000960</t>
  </si>
  <si>
    <t>SYNTH-INT-000961</t>
  </si>
  <si>
    <t>SYNTH-ORDER-000961</t>
  </si>
  <si>
    <t>SYNTH-CUSTOMER-000961</t>
  </si>
  <si>
    <t>SYNTH-INT-000962</t>
  </si>
  <si>
    <t>SYNTH-ORDER-000962</t>
  </si>
  <si>
    <t>SYNTH-CUSTOMER-000962</t>
  </si>
  <si>
    <t>SYNTH-INT-000963</t>
  </si>
  <si>
    <t>SYNTH-ORDER-000963</t>
  </si>
  <si>
    <t>SYNTH-CUSTOMER-000963</t>
  </si>
  <si>
    <t>SYNTH-INT-000964</t>
  </si>
  <si>
    <t>SYNTH-ORDER-000964</t>
  </si>
  <si>
    <t>SYNTH-CUSTOMER-000964</t>
  </si>
  <si>
    <t>SYNTH-INT-000965</t>
  </si>
  <si>
    <t>SYNTH-ORDER-000965</t>
  </si>
  <si>
    <t>SYNTH-CUSTOMER-000965</t>
  </si>
  <si>
    <t>SYNTH-INT-000966</t>
  </si>
  <si>
    <t>SYNTH-ORDER-000966</t>
  </si>
  <si>
    <t>SYNTH-CUSTOMER-000966</t>
  </si>
  <si>
    <t>SYNTH-INT-000967</t>
  </si>
  <si>
    <t>SYNTH-ORDER-000967</t>
  </si>
  <si>
    <t>SYNTH-CUSTOMER-000967</t>
  </si>
  <si>
    <t>SYNTH-INT-000968</t>
  </si>
  <si>
    <t>SYNTH-ORDER-000968</t>
  </si>
  <si>
    <t>SYNTH-CUSTOMER-000968</t>
  </si>
  <si>
    <t>SYNTH-INT-000969</t>
  </si>
  <si>
    <t>SYNTH-ORDER-000969</t>
  </si>
  <si>
    <t>SYNTH-CUSTOMER-000969</t>
  </si>
  <si>
    <t>SYNTH-INT-000970</t>
  </si>
  <si>
    <t>SYNTH-ORDER-000970</t>
  </si>
  <si>
    <t>SYNTH-CUSTOMER-000970</t>
  </si>
  <si>
    <t>SYNTH-INT-000971</t>
  </si>
  <si>
    <t>SYNTH-ORDER-000971</t>
  </si>
  <si>
    <t>SYNTH-CUSTOMER-000971</t>
  </si>
  <si>
    <t>SYNTH-INT-000972</t>
  </si>
  <si>
    <t>SYNTH-ORDER-000972</t>
  </si>
  <si>
    <t>SYNTH-CUSTOMER-000972</t>
  </si>
  <si>
    <t>SYNTH-INT-000973</t>
  </si>
  <si>
    <t>SYNTH-ORDER-000973</t>
  </si>
  <si>
    <t>SYNTH-CUSTOMER-000973</t>
  </si>
  <si>
    <t>SYNTH-INT-000974</t>
  </si>
  <si>
    <t>SYNTH-ORDER-000974</t>
  </si>
  <si>
    <t>SYNTH-CUSTOMER-000974</t>
  </si>
  <si>
    <t>SYNTH-INT-000975</t>
  </si>
  <si>
    <t>SYNTH-ORDER-000975</t>
  </si>
  <si>
    <t>SYNTH-CUSTOMER-000975</t>
  </si>
  <si>
    <t>SYNTH-INT-000976</t>
  </si>
  <si>
    <t>SYNTH-ORDER-000976</t>
  </si>
  <si>
    <t>SYNTH-CUSTOMER-000976</t>
  </si>
  <si>
    <t>SYNTH-INT-000977</t>
  </si>
  <si>
    <t>SYNTH-ORDER-000977</t>
  </si>
  <si>
    <t>SYNTH-CUSTOMER-000977</t>
  </si>
  <si>
    <t>SYNTH-INT-000978</t>
  </si>
  <si>
    <t>SYNTH-ORDER-000978</t>
  </si>
  <si>
    <t>SYNTH-CUSTOMER-000978</t>
  </si>
  <si>
    <t>SYNTH-INT-000979</t>
  </si>
  <si>
    <t>SYNTH-ORDER-000979</t>
  </si>
  <si>
    <t>SYNTH-CUSTOMER-000979</t>
  </si>
  <si>
    <t>SYNTH-INT-000980</t>
  </si>
  <si>
    <t>SYNTH-ORDER-000980</t>
  </si>
  <si>
    <t>SYNTH-CUSTOMER-000980</t>
  </si>
  <si>
    <t>SYNTH-INT-000981</t>
  </si>
  <si>
    <t>SYNTH-ORDER-000981</t>
  </si>
  <si>
    <t>SYNTH-CUSTOMER-000981</t>
  </si>
  <si>
    <t>SYNTH-INT-000982</t>
  </si>
  <si>
    <t>SYNTH-ORDER-000982</t>
  </si>
  <si>
    <t>SYNTH-CUSTOMER-000982</t>
  </si>
  <si>
    <t>SYNTH-INT-000983</t>
  </si>
  <si>
    <t>SYNTH-ORDER-000983</t>
  </si>
  <si>
    <t>SYNTH-CUSTOMER-000983</t>
  </si>
  <si>
    <t>SYNTH-INT-000984</t>
  </si>
  <si>
    <t>SYNTH-ORDER-000984</t>
  </si>
  <si>
    <t>SYNTH-CUSTOMER-000984</t>
  </si>
  <si>
    <t>SYNTH-INT-000985</t>
  </si>
  <si>
    <t>SYNTH-ORDER-000985</t>
  </si>
  <si>
    <t>SYNTH-CUSTOMER-000985</t>
  </si>
  <si>
    <t>SYNTH-INT-000986</t>
  </si>
  <si>
    <t>SYNTH-ORDER-000986</t>
  </si>
  <si>
    <t>SYNTH-CUSTOMER-000986</t>
  </si>
  <si>
    <t>SYNTH-INT-000987</t>
  </si>
  <si>
    <t>SYNTH-ORDER-000987</t>
  </si>
  <si>
    <t>SYNTH-CUSTOMER-000987</t>
  </si>
  <si>
    <t>SYNTH-INT-000988</t>
  </si>
  <si>
    <t>SYNTH-ORDER-000988</t>
  </si>
  <si>
    <t>SYNTH-CUSTOMER-000988</t>
  </si>
  <si>
    <t>SYNTH-INT-000989</t>
  </si>
  <si>
    <t>SYNTH-ORDER-000989</t>
  </si>
  <si>
    <t>SYNTH-CUSTOMER-000989</t>
  </si>
  <si>
    <t>SYNTH-INT-000990</t>
  </si>
  <si>
    <t>SYNTH-ORDER-000990</t>
  </si>
  <si>
    <t>SYNTH-CUSTOMER-000990</t>
  </si>
  <si>
    <t>SYNTH-INT-000991</t>
  </si>
  <si>
    <t>SYNTH-ORDER-000991</t>
  </si>
  <si>
    <t>SYNTH-CUSTOMER-000991</t>
  </si>
  <si>
    <t>SYNTH-INT-000992</t>
  </si>
  <si>
    <t>SYNTH-ORDER-000992</t>
  </si>
  <si>
    <t>SYNTH-CUSTOMER-000992</t>
  </si>
  <si>
    <t>SYNTH-INT-000993</t>
  </si>
  <si>
    <t>SYNTH-ORDER-000993</t>
  </si>
  <si>
    <t>SYNTH-CUSTOMER-000993</t>
  </si>
  <si>
    <t>SYNTH-INT-000994</t>
  </si>
  <si>
    <t>SYNTH-ORDER-000994</t>
  </si>
  <si>
    <t>SYNTH-CUSTOMER-000994</t>
  </si>
  <si>
    <t>SYNTH-INT-000995</t>
  </si>
  <si>
    <t>SYNTH-ORDER-000995</t>
  </si>
  <si>
    <t>SYNTH-CUSTOMER-000995</t>
  </si>
  <si>
    <t>SYNTH-INT-000996</t>
  </si>
  <si>
    <t>SYNTH-ORDER-000996</t>
  </si>
  <si>
    <t>SYNTH-CUSTOMER-000996</t>
  </si>
  <si>
    <t>SYNTH-INT-000997</t>
  </si>
  <si>
    <t>SYNTH-ORDER-000997</t>
  </si>
  <si>
    <t>SYNTH-CUSTOMER-000997</t>
  </si>
  <si>
    <t>SYNTH-INT-000998</t>
  </si>
  <si>
    <t>SYNTH-ORDER-000998</t>
  </si>
  <si>
    <t>SYNTH-CUSTOMER-000998</t>
  </si>
  <si>
    <t>SYNTH-INT-000999</t>
  </si>
  <si>
    <t>SYNTH-ORDER-000999</t>
  </si>
  <si>
    <t>SYNTH-CUSTOMER-000999</t>
  </si>
  <si>
    <t>SYNTH-INT-001000</t>
  </si>
  <si>
    <t>SYNTH-ORDER-001000</t>
  </si>
  <si>
    <t>SYNTH-CUSTOMER-001000</t>
  </si>
  <si>
    <t>processor_transaction_id</t>
  </si>
  <si>
    <t>processor_event_type</t>
  </si>
  <si>
    <t>processor_event_time</t>
  </si>
  <si>
    <t>fee_amount</t>
  </si>
  <si>
    <t>net_amount</t>
  </si>
  <si>
    <t>settlement_batch_id</t>
  </si>
  <si>
    <t>processor_status</t>
  </si>
  <si>
    <t>SYNTH-PROC-000001</t>
  </si>
  <si>
    <t>CAPTURE</t>
  </si>
  <si>
    <t>SYNTH-BATCH-GBP-2026-01-03-0000</t>
  </si>
  <si>
    <t>SETTLED</t>
  </si>
  <si>
    <t>SYNTH-PROC-000002</t>
  </si>
  <si>
    <t>SYNTH-BATCH-USD-2026-01-04-0000</t>
  </si>
  <si>
    <t>SYNTH-PROC-000003</t>
  </si>
  <si>
    <t>SYNTH-BATCH-USD-2026-01-05-0000</t>
  </si>
  <si>
    <t>SYNTH-PROC-000004</t>
  </si>
  <si>
    <t>SYNTH-BATCH-USD-2026-01-06-0000</t>
  </si>
  <si>
    <t>SYNTH-PROC-000005</t>
  </si>
  <si>
    <t>SYNTH-BATCH-LATE-000005</t>
  </si>
  <si>
    <t>SYNTH-PROC-000006</t>
  </si>
  <si>
    <t>SYNTH-BATCH-USD-2026-01-08-0000</t>
  </si>
  <si>
    <t>SYNTH-PROC-000007</t>
  </si>
  <si>
    <t>SYNTH-BATCH-USD-2026-01-09-0000</t>
  </si>
  <si>
    <t>SYNTH-PROC-000008</t>
  </si>
  <si>
    <t>SYNTH-BATCH-USD-2026-01-10-0000</t>
  </si>
  <si>
    <t>SYNTH-PROC-000009</t>
  </si>
  <si>
    <t>SYNTH-BATCH-USD-2026-01-11-0000</t>
  </si>
  <si>
    <t>SYNTH-PROC-000010</t>
  </si>
  <si>
    <t>SYNTH-BATCH-EUR-2026-01-12-0000</t>
  </si>
  <si>
    <t>SYNTH-PROC-000011</t>
  </si>
  <si>
    <t>SYNTH-BATCH-GBP-2026-01-13-0000</t>
  </si>
  <si>
    <t>SYNTH-PROC-000012</t>
  </si>
  <si>
    <t>SYNTH-BATCH-USD-2026-01-14-0000</t>
  </si>
  <si>
    <t>SYNTH-PROC-000013</t>
  </si>
  <si>
    <t>SYNTH-BATCH-USD-2026-01-15-0000</t>
  </si>
  <si>
    <t>SYNTH-PROC-000014</t>
  </si>
  <si>
    <t>SYNTH-BATCH-USD-2026-01-16-0000</t>
  </si>
  <si>
    <t>SYNTH-PROC-000015</t>
  </si>
  <si>
    <t>SYNTH-BATCH-USD-2026-01-03-0000</t>
  </si>
  <si>
    <t>SYNTH-PROC-000017</t>
  </si>
  <si>
    <t>SYNTH-PROC-000018</t>
  </si>
  <si>
    <t>SYNTH-PROC-000019</t>
  </si>
  <si>
    <t>SYNTH-BATCH-USD-2026-01-07-0000</t>
  </si>
  <si>
    <t>SYNTH-PROC-000020</t>
  </si>
  <si>
    <t>SYNTH-BATCH-EUR-2026-01-08-0000</t>
  </si>
  <si>
    <t>SYNTH-PROC-000021</t>
  </si>
  <si>
    <t>SYNTH-BATCH-GBP-2026-01-09-0000</t>
  </si>
  <si>
    <t>SYNTH-PROC-000022</t>
  </si>
  <si>
    <t>SYNTH-PROC-000023</t>
  </si>
  <si>
    <t>SYNTH-PROC-000023-REFUND</t>
  </si>
  <si>
    <t>REFUND</t>
  </si>
  <si>
    <t>SYNTH-BATCH-REFUND-000023</t>
  </si>
  <si>
    <t>SYNTH-PROC-000024</t>
  </si>
  <si>
    <t>SYNTH-BATCH-USD-2026-01-12-0000</t>
  </si>
  <si>
    <t>SYNTH-PROC-000025</t>
  </si>
  <si>
    <t>SYNTH-BATCH-USD-2026-01-13-0000</t>
  </si>
  <si>
    <t>SYNTH-PROC-000026</t>
  </si>
  <si>
    <t>SYNTH-PROC-000027</t>
  </si>
  <si>
    <t>SYNTH-PROC-000028</t>
  </si>
  <si>
    <t>SYNTH-PROC-000028-REFUND</t>
  </si>
  <si>
    <t>SYNTH-BATCH-REFUND-000028</t>
  </si>
  <si>
    <t>SYNTH-PROC-000029</t>
  </si>
  <si>
    <t>SYNTH-PROC-000030</t>
  </si>
  <si>
    <t>SYNTH-BATCH-DUPLICATE-000030</t>
  </si>
  <si>
    <t>SYNTH-PROC-000031</t>
  </si>
  <si>
    <t>SYNTH-BATCH-CURRENCY-000031</t>
  </si>
  <si>
    <t>SYNTH-PROC-000032</t>
  </si>
  <si>
    <t>SYNTH-PROC-000033</t>
  </si>
  <si>
    <t>SYNTH-PROC-000034</t>
  </si>
  <si>
    <t>SYNTH-PROC-000035</t>
  </si>
  <si>
    <t>SYNTH-BATCH-LATE-000035</t>
  </si>
  <si>
    <t>SYNTH-PROC-000036</t>
  </si>
  <si>
    <t>SYNTH-PROC-000037</t>
  </si>
  <si>
    <t>SYNTH-PROC-000038</t>
  </si>
  <si>
    <t>SYNTH-PROC-000039</t>
  </si>
  <si>
    <t>SYNTH-PROC-000040</t>
  </si>
  <si>
    <t>SYNTH-BATCH-EUR-2026-01-14-0000</t>
  </si>
  <si>
    <t>SYNTH-PROC-000041</t>
  </si>
  <si>
    <t>SYNTH-BATCH-CURRENCY-000041</t>
  </si>
  <si>
    <t>SYNTH-PROC-000042</t>
  </si>
  <si>
    <t>SYNTH-PROC-000043</t>
  </si>
  <si>
    <t>SYNTH-PROC-000044</t>
  </si>
  <si>
    <t>SYNTH-PROC-000045</t>
  </si>
  <si>
    <t>SYNTH-PROC-000046</t>
  </si>
  <si>
    <t>SYNTH-BATCH-CURRENCY-000046</t>
  </si>
  <si>
    <t>SYNTH-PROC-000047</t>
  </si>
  <si>
    <t>SYNTH-PROC-000048</t>
  </si>
  <si>
    <t>SYNTH-PROC-000049</t>
  </si>
  <si>
    <t>SYNTH-PROC-000050</t>
  </si>
  <si>
    <t>SYNTH-BATCH-EUR-2026-01-10-0000</t>
  </si>
  <si>
    <t>SYNTH-PROC-000051</t>
  </si>
  <si>
    <t>SYNTH-BATCH-GBP-2026-01-11-0000</t>
  </si>
  <si>
    <t>SYNTH-PROC-000052</t>
  </si>
  <si>
    <t>SYNTH-PROC-000053</t>
  </si>
  <si>
    <t>SYNTH-PROC-000054</t>
  </si>
  <si>
    <t>SYNTH-PROC-000055</t>
  </si>
  <si>
    <t>SYNTH-PROC-000056</t>
  </si>
  <si>
    <t>SYNTH-PROC-000057</t>
  </si>
  <si>
    <t>SYNTH-BATCH-DUPLICATE-000057</t>
  </si>
  <si>
    <t>SYNTH-PROC-000058</t>
  </si>
  <si>
    <t>SYNTH-PROC-000059</t>
  </si>
  <si>
    <t>SYNTH-PROC-000060</t>
  </si>
  <si>
    <t>SYNTH-BATCH-EUR-2026-01-06-0000</t>
  </si>
  <si>
    <t>SYNTH-PROC-000061</t>
  </si>
  <si>
    <t>SYNTH-BATCH-GBP-2026-01-07-0000</t>
  </si>
  <si>
    <t>SYNTH-PROC-000062</t>
  </si>
  <si>
    <t>SYNTH-PROC-000063</t>
  </si>
  <si>
    <t>SYNTH-PROC-000064</t>
  </si>
  <si>
    <t>SYNTH-PROC-000065</t>
  </si>
  <si>
    <t>SYNTH-PROC-000066</t>
  </si>
  <si>
    <t>SYNTH-PROC-000067</t>
  </si>
  <si>
    <t>SYNTH-PROC-000068</t>
  </si>
  <si>
    <t>SYNTH-PROC-000069</t>
  </si>
  <si>
    <t>SYNTH-PROC-000070</t>
  </si>
  <si>
    <t>SYNTH-BATCH-EUR-2026-01-16-0000</t>
  </si>
  <si>
    <t>SYNTH-PROC-000071</t>
  </si>
  <si>
    <t>SYNTH-PROC-000072</t>
  </si>
  <si>
    <t>SYNTH-BATCH-CURRENCY-000072</t>
  </si>
  <si>
    <t>SYNTH-PROC-000073</t>
  </si>
  <si>
    <t>SYNTH-PROC-000074</t>
  </si>
  <si>
    <t>SYNTH-PROC-000075</t>
  </si>
  <si>
    <t>SYNTH-PROC-000076</t>
  </si>
  <si>
    <t>SYNTH-PROC-000077</t>
  </si>
  <si>
    <t>SYNTH-PROC-000078</t>
  </si>
  <si>
    <t>SYNTH-PROC-000079</t>
  </si>
  <si>
    <t>SYNTH-PROC-000080</t>
  </si>
  <si>
    <t>SYNTH-PROC-000081</t>
  </si>
  <si>
    <t>SYNTH-PROC-000083</t>
  </si>
  <si>
    <t>SYNTH-PROC-000084</t>
  </si>
  <si>
    <t>SYNTH-PROC-000085</t>
  </si>
  <si>
    <t>SYNTH-PROC-000086</t>
  </si>
  <si>
    <t>SYNTH-PROC-000087</t>
  </si>
  <si>
    <t>SYNTH-PROC-000088</t>
  </si>
  <si>
    <t>SYNTH-PROC-000089</t>
  </si>
  <si>
    <t>SYNTH-PROC-000090</t>
  </si>
  <si>
    <t>SYNTH-PROC-000091</t>
  </si>
  <si>
    <t>SYNTH-PROC-000092</t>
  </si>
  <si>
    <t>SYNTH-PROC-000093</t>
  </si>
  <si>
    <t>SYNTH-BATCH-LATE-000093</t>
  </si>
  <si>
    <t>SYNTH-PROC-000095</t>
  </si>
  <si>
    <t>SYNTH-PROC-000096</t>
  </si>
  <si>
    <t>SYNTH-PROC-000097</t>
  </si>
  <si>
    <t>SYNTH-PROC-000098</t>
  </si>
  <si>
    <t>SYNTH-BATCH-LATE-000098</t>
  </si>
  <si>
    <t>SYNTH-PROC-000099</t>
  </si>
  <si>
    <t>SYNTH-PROC-000100</t>
  </si>
  <si>
    <t>SYNTH-BATCH-EUR-2026-01-04-0000</t>
  </si>
  <si>
    <t>SYNTH-PROC-000101</t>
  </si>
  <si>
    <t>SYNTH-BATCH-GBP-2026-01-05-0000</t>
  </si>
  <si>
    <t>SYNTH-PROC-000102</t>
  </si>
  <si>
    <t>SYNTH-PROC-000103</t>
  </si>
  <si>
    <t>SYNTH-PROC-000104</t>
  </si>
  <si>
    <t>SYNTH-PROC-000105</t>
  </si>
  <si>
    <t>SYNTH-PROC-000106</t>
  </si>
  <si>
    <t>SYNTH-PROC-000107</t>
  </si>
  <si>
    <t>SYNTH-PROC-000108</t>
  </si>
  <si>
    <t>SYNTH-PROC-000109</t>
  </si>
  <si>
    <t>SYNTH-PROC-000110</t>
  </si>
  <si>
    <t>SYNTH-BATCH-BANK-CURRENCY-000110</t>
  </si>
  <si>
    <t>SYNTH-PROC-000111</t>
  </si>
  <si>
    <t>SYNTH-BATCH-GBP-2026-01-15-0000</t>
  </si>
  <si>
    <t>SYNTH-PROC-000112</t>
  </si>
  <si>
    <t>SYNTH-PROC-000113</t>
  </si>
  <si>
    <t>SYNTH-PROC-000114</t>
  </si>
  <si>
    <t>SYNTH-PROC-000115</t>
  </si>
  <si>
    <t>SYNTH-PROC-000116</t>
  </si>
  <si>
    <t>SYNTH-PROC-000117</t>
  </si>
  <si>
    <t>SYNTH-PROC-000118</t>
  </si>
  <si>
    <t>SYNTH-PROC-000119</t>
  </si>
  <si>
    <t>SYNTH-PROC-000120</t>
  </si>
  <si>
    <t>SYNTH-PROC-000120-REFUND</t>
  </si>
  <si>
    <t>SYNTH-BATCH-REFUND-000120</t>
  </si>
  <si>
    <t>SYNTH-PROC-000121</t>
  </si>
  <si>
    <t>SYNTH-PROC-000122</t>
  </si>
  <si>
    <t>SYNTH-PROC-000123</t>
  </si>
  <si>
    <t>SYNTH-PROC-000124</t>
  </si>
  <si>
    <t>SYNTH-PROC-000125</t>
  </si>
  <si>
    <t>SYNTH-PROC-000126</t>
  </si>
  <si>
    <t>SYNTH-PROC-000127</t>
  </si>
  <si>
    <t>SYNTH-PROC-000128</t>
  </si>
  <si>
    <t>SYNTH-PROC-000129</t>
  </si>
  <si>
    <t>SYNTH-PROC-000130</t>
  </si>
  <si>
    <t>SYNTH-PROC-000131</t>
  </si>
  <si>
    <t>SYNTH-PROC-000132</t>
  </si>
  <si>
    <t>SYNTH-PROC-000133</t>
  </si>
  <si>
    <t>SYNTH-PROC-000134</t>
  </si>
  <si>
    <t>SYNTH-PROC-000135</t>
  </si>
  <si>
    <t>SYNTH-PROC-000135-REFUND</t>
  </si>
  <si>
    <t>SYNTH-BATCH-REFUND-000135</t>
  </si>
  <si>
    <t>SYNTH-PROC-000136</t>
  </si>
  <si>
    <t>SYNTH-PROC-000137</t>
  </si>
  <si>
    <t>SYNTH-PROC-000138</t>
  </si>
  <si>
    <t>SYNTH-PROC-000139</t>
  </si>
  <si>
    <t>SYNTH-PROC-000140</t>
  </si>
  <si>
    <t>SYNTH-PROC-000141</t>
  </si>
  <si>
    <t>SYNTH-PROC-000142</t>
  </si>
  <si>
    <t>SYNTH-PROC-000143</t>
  </si>
  <si>
    <t>SYNTH-PROC-000144</t>
  </si>
  <si>
    <t>SYNTH-PROC-000145</t>
  </si>
  <si>
    <t>SYNTH-PROC-000146</t>
  </si>
  <si>
    <t>SYNTH-PROC-000146-REFUND</t>
  </si>
  <si>
    <t>SYNTH-BATCH-REFUND-000146</t>
  </si>
  <si>
    <t>SYNTH-PROC-000147</t>
  </si>
  <si>
    <t>SYNTH-PROC-000148</t>
  </si>
  <si>
    <t>SYNTH-PROC-000149</t>
  </si>
  <si>
    <t>SYNTH-PROC-000150</t>
  </si>
  <si>
    <t>SYNTH-PROC-000151</t>
  </si>
  <si>
    <t>SYNTH-PROC-000152</t>
  </si>
  <si>
    <t>SYNTH-PROC-000153</t>
  </si>
  <si>
    <t>SYNTH-PROC-000154</t>
  </si>
  <si>
    <t>SYNTH-PROC-000155</t>
  </si>
  <si>
    <t>SYNTH-PROC-000156</t>
  </si>
  <si>
    <t>SYNTH-PROC-000158</t>
  </si>
  <si>
    <t>SYNTH-PROC-000159</t>
  </si>
  <si>
    <t>SYNTH-PROC-000160</t>
  </si>
  <si>
    <t>SYNTH-PROC-000161</t>
  </si>
  <si>
    <t>SYNTH-PROC-000162</t>
  </si>
  <si>
    <t>SYNTH-PROC-000163</t>
  </si>
  <si>
    <t>SYNTH-PROC-000164</t>
  </si>
  <si>
    <t>SYNTH-PROC-000165</t>
  </si>
  <si>
    <t>SYNTH-PROC-000166</t>
  </si>
  <si>
    <t>SYNTH-PROC-000167</t>
  </si>
  <si>
    <t>SYNTH-PROC-000167-ALTERNATE</t>
  </si>
  <si>
    <t>SYNTH-PROC-000168</t>
  </si>
  <si>
    <t>SYNTH-PROC-000169</t>
  </si>
  <si>
    <t>SYNTH-PROC-000170</t>
  </si>
  <si>
    <t>SYNTH-PROC-000170-REFUND</t>
  </si>
  <si>
    <t>SYNTH-BATCH-REFUND-000170</t>
  </si>
  <si>
    <t>SYNTH-PROC-000171</t>
  </si>
  <si>
    <t>SYNTH-PROC-000172</t>
  </si>
  <si>
    <t>SYNTH-PROC-000173</t>
  </si>
  <si>
    <t>SYNTH-PROC-000174</t>
  </si>
  <si>
    <t>SYNTH-PROC-000175</t>
  </si>
  <si>
    <t>SYNTH-PROC-000176</t>
  </si>
  <si>
    <t>SYNTH-PROC-000177</t>
  </si>
  <si>
    <t>SYNTH-PROC-000178</t>
  </si>
  <si>
    <t>SYNTH-PROC-000179</t>
  </si>
  <si>
    <t>SYNTH-PROC-000180</t>
  </si>
  <si>
    <t>SYNTH-PROC-000181</t>
  </si>
  <si>
    <t>SYNTH-PROC-000182</t>
  </si>
  <si>
    <t>SYNTH-PROC-000183</t>
  </si>
  <si>
    <t>SYNTH-BATCH-MISSING-000183</t>
  </si>
  <si>
    <t>SYNTH-PROC-000184</t>
  </si>
  <si>
    <t>SYNTH-PROC-000185</t>
  </si>
  <si>
    <t>SYNTH-PROC-000185-REFUND</t>
  </si>
  <si>
    <t>SYNTH-BATCH-REFUND-000185</t>
  </si>
  <si>
    <t>SYNTH-PROC-000186</t>
  </si>
  <si>
    <t>SYNTH-PROC-000187</t>
  </si>
  <si>
    <t>SYNTH-PROC-000188</t>
  </si>
  <si>
    <t>SYNTH-PROC-000189</t>
  </si>
  <si>
    <t>SYNTH-PROC-000190</t>
  </si>
  <si>
    <t>SYNTH-PROC-000190-REFUND</t>
  </si>
  <si>
    <t>SYNTH-BATCH-REFUND-000190</t>
  </si>
  <si>
    <t>SYNTH-PROC-000191</t>
  </si>
  <si>
    <t>SYNTH-PROC-000192</t>
  </si>
  <si>
    <t>SYNTH-PROC-000193</t>
  </si>
  <si>
    <t>SYNTH-BATCH-MISSING-000193</t>
  </si>
  <si>
    <t>SYNTH-PROC-000194</t>
  </si>
  <si>
    <t>SYNTH-PROC-000195</t>
  </si>
  <si>
    <t>SYNTH-PROC-000196</t>
  </si>
  <si>
    <t>SYNTH-PROC-000197</t>
  </si>
  <si>
    <t>SYNTH-PROC-000198</t>
  </si>
  <si>
    <t>SYNTH-PROC-000199</t>
  </si>
  <si>
    <t>SYNTH-PROC-000200</t>
  </si>
  <si>
    <t>SYNTH-BATCH-BANK-CURRENCY-000200</t>
  </si>
  <si>
    <t>SYNTH-PROC-000201</t>
  </si>
  <si>
    <t>SYNTH-PROC-000202</t>
  </si>
  <si>
    <t>SYNTH-BATCH-DUPLICATE-000202</t>
  </si>
  <si>
    <t>SYNTH-PROC-000203</t>
  </si>
  <si>
    <t>SYNTH-PROC-000204</t>
  </si>
  <si>
    <t>SYNTH-PROC-000205</t>
  </si>
  <si>
    <t>SYNTH-PROC-000205-REFUND</t>
  </si>
  <si>
    <t>SYNTH-BATCH-REFUND-000205</t>
  </si>
  <si>
    <t>SYNTH-PROC-000206</t>
  </si>
  <si>
    <t>SYNTH-PROC-000207</t>
  </si>
  <si>
    <t>SYNTH-PROC-000208</t>
  </si>
  <si>
    <t>SYNTH-PROC-000209</t>
  </si>
  <si>
    <t>SYNTH-PROC-000210</t>
  </si>
  <si>
    <t>SYNTH-PROC-000211</t>
  </si>
  <si>
    <t>SYNTH-PROC-000212</t>
  </si>
  <si>
    <t>SYNTH-PROC-000213</t>
  </si>
  <si>
    <t>SYNTH-PROC-000213-REFUND</t>
  </si>
  <si>
    <t>SYNTH-BATCH-REFUND-000213</t>
  </si>
  <si>
    <t>SYNTH-PROC-000214</t>
  </si>
  <si>
    <t>SYNTH-PROC-000215</t>
  </si>
  <si>
    <t>SYNTH-PROC-000216</t>
  </si>
  <si>
    <t>SYNTH-PROC-000217</t>
  </si>
  <si>
    <t>SYNTH-PROC-000218</t>
  </si>
  <si>
    <t>SYNTH-PROC-000219</t>
  </si>
  <si>
    <t>SYNTH-PROC-000220</t>
  </si>
  <si>
    <t>SYNTH-PROC-000221</t>
  </si>
  <si>
    <t>SYNTH-PROC-000222</t>
  </si>
  <si>
    <t>SYNTH-PROC-000223</t>
  </si>
  <si>
    <t>SYNTH-PROC-000224</t>
  </si>
  <si>
    <t>SYNTH-PROC-000224-REFUND</t>
  </si>
  <si>
    <t>SYNTH-BATCH-REFUND-000224</t>
  </si>
  <si>
    <t>SYNTH-PROC-000225</t>
  </si>
  <si>
    <t>SYNTH-PROC-000226</t>
  </si>
  <si>
    <t>SYNTH-PROC-000228</t>
  </si>
  <si>
    <t>SYNTH-PROC-000229</t>
  </si>
  <si>
    <t>SYNTH-PROC-000230</t>
  </si>
  <si>
    <t>SYNTH-PROC-000230-REFUND</t>
  </si>
  <si>
    <t>SYNTH-BATCH-REFUND-000230</t>
  </si>
  <si>
    <t>SYNTH-PROC-000231</t>
  </si>
  <si>
    <t>SYNTH-PROC-000232</t>
  </si>
  <si>
    <t>SYNTH-PROC-000233</t>
  </si>
  <si>
    <t>SYNTH-PROC-000234</t>
  </si>
  <si>
    <t>SYNTH-PROC-000235</t>
  </si>
  <si>
    <t>SYNTH-PROC-000236</t>
  </si>
  <si>
    <t>SYNTH-PROC-000237</t>
  </si>
  <si>
    <t>SYNTH-PROC-000238</t>
  </si>
  <si>
    <t>SYNTH-PROC-000239</t>
  </si>
  <si>
    <t>SYNTH-PROC-000240</t>
  </si>
  <si>
    <t>SYNTH-PROC-000241</t>
  </si>
  <si>
    <t>SYNTH-PROC-000242</t>
  </si>
  <si>
    <t>SYNTH-PROC-000243</t>
  </si>
  <si>
    <t>SYNTH-PROC-000244</t>
  </si>
  <si>
    <t>SYNTH-PROC-000245</t>
  </si>
  <si>
    <t>SYNTH-PROC-000246</t>
  </si>
  <si>
    <t>SYNTH-PROC-000247</t>
  </si>
  <si>
    <t>SYNTH-PROC-000248</t>
  </si>
  <si>
    <t>SYNTH-PROC-000249</t>
  </si>
  <si>
    <t>SYNTH-PROC-000250</t>
  </si>
  <si>
    <t>SYNTH-PROC-000251</t>
  </si>
  <si>
    <t>SYNTH-PROC-000252</t>
  </si>
  <si>
    <t>SYNTH-PROC-000253</t>
  </si>
  <si>
    <t>SYNTH-PROC-000254</t>
  </si>
  <si>
    <t>SYNTH-PROC-000255</t>
  </si>
  <si>
    <t>SYNTH-PROC-000256</t>
  </si>
  <si>
    <t>SYNTH-PROC-000257</t>
  </si>
  <si>
    <t>SYNTH-PROC-000258</t>
  </si>
  <si>
    <t>SYNTH-PROC-000259</t>
  </si>
  <si>
    <t>SYNTH-PROC-000260</t>
  </si>
  <si>
    <t>SYNTH-PROC-000261</t>
  </si>
  <si>
    <t>SYNTH-PROC-000261-REFUND</t>
  </si>
  <si>
    <t>SYNTH-BATCH-REFUND-000261</t>
  </si>
  <si>
    <t>SYNTH-PROC-000262</t>
  </si>
  <si>
    <t>SYNTH-PROC-000263</t>
  </si>
  <si>
    <t>SYNTH-PROC-000264</t>
  </si>
  <si>
    <t>SYNTH-PROC-000264-REFUND</t>
  </si>
  <si>
    <t>SYNTH-BATCH-REFUND-000264</t>
  </si>
  <si>
    <t>SYNTH-PROC-000265</t>
  </si>
  <si>
    <t>SYNTH-PROC-000266</t>
  </si>
  <si>
    <t>SYNTH-BATCH-AMOUNT-BREAK-000266</t>
  </si>
  <si>
    <t>SYNTH-PROC-000267</t>
  </si>
  <si>
    <t>SYNTH-PROC-000268</t>
  </si>
  <si>
    <t>SYNTH-PROC-000269</t>
  </si>
  <si>
    <t>SYNTH-PROC-000270</t>
  </si>
  <si>
    <t>SYNTH-PROC-000271</t>
  </si>
  <si>
    <t>SYNTH-PROC-000272</t>
  </si>
  <si>
    <t>SYNTH-PROC-000273</t>
  </si>
  <si>
    <t>SYNTH-PROC-000273-ALTERNATE</t>
  </si>
  <si>
    <t>SYNTH-PROC-000274</t>
  </si>
  <si>
    <t>SYNTH-PROC-000275</t>
  </si>
  <si>
    <t>SYNTH-PROC-000276</t>
  </si>
  <si>
    <t>SYNTH-PROC-000277</t>
  </si>
  <si>
    <t>SYNTH-PROC-000278</t>
  </si>
  <si>
    <t>SYNTH-PROC-000279</t>
  </si>
  <si>
    <t>SYNTH-PROC-000280</t>
  </si>
  <si>
    <t>SYNTH-BATCH-AMOUNT-BREAK-000280</t>
  </si>
  <si>
    <t>SYNTH-PROC-000281</t>
  </si>
  <si>
    <t>SYNTH-PROC-000282</t>
  </si>
  <si>
    <t>SYNTH-BATCH-BANK-CURRENCY-000282</t>
  </si>
  <si>
    <t>SYNTH-PROC-000283</t>
  </si>
  <si>
    <t>SYNTH-PROC-000284</t>
  </si>
  <si>
    <t>SYNTH-PROC-000285</t>
  </si>
  <si>
    <t>SYNTH-PROC-000285-ALTERNATE</t>
  </si>
  <si>
    <t>SYNTH-PROC-000286</t>
  </si>
  <si>
    <t>SYNTH-PROC-000287</t>
  </si>
  <si>
    <t>SYNTH-PROC-000288</t>
  </si>
  <si>
    <t>SYNTH-PROC-000289</t>
  </si>
  <si>
    <t>SYNTH-PROC-000290</t>
  </si>
  <si>
    <t>SYNTH-PROC-000291</t>
  </si>
  <si>
    <t>SYNTH-PROC-000292</t>
  </si>
  <si>
    <t>SYNTH-PROC-000293</t>
  </si>
  <si>
    <t>SYNTH-PROC-000294</t>
  </si>
  <si>
    <t>SYNTH-PROC-000295</t>
  </si>
  <si>
    <t>SYNTH-PROC-000295-REFUND</t>
  </si>
  <si>
    <t>SYNTH-BATCH-REFUND-000295</t>
  </si>
  <si>
    <t>SYNTH-PROC-000296</t>
  </si>
  <si>
    <t>SYNTH-PROC-000297</t>
  </si>
  <si>
    <t>SYNTH-PROC-000298</t>
  </si>
  <si>
    <t>SYNTH-PROC-000299</t>
  </si>
  <si>
    <t>SYNTH-PROC-000300</t>
  </si>
  <si>
    <t>SYNTH-PROC-000301</t>
  </si>
  <si>
    <t>SYNTH-PROC-000302</t>
  </si>
  <si>
    <t>SYNTH-PROC-000303</t>
  </si>
  <si>
    <t>SYNTH-PROC-000304</t>
  </si>
  <si>
    <t>SYNTH-BATCH-AMOUNT-BREAK-000304</t>
  </si>
  <si>
    <t>SYNTH-PROC-000305</t>
  </si>
  <si>
    <t>SYNTH-PROC-000306</t>
  </si>
  <si>
    <t>SYNTH-PROC-000307</t>
  </si>
  <si>
    <t>SYNTH-PROC-000308</t>
  </si>
  <si>
    <t>SYNTH-PROC-000309</t>
  </si>
  <si>
    <t>SYNTH-PROC-000310</t>
  </si>
  <si>
    <t>SYNTH-PROC-000311</t>
  </si>
  <si>
    <t>SYNTH-PROC-000312</t>
  </si>
  <si>
    <t>SYNTH-PROC-000313</t>
  </si>
  <si>
    <t>SYNTH-PROC-000314</t>
  </si>
  <si>
    <t>SYNTH-PROC-000315</t>
  </si>
  <si>
    <t>SYNTH-PROC-000316</t>
  </si>
  <si>
    <t>SYNTH-BATCH-MISSING-000316</t>
  </si>
  <si>
    <t>SYNTH-PROC-000317</t>
  </si>
  <si>
    <t>SYNTH-PROC-000318</t>
  </si>
  <si>
    <t>SYNTH-PROC-000319</t>
  </si>
  <si>
    <t>SYNTH-PROC-000320</t>
  </si>
  <si>
    <t>SYNTH-PROC-000321</t>
  </si>
  <si>
    <t>SYNTH-PROC-000322</t>
  </si>
  <si>
    <t>SYNTH-PROC-000323</t>
  </si>
  <si>
    <t>SYNTH-PROC-000324</t>
  </si>
  <si>
    <t>SYNTH-PROC-000325</t>
  </si>
  <si>
    <t>SYNTH-PROC-000326</t>
  </si>
  <si>
    <t>SYNTH-PROC-000327</t>
  </si>
  <si>
    <t>SYNTH-PROC-000328</t>
  </si>
  <si>
    <t>SYNTH-PROC-000329</t>
  </si>
  <si>
    <t>SYNTH-PROC-000330</t>
  </si>
  <si>
    <t>SYNTH-PROC-000331</t>
  </si>
  <si>
    <t>SYNTH-BATCH-DUPLICATE-000331</t>
  </si>
  <si>
    <t>SYNTH-PROC-000332</t>
  </si>
  <si>
    <t>SYNTH-PROC-000333</t>
  </si>
  <si>
    <t>SYNTH-PROC-000334</t>
  </si>
  <si>
    <t>SYNTH-PROC-000336</t>
  </si>
  <si>
    <t>SYNTH-PROC-000337</t>
  </si>
  <si>
    <t>SYNTH-PROC-000338</t>
  </si>
  <si>
    <t>SYNTH-PROC-000339</t>
  </si>
  <si>
    <t>SYNTH-PROC-000340</t>
  </si>
  <si>
    <t>SYNTH-PROC-000341</t>
  </si>
  <si>
    <t>SYNTH-BATCH-DUPLICATE-000341</t>
  </si>
  <si>
    <t>SYNTH-PROC-000342</t>
  </si>
  <si>
    <t>SYNTH-PROC-000343</t>
  </si>
  <si>
    <t>SYNTH-PROC-000344</t>
  </si>
  <si>
    <t>SYNTH-PROC-000345</t>
  </si>
  <si>
    <t>SYNTH-PROC-000346</t>
  </si>
  <si>
    <t>SYNTH-PROC-000347</t>
  </si>
  <si>
    <t>SYNTH-PROC-000348</t>
  </si>
  <si>
    <t>SYNTH-PROC-000349</t>
  </si>
  <si>
    <t>SYNTH-PROC-000350</t>
  </si>
  <si>
    <t>SYNTH-PROC-000350-REFUND</t>
  </si>
  <si>
    <t>SYNTH-BATCH-REFUND-000350</t>
  </si>
  <si>
    <t>SYNTH-PROC-000351</t>
  </si>
  <si>
    <t>SYNTH-BATCH-GBP-2026-01-03-0001</t>
  </si>
  <si>
    <t>SYNTH-PROC-000352</t>
  </si>
  <si>
    <t>SYNTH-BATCH-USD-2026-01-04-0001</t>
  </si>
  <si>
    <t>SYNTH-PROC-000353</t>
  </si>
  <si>
    <t>SYNTH-BATCH-USD-2026-01-05-0001</t>
  </si>
  <si>
    <t>SYNTH-PROC-000354</t>
  </si>
  <si>
    <t>SYNTH-BATCH-USD-2026-01-06-0001</t>
  </si>
  <si>
    <t>SYNTH-PROC-000355</t>
  </si>
  <si>
    <t>SYNTH-BATCH-USD-2026-01-07-0001</t>
  </si>
  <si>
    <t>SYNTH-PROC-000356</t>
  </si>
  <si>
    <t>SYNTH-BATCH-USD-2026-01-08-0001</t>
  </si>
  <si>
    <t>SYNTH-PROC-000357</t>
  </si>
  <si>
    <t>SYNTH-BATCH-USD-2026-01-09-0001</t>
  </si>
  <si>
    <t>SYNTH-PROC-000358</t>
  </si>
  <si>
    <t>SYNTH-BATCH-USD-2026-01-10-0001</t>
  </si>
  <si>
    <t>SYNTH-PROC-000359</t>
  </si>
  <si>
    <t>SYNTH-BATCH-USD-2026-01-11-0001</t>
  </si>
  <si>
    <t>SYNTH-PROC-000360</t>
  </si>
  <si>
    <t>SYNTH-BATCH-EUR-2026-01-12-0001</t>
  </si>
  <si>
    <t>SYNTH-PROC-000361</t>
  </si>
  <si>
    <t>SYNTH-BATCH-GBP-2026-01-13-0001</t>
  </si>
  <si>
    <t>SYNTH-PROC-000362</t>
  </si>
  <si>
    <t>SYNTH-BATCH-MISSING-000362</t>
  </si>
  <si>
    <t>SYNTH-PROC-000363</t>
  </si>
  <si>
    <t>SYNTH-BATCH-USD-2026-01-15-0001</t>
  </si>
  <si>
    <t>SYNTH-PROC-000364</t>
  </si>
  <si>
    <t>SYNTH-BATCH-USD-2026-01-16-0001</t>
  </si>
  <si>
    <t>SYNTH-PROC-000365</t>
  </si>
  <si>
    <t>SYNTH-BATCH-USD-2026-01-03-0001</t>
  </si>
  <si>
    <t>SYNTH-PROC-000366</t>
  </si>
  <si>
    <t>SYNTH-PROC-000367</t>
  </si>
  <si>
    <t>SYNTH-PROC-000367-REFUND</t>
  </si>
  <si>
    <t>SYNTH-BATCH-REFUND-000367</t>
  </si>
  <si>
    <t>SYNTH-PROC-000368</t>
  </si>
  <si>
    <t>SYNTH-PROC-000369</t>
  </si>
  <si>
    <t>SYNTH-PROC-000370</t>
  </si>
  <si>
    <t>SYNTH-BATCH-EUR-2026-01-08-0001</t>
  </si>
  <si>
    <t>SYNTH-PROC-000371</t>
  </si>
  <si>
    <t>SYNTH-BATCH-GBP-2026-01-09-0001</t>
  </si>
  <si>
    <t>SYNTH-PROC-000372</t>
  </si>
  <si>
    <t>SYNTH-PROC-000373</t>
  </si>
  <si>
    <t>SYNTH-PROC-000374</t>
  </si>
  <si>
    <t>SYNTH-BATCH-AMOUNT-BREAK-000374</t>
  </si>
  <si>
    <t>SYNTH-PROC-000375</t>
  </si>
  <si>
    <t>SYNTH-BATCH-USD-2026-01-13-0001</t>
  </si>
  <si>
    <t>SYNTH-PROC-000376</t>
  </si>
  <si>
    <t>SYNTH-BATCH-LATE-000376</t>
  </si>
  <si>
    <t>SYNTH-PROC-000377</t>
  </si>
  <si>
    <t>SYNTH-PROC-000378</t>
  </si>
  <si>
    <t>SYNTH-BATCH-CURRENCY-000378</t>
  </si>
  <si>
    <t>SYNTH-PROC-000379</t>
  </si>
  <si>
    <t>SYNTH-PROC-000380</t>
  </si>
  <si>
    <t>SYNTH-BATCH-EUR-2026-01-04-0001</t>
  </si>
  <si>
    <t>SYNTH-PROC-000381</t>
  </si>
  <si>
    <t>SYNTH-BATCH-GBP-2026-01-05-0001</t>
  </si>
  <si>
    <t>SYNTH-PROC-000382</t>
  </si>
  <si>
    <t>SYNTH-PROC-000382-REFUND</t>
  </si>
  <si>
    <t>SYNTH-BATCH-REFUND-000382</t>
  </si>
  <si>
    <t>SYNTH-PROC-000383</t>
  </si>
  <si>
    <t>SYNTH-PROC-000384</t>
  </si>
  <si>
    <t>SYNTH-PROC-000385</t>
  </si>
  <si>
    <t>SYNTH-PROC-000386</t>
  </si>
  <si>
    <t>SYNTH-PROC-000387</t>
  </si>
  <si>
    <t>SYNTH-PROC-000388</t>
  </si>
  <si>
    <t>SYNTH-BATCH-USD-2026-01-12-0001</t>
  </si>
  <si>
    <t>SYNTH-PROC-000389</t>
  </si>
  <si>
    <t>SYNTH-PROC-000390</t>
  </si>
  <si>
    <t>SYNTH-BATCH-EUR-2026-01-14-0001</t>
  </si>
  <si>
    <t>SYNTH-PROC-000391</t>
  </si>
  <si>
    <t>SYNTH-BATCH-GBP-2026-01-15-0001</t>
  </si>
  <si>
    <t>SYNTH-PROC-000392</t>
  </si>
  <si>
    <t>SYNTH-PROC-000393</t>
  </si>
  <si>
    <t>SYNTH-PROC-000394</t>
  </si>
  <si>
    <t>SYNTH-PROC-000395</t>
  </si>
  <si>
    <t>SYNTH-PROC-000396</t>
  </si>
  <si>
    <t>SYNTH-PROC-000397</t>
  </si>
  <si>
    <t>SYNTH-PROC-000398</t>
  </si>
  <si>
    <t>SYNTH-PROC-000399</t>
  </si>
  <si>
    <t>SYNTH-PROC-000400</t>
  </si>
  <si>
    <t>SYNTH-BATCH-EUR-2026-01-10-0001</t>
  </si>
  <si>
    <t>SYNTH-PROC-000400-REFUND</t>
  </si>
  <si>
    <t>SYNTH-BATCH-REFUND-000400</t>
  </si>
  <si>
    <t>SYNTH-PROC-000401</t>
  </si>
  <si>
    <t>SYNTH-BATCH-GBP-2026-01-11-0001</t>
  </si>
  <si>
    <t>SYNTH-PROC-000402</t>
  </si>
  <si>
    <t>SYNTH-PROC-000403</t>
  </si>
  <si>
    <t>SYNTH-PROC-000404</t>
  </si>
  <si>
    <t>SYNTH-BATCH-USD-2026-01-14-0001</t>
  </si>
  <si>
    <t>SYNTH-PROC-000405</t>
  </si>
  <si>
    <t>SYNTH-PROC-000406</t>
  </si>
  <si>
    <t>SYNTH-PROC-000407</t>
  </si>
  <si>
    <t>SYNTH-BATCH-BANK-CURRENCY-000407</t>
  </si>
  <si>
    <t>SYNTH-PROC-000408</t>
  </si>
  <si>
    <t>SYNTH-PROC-000409</t>
  </si>
  <si>
    <t>SYNTH-PROC-000410</t>
  </si>
  <si>
    <t>SYNTH-BATCH-EUR-2026-01-06-0001</t>
  </si>
  <si>
    <t>SYNTH-PROC-000411</t>
  </si>
  <si>
    <t>SYNTH-BATCH-GBP-2026-01-07-0001</t>
  </si>
  <si>
    <t>SYNTH-PROC-000412</t>
  </si>
  <si>
    <t>SYNTH-PROC-000413</t>
  </si>
  <si>
    <t>SYNTH-PROC-000414</t>
  </si>
  <si>
    <t>SYNTH-PROC-000414-ALTERNATE</t>
  </si>
  <si>
    <t>SYNTH-PROC-000415</t>
  </si>
  <si>
    <t>SYNTH-BATCH-CURRENCY-000415</t>
  </si>
  <si>
    <t>SYNTH-PROC-000416</t>
  </si>
  <si>
    <t>SYNTH-BATCH-CURRENCY-000416</t>
  </si>
  <si>
    <t>SYNTH-PROC-000417</t>
  </si>
  <si>
    <t>SYNTH-PROC-000418</t>
  </si>
  <si>
    <t>SYNTH-PROC-000419</t>
  </si>
  <si>
    <t>SYNTH-PROC-000420</t>
  </si>
  <si>
    <t>SYNTH-BATCH-EUR-2026-01-16-0001</t>
  </si>
  <si>
    <t>SYNTH-PROC-000421</t>
  </si>
  <si>
    <t>SYNTH-PROC-000422</t>
  </si>
  <si>
    <t>SYNTH-PROC-000423</t>
  </si>
  <si>
    <t>SYNTH-PROC-000424</t>
  </si>
  <si>
    <t>SYNTH-PROC-000425</t>
  </si>
  <si>
    <t>SYNTH-BATCH-LATE-000425</t>
  </si>
  <si>
    <t>SYNTH-PROC-000426</t>
  </si>
  <si>
    <t>SYNTH-BATCH-CURRENCY-000426</t>
  </si>
  <si>
    <t>SYNTH-PROC-000427</t>
  </si>
  <si>
    <t>SYNTH-PROC-000428</t>
  </si>
  <si>
    <t>SYNTH-PROC-000429</t>
  </si>
  <si>
    <t>SYNTH-PROC-000430</t>
  </si>
  <si>
    <t>SYNTH-PROC-000431</t>
  </si>
  <si>
    <t>SYNTH-PROC-000431-REFUND</t>
  </si>
  <si>
    <t>SYNTH-BATCH-REFUND-000431</t>
  </si>
  <si>
    <t>SYNTH-PROC-000432</t>
  </si>
  <si>
    <t>SYNTH-PROC-000433</t>
  </si>
  <si>
    <t>SYNTH-PROC-000434</t>
  </si>
  <si>
    <t>SYNTH-PROC-000435</t>
  </si>
  <si>
    <t>SYNTH-PROC-000436</t>
  </si>
  <si>
    <t>SYNTH-PROC-000437</t>
  </si>
  <si>
    <t>SYNTH-PROC-000438</t>
  </si>
  <si>
    <t>SYNTH-PROC-000439</t>
  </si>
  <si>
    <t>SYNTH-PROC-000439-REFUND</t>
  </si>
  <si>
    <t>SYNTH-BATCH-REFUND-000439</t>
  </si>
  <si>
    <t>SYNTH-PROC-000440</t>
  </si>
  <si>
    <t>SYNTH-PROC-000441</t>
  </si>
  <si>
    <t>SYNTH-PROC-000442</t>
  </si>
  <si>
    <t>SYNTH-PROC-000443</t>
  </si>
  <si>
    <t>SYNTH-PROC-000444</t>
  </si>
  <si>
    <t>SYNTH-PROC-000445</t>
  </si>
  <si>
    <t>SYNTH-PROC-000445-REFUND</t>
  </si>
  <si>
    <t>SYNTH-BATCH-REFUND-000445</t>
  </si>
  <si>
    <t>SYNTH-PROC-000446</t>
  </si>
  <si>
    <t>SYNTH-PROC-000447</t>
  </si>
  <si>
    <t>SYNTH-PROC-000448</t>
  </si>
  <si>
    <t>SYNTH-PROC-000449</t>
  </si>
  <si>
    <t>SYNTH-BATCH-AMOUNT-BREAK-000449</t>
  </si>
  <si>
    <t>SYNTH-PROC-000450</t>
  </si>
  <si>
    <t>SYNTH-PROC-000451</t>
  </si>
  <si>
    <t>SYNTH-PROC-000452</t>
  </si>
  <si>
    <t>SYNTH-PROC-000453</t>
  </si>
  <si>
    <t>SYNTH-PROC-000454</t>
  </si>
  <si>
    <t>SYNTH-PROC-000456</t>
  </si>
  <si>
    <t>SYNTH-PROC-000457</t>
  </si>
  <si>
    <t>SYNTH-PROC-000458</t>
  </si>
  <si>
    <t>SYNTH-PROC-000459</t>
  </si>
  <si>
    <t>SYNTH-PROC-000460</t>
  </si>
  <si>
    <t>SYNTH-PROC-000461</t>
  </si>
  <si>
    <t>SYNTH-PROC-000462</t>
  </si>
  <si>
    <t>SYNTH-PROC-000463</t>
  </si>
  <si>
    <t>SYNTH-PROC-000464</t>
  </si>
  <si>
    <t>SYNTH-PROC-000466</t>
  </si>
  <si>
    <t>SYNTH-PROC-000467</t>
  </si>
  <si>
    <t>SYNTH-PROC-000469</t>
  </si>
  <si>
    <t>SYNTH-PROC-000469-REFUND</t>
  </si>
  <si>
    <t>SYNTH-BATCH-REFUND-000469</t>
  </si>
  <si>
    <t>SYNTH-PROC-000470</t>
  </si>
  <si>
    <t>SYNTH-PROC-000471</t>
  </si>
  <si>
    <t>SYNTH-PROC-000472</t>
  </si>
  <si>
    <t>SYNTH-BATCH-BANK-CURRENCY-000472</t>
  </si>
  <si>
    <t>SYNTH-PROC-000473</t>
  </si>
  <si>
    <t>SYNTH-PROC-000474</t>
  </si>
  <si>
    <t>SYNTH-PROC-000475</t>
  </si>
  <si>
    <t>SYNTH-PROC-000476</t>
  </si>
  <si>
    <t>SYNTH-PROC-000476-REFUND</t>
  </si>
  <si>
    <t>SYNTH-BATCH-REFUND-000476</t>
  </si>
  <si>
    <t>SYNTH-PROC-000477</t>
  </si>
  <si>
    <t>SYNTH-PROC-000478</t>
  </si>
  <si>
    <t>SYNTH-PROC-000479</t>
  </si>
  <si>
    <t>SYNTH-PROC-000480</t>
  </si>
  <si>
    <t>SYNTH-PROC-000481</t>
  </si>
  <si>
    <t>SYNTH-PROC-000482</t>
  </si>
  <si>
    <t>SYNTH-PROC-000483</t>
  </si>
  <si>
    <t>SYNTH-PROC-000484</t>
  </si>
  <si>
    <t>SYNTH-PROC-000485</t>
  </si>
  <si>
    <t>SYNTH-BATCH-LATE-000485</t>
  </si>
  <si>
    <t>SYNTH-PROC-000486</t>
  </si>
  <si>
    <t>SYNTH-PROC-000487</t>
  </si>
  <si>
    <t>SYNTH-PROC-000487-REFUND</t>
  </si>
  <si>
    <t>SYNTH-BATCH-REFUND-000487</t>
  </si>
  <si>
    <t>SYNTH-PROC-000488</t>
  </si>
  <si>
    <t>SYNTH-PROC-000489</t>
  </si>
  <si>
    <t>SYNTH-PROC-000491</t>
  </si>
  <si>
    <t>SYNTH-BATCH-MISSING-000491</t>
  </si>
  <si>
    <t>SYNTH-PROC-000492</t>
  </si>
  <si>
    <t>SYNTH-PROC-000493</t>
  </si>
  <si>
    <t>SYNTH-PROC-000494</t>
  </si>
  <si>
    <t>SYNTH-PROC-000495</t>
  </si>
  <si>
    <t>SYNTH-PROC-000496</t>
  </si>
  <si>
    <t>SYNTH-PROC-000497</t>
  </si>
  <si>
    <t>SYNTH-PROC-000498</t>
  </si>
  <si>
    <t>SYNTH-PROC-000499</t>
  </si>
  <si>
    <t>SYNTH-PROC-000500</t>
  </si>
  <si>
    <t>SYNTH-PROC-000501</t>
  </si>
  <si>
    <t>SYNTH-PROC-000502</t>
  </si>
  <si>
    <t>SYNTH-PROC-000503</t>
  </si>
  <si>
    <t>SYNTH-PROC-000504</t>
  </si>
  <si>
    <t>SYNTH-PROC-000505</t>
  </si>
  <si>
    <t>SYNTH-PROC-000506</t>
  </si>
  <si>
    <t>SYNTH-PROC-000507</t>
  </si>
  <si>
    <t>SYNTH-PROC-000508</t>
  </si>
  <si>
    <t>SYNTH-BATCH-AMOUNT-BREAK-000508</t>
  </si>
  <si>
    <t>SYNTH-PROC-000509</t>
  </si>
  <si>
    <t>SYNTH-PROC-000510</t>
  </si>
  <si>
    <t>SYNTH-PROC-000511</t>
  </si>
  <si>
    <t>SYNTH-PROC-000512</t>
  </si>
  <si>
    <t>SYNTH-PROC-000513</t>
  </si>
  <si>
    <t>SYNTH-PROC-000514</t>
  </si>
  <si>
    <t>SYNTH-PROC-000515</t>
  </si>
  <si>
    <t>SYNTH-PROC-000516</t>
  </si>
  <si>
    <t>SYNTH-BATCH-BANK-CURRENCY-000516</t>
  </si>
  <si>
    <t>SYNTH-PROC-000517</t>
  </si>
  <si>
    <t>SYNTH-PROC-000518</t>
  </si>
  <si>
    <t>SYNTH-PROC-000518-REFUND</t>
  </si>
  <si>
    <t>SYNTH-BATCH-REFUND-000518</t>
  </si>
  <si>
    <t>SYNTH-PROC-000519</t>
  </si>
  <si>
    <t>SYNTH-PROC-000520</t>
  </si>
  <si>
    <t>SYNTH-PROC-000521</t>
  </si>
  <si>
    <t>SYNTH-PROC-000522</t>
  </si>
  <si>
    <t>SYNTH-PROC-000523</t>
  </si>
  <si>
    <t>SYNTH-PROC-000524</t>
  </si>
  <si>
    <t>SYNTH-PROC-000525</t>
  </si>
  <si>
    <t>SYNTH-PROC-000526</t>
  </si>
  <si>
    <t>SYNTH-PROC-000528</t>
  </si>
  <si>
    <t>SYNTH-PROC-000529</t>
  </si>
  <si>
    <t>SYNTH-PROC-000530</t>
  </si>
  <si>
    <t>SYNTH-PROC-000531</t>
  </si>
  <si>
    <t>SYNTH-PROC-000532</t>
  </si>
  <si>
    <t>SYNTH-PROC-000533</t>
  </si>
  <si>
    <t>SYNTH-PROC-000534</t>
  </si>
  <si>
    <t>SYNTH-PROC-000535</t>
  </si>
  <si>
    <t>SYNTH-PROC-000536</t>
  </si>
  <si>
    <t>SYNTH-PROC-000537</t>
  </si>
  <si>
    <t>SYNTH-PROC-000538</t>
  </si>
  <si>
    <t>SYNTH-PROC-000539</t>
  </si>
  <si>
    <t>SYNTH-PROC-000540</t>
  </si>
  <si>
    <t>SYNTH-PROC-000541</t>
  </si>
  <si>
    <t>SYNTH-PROC-000542</t>
  </si>
  <si>
    <t>SYNTH-PROC-000543</t>
  </si>
  <si>
    <t>SYNTH-PROC-000544</t>
  </si>
  <si>
    <t>SYNTH-PROC-000545</t>
  </si>
  <si>
    <t>SYNTH-BATCH-BANK-CURRENCY-000545</t>
  </si>
  <si>
    <t>SYNTH-PROC-000546</t>
  </si>
  <si>
    <t>SYNTH-PROC-000547</t>
  </si>
  <si>
    <t>SYNTH-BATCH-BANK-CURRENCY-000547</t>
  </si>
  <si>
    <t>SYNTH-PROC-000548</t>
  </si>
  <si>
    <t>SYNTH-PROC-000549</t>
  </si>
  <si>
    <t>SYNTH-PROC-000550</t>
  </si>
  <si>
    <t>SYNTH-PROC-000551</t>
  </si>
  <si>
    <t>SYNTH-PROC-000552</t>
  </si>
  <si>
    <t>SYNTH-PROC-000553</t>
  </si>
  <si>
    <t>SYNTH-PROC-000554</t>
  </si>
  <si>
    <t>SYNTH-BATCH-DUPLICATE-000554</t>
  </si>
  <si>
    <t>SYNTH-PROC-000555</t>
  </si>
  <si>
    <t>SYNTH-PROC-000556</t>
  </si>
  <si>
    <t>SYNTH-PROC-000557</t>
  </si>
  <si>
    <t>SYNTH-PROC-000558</t>
  </si>
  <si>
    <t>SYNTH-PROC-000559</t>
  </si>
  <si>
    <t>SYNTH-BATCH-BANK-CURRENCY-000559</t>
  </si>
  <si>
    <t>SYNTH-PROC-000560</t>
  </si>
  <si>
    <t>SYNTH-PROC-000561</t>
  </si>
  <si>
    <t>SYNTH-PROC-000562</t>
  </si>
  <si>
    <t>SYNTH-PROC-000564</t>
  </si>
  <si>
    <t>SYNTH-PROC-000565</t>
  </si>
  <si>
    <t>SYNTH-PROC-000566</t>
  </si>
  <si>
    <t>SYNTH-BATCH-MISSING-000566</t>
  </si>
  <si>
    <t>SYNTH-PROC-000567</t>
  </si>
  <si>
    <t>SYNTH-PROC-000568</t>
  </si>
  <si>
    <t>SYNTH-PROC-000569</t>
  </si>
  <si>
    <t>SYNTH-PROC-000570</t>
  </si>
  <si>
    <t>SYNTH-PROC-000571</t>
  </si>
  <si>
    <t>SYNTH-PROC-000572</t>
  </si>
  <si>
    <t>SYNTH-PROC-000573</t>
  </si>
  <si>
    <t>SYNTH-PROC-000574</t>
  </si>
  <si>
    <t>SYNTH-PROC-000575</t>
  </si>
  <si>
    <t>SYNTH-PROC-000576</t>
  </si>
  <si>
    <t>SYNTH-PROC-000577</t>
  </si>
  <si>
    <t>SYNTH-PROC-000578</t>
  </si>
  <si>
    <t>SYNTH-PROC-000579</t>
  </si>
  <si>
    <t>SYNTH-PROC-000580</t>
  </si>
  <si>
    <t>SYNTH-PROC-000581</t>
  </si>
  <si>
    <t>SYNTH-BATCH-LATE-000581</t>
  </si>
  <si>
    <t>SYNTH-PROC-000582</t>
  </si>
  <si>
    <t>SYNTH-PROC-000583</t>
  </si>
  <si>
    <t>SYNTH-PROC-000584</t>
  </si>
  <si>
    <t>SYNTH-PROC-000585</t>
  </si>
  <si>
    <t>SYNTH-PROC-000586</t>
  </si>
  <si>
    <t>SYNTH-BATCH-MISSING-000586</t>
  </si>
  <si>
    <t>SYNTH-PROC-000587</t>
  </si>
  <si>
    <t>SYNTH-PROC-000588</t>
  </si>
  <si>
    <t>SYNTH-PROC-000589</t>
  </si>
  <si>
    <t>SYNTH-PROC-000590</t>
  </si>
  <si>
    <t>SYNTH-PROC-000591</t>
  </si>
  <si>
    <t>SYNTH-PROC-000592</t>
  </si>
  <si>
    <t>SYNTH-PROC-000593</t>
  </si>
  <si>
    <t>SYNTH-PROC-000594</t>
  </si>
  <si>
    <t>SYNTH-PROC-000595</t>
  </si>
  <si>
    <t>SYNTH-PROC-000596</t>
  </si>
  <si>
    <t>SYNTH-PROC-000597</t>
  </si>
  <si>
    <t>SYNTH-PROC-000598</t>
  </si>
  <si>
    <t>SYNTH-PROC-000599</t>
  </si>
  <si>
    <t>SYNTH-PROC-000600</t>
  </si>
  <si>
    <t>SYNTH-PROC-000601</t>
  </si>
  <si>
    <t>SYNTH-PROC-000602</t>
  </si>
  <si>
    <t>SYNTH-PROC-000603</t>
  </si>
  <si>
    <t>SYNTH-PROC-000604</t>
  </si>
  <si>
    <t>SYNTH-PROC-000605</t>
  </si>
  <si>
    <t>SYNTH-PROC-000606</t>
  </si>
  <si>
    <t>SYNTH-PROC-000607</t>
  </si>
  <si>
    <t>SYNTH-PROC-000608</t>
  </si>
  <si>
    <t>SYNTH-PROC-000608-REFUND</t>
  </si>
  <si>
    <t>SYNTH-BATCH-REFUND-000608</t>
  </si>
  <si>
    <t>SYNTH-PROC-000609</t>
  </si>
  <si>
    <t>SYNTH-PROC-000610</t>
  </si>
  <si>
    <t>SYNTH-PROC-000611</t>
  </si>
  <si>
    <t>SYNTH-PROC-000612</t>
  </si>
  <si>
    <t>SYNTH-PROC-000613</t>
  </si>
  <si>
    <t>SYNTH-PROC-000614</t>
  </si>
  <si>
    <t>SYNTH-PROC-000615</t>
  </si>
  <si>
    <t>SYNTH-PROC-000616</t>
  </si>
  <si>
    <t>SYNTH-PROC-000617</t>
  </si>
  <si>
    <t>SYNTH-PROC-000618</t>
  </si>
  <si>
    <t>SYNTH-PROC-000619</t>
  </si>
  <si>
    <t>SYNTH-PROC-000620</t>
  </si>
  <si>
    <t>SYNTH-PROC-000621</t>
  </si>
  <si>
    <t>SYNTH-PROC-000622</t>
  </si>
  <si>
    <t>SYNTH-PROC-000623</t>
  </si>
  <si>
    <t>SYNTH-PROC-000624</t>
  </si>
  <si>
    <t>SYNTH-PROC-000625</t>
  </si>
  <si>
    <t>SYNTH-PROC-000626</t>
  </si>
  <si>
    <t>SYNTH-PROC-000627</t>
  </si>
  <si>
    <t>SYNTH-PROC-000628</t>
  </si>
  <si>
    <t>SYNTH-PROC-000629</t>
  </si>
  <si>
    <t>SYNTH-PROC-000630</t>
  </si>
  <si>
    <t>SYNTH-PROC-000631</t>
  </si>
  <si>
    <t>SYNTH-PROC-000632</t>
  </si>
  <si>
    <t>SYNTH-PROC-000633</t>
  </si>
  <si>
    <t>SYNTH-PROC-000634</t>
  </si>
  <si>
    <t>SYNTH-PROC-000635</t>
  </si>
  <si>
    <t>SYNTH-PROC-000636</t>
  </si>
  <si>
    <t>SYNTH-PROC-000637</t>
  </si>
  <si>
    <t>SYNTH-PROC-000638</t>
  </si>
  <si>
    <t>SYNTH-PROC-000639</t>
  </si>
  <si>
    <t>SYNTH-PROC-000640</t>
  </si>
  <si>
    <t>SYNTH-PROC-000641</t>
  </si>
  <si>
    <t>SYNTH-PROC-000642</t>
  </si>
  <si>
    <t>SYNTH-PROC-000643</t>
  </si>
  <si>
    <t>SYNTH-PROC-000644</t>
  </si>
  <si>
    <t>SYNTH-PROC-000645</t>
  </si>
  <si>
    <t>SYNTH-PROC-000646</t>
  </si>
  <si>
    <t>SYNTH-PROC-000647</t>
  </si>
  <si>
    <t>SYNTH-PROC-000648</t>
  </si>
  <si>
    <t>SYNTH-PROC-000649</t>
  </si>
  <si>
    <t>SYNTH-PROC-000650</t>
  </si>
  <si>
    <t>SYNTH-PROC-000651</t>
  </si>
  <si>
    <t>SYNTH-PROC-000652</t>
  </si>
  <si>
    <t>SYNTH-PROC-000653</t>
  </si>
  <si>
    <t>SYNTH-PROC-000654</t>
  </si>
  <si>
    <t>SYNTH-PROC-000655</t>
  </si>
  <si>
    <t>SYNTH-PROC-000656</t>
  </si>
  <si>
    <t>SYNTH-BATCH-AMOUNT-BREAK-000656</t>
  </si>
  <si>
    <t>SYNTH-PROC-000657</t>
  </si>
  <si>
    <t>SYNTH-PROC-000658</t>
  </si>
  <si>
    <t>SYNTH-PROC-000659</t>
  </si>
  <si>
    <t>SYNTH-PROC-000660</t>
  </si>
  <si>
    <t>SYNTH-PROC-000661</t>
  </si>
  <si>
    <t>SYNTH-PROC-000662</t>
  </si>
  <si>
    <t>SYNTH-PROC-000663</t>
  </si>
  <si>
    <t>SYNTH-PROC-000664</t>
  </si>
  <si>
    <t>SYNTH-PROC-000665</t>
  </si>
  <si>
    <t>SYNTH-PROC-000666</t>
  </si>
  <si>
    <t>SYNTH-PROC-000666-ALTERNATE</t>
  </si>
  <si>
    <t>SYNTH-PROC-000667</t>
  </si>
  <si>
    <t>SYNTH-BATCH-MISSING-000667</t>
  </si>
  <si>
    <t>SYNTH-PROC-000668</t>
  </si>
  <si>
    <t>SYNTH-PROC-000669</t>
  </si>
  <si>
    <t>SYNTH-PROC-000670</t>
  </si>
  <si>
    <t>SYNTH-PROC-000671</t>
  </si>
  <si>
    <t>SYNTH-PROC-000672</t>
  </si>
  <si>
    <t>SYNTH-PROC-000673</t>
  </si>
  <si>
    <t>SYNTH-PROC-000674</t>
  </si>
  <si>
    <t>SYNTH-PROC-000675</t>
  </si>
  <si>
    <t>SYNTH-PROC-000677</t>
  </si>
  <si>
    <t>SYNTH-PROC-000678</t>
  </si>
  <si>
    <t>SYNTH-PROC-000679</t>
  </si>
  <si>
    <t>SYNTH-BATCH-LATE-000679</t>
  </si>
  <si>
    <t>SYNTH-PROC-000680</t>
  </si>
  <si>
    <t>SYNTH-PROC-000681</t>
  </si>
  <si>
    <t>SYNTH-PROC-000682</t>
  </si>
  <si>
    <t>SYNTH-PROC-000683</t>
  </si>
  <si>
    <t>SYNTH-PROC-000684</t>
  </si>
  <si>
    <t>SYNTH-PROC-000685</t>
  </si>
  <si>
    <t>SYNTH-PROC-000686</t>
  </si>
  <si>
    <t>SYNTH-PROC-000687</t>
  </si>
  <si>
    <t>SYNTH-PROC-000688</t>
  </si>
  <si>
    <t>SYNTH-PROC-000689</t>
  </si>
  <si>
    <t>SYNTH-PROC-000689-REFUND</t>
  </si>
  <si>
    <t>SYNTH-BATCH-REFUND-000689</t>
  </si>
  <si>
    <t>SYNTH-PROC-000690</t>
  </si>
  <si>
    <t>SYNTH-PROC-000691</t>
  </si>
  <si>
    <t>SYNTH-PROC-000692</t>
  </si>
  <si>
    <t>SYNTH-PROC-000693</t>
  </si>
  <si>
    <t>SYNTH-PROC-000694</t>
  </si>
  <si>
    <t>SYNTH-PROC-000695</t>
  </si>
  <si>
    <t>SYNTH-PROC-000696</t>
  </si>
  <si>
    <t>SYNTH-PROC-000697</t>
  </si>
  <si>
    <t>SYNTH-PROC-000698</t>
  </si>
  <si>
    <t>SYNTH-PROC-000699</t>
  </si>
  <si>
    <t>SYNTH-PROC-000700</t>
  </si>
  <si>
    <t>SYNTH-PROC-000701</t>
  </si>
  <si>
    <t>SYNTH-BATCH-GBP-2026-01-03-0002</t>
  </si>
  <si>
    <t>SYNTH-PROC-000702</t>
  </si>
  <si>
    <t>SYNTH-BATCH-USD-2026-01-04-0002</t>
  </si>
  <si>
    <t>SYNTH-PROC-000702-REFUND</t>
  </si>
  <si>
    <t>SYNTH-BATCH-REFUND-000702</t>
  </si>
  <si>
    <t>SYNTH-PROC-000703</t>
  </si>
  <si>
    <t>SYNTH-BATCH-USD-2026-01-05-0002</t>
  </si>
  <si>
    <t>SYNTH-PROC-000704</t>
  </si>
  <si>
    <t>SYNTH-BATCH-USD-2026-01-06-0002</t>
  </si>
  <si>
    <t>SYNTH-PROC-000705</t>
  </si>
  <si>
    <t>SYNTH-BATCH-CURRENCY-000705</t>
  </si>
  <si>
    <t>SYNTH-PROC-000706</t>
  </si>
  <si>
    <t>SYNTH-BATCH-USD-2026-01-08-0002</t>
  </si>
  <si>
    <t>SYNTH-PROC-000707</t>
  </si>
  <si>
    <t>SYNTH-BATCH-USD-2026-01-09-0002</t>
  </si>
  <si>
    <t>SYNTH-PROC-000708</t>
  </si>
  <si>
    <t>SYNTH-BATCH-USD-2026-01-10-0002</t>
  </si>
  <si>
    <t>SYNTH-PROC-000709</t>
  </si>
  <si>
    <t>SYNTH-BATCH-LATE-000709</t>
  </si>
  <si>
    <t>SYNTH-PROC-000710</t>
  </si>
  <si>
    <t>SYNTH-BATCH-EUR-2026-01-12-0002</t>
  </si>
  <si>
    <t>SYNTH-PROC-000711</t>
  </si>
  <si>
    <t>SYNTH-BATCH-GBP-2026-01-13-0002</t>
  </si>
  <si>
    <t>SYNTH-PROC-000712</t>
  </si>
  <si>
    <t>SYNTH-BATCH-USD-2026-01-14-0002</t>
  </si>
  <si>
    <t>SYNTH-PROC-000713</t>
  </si>
  <si>
    <t>SYNTH-BATCH-USD-2026-01-15-0002</t>
  </si>
  <si>
    <t>SYNTH-PROC-000714</t>
  </si>
  <si>
    <t>SYNTH-BATCH-USD-2026-01-16-0002</t>
  </si>
  <si>
    <t>SYNTH-PROC-000715</t>
  </si>
  <si>
    <t>SYNTH-BATCH-USD-2026-01-03-0002</t>
  </si>
  <si>
    <t>SYNTH-PROC-000716</t>
  </si>
  <si>
    <t>SYNTH-PROC-000717</t>
  </si>
  <si>
    <t>SYNTH-PROC-000718</t>
  </si>
  <si>
    <t>SYNTH-PROC-000719</t>
  </si>
  <si>
    <t>SYNTH-BATCH-USD-2026-01-07-0002</t>
  </si>
  <si>
    <t>SYNTH-PROC-000720</t>
  </si>
  <si>
    <t>SYNTH-BATCH-EUR-2026-01-08-0002</t>
  </si>
  <si>
    <t>SYNTH-PROC-000721</t>
  </si>
  <si>
    <t>SYNTH-BATCH-GBP-2026-01-09-0002</t>
  </si>
  <si>
    <t>SYNTH-PROC-000722</t>
  </si>
  <si>
    <t>SYNTH-PROC-000723</t>
  </si>
  <si>
    <t>SYNTH-BATCH-USD-2026-01-11-0002</t>
  </si>
  <si>
    <t>SYNTH-PROC-000724</t>
  </si>
  <si>
    <t>SYNTH-BATCH-USD-2026-01-12-0002</t>
  </si>
  <si>
    <t>SYNTH-PROC-000725</t>
  </si>
  <si>
    <t>SYNTH-BATCH-USD-2026-01-13-0002</t>
  </si>
  <si>
    <t>SYNTH-PROC-000726</t>
  </si>
  <si>
    <t>SYNTH-PROC-000727</t>
  </si>
  <si>
    <t>SYNTH-PROC-000728</t>
  </si>
  <si>
    <t>SYNTH-PROC-000729</t>
  </si>
  <si>
    <t>SYNTH-BATCH-LATE-000729</t>
  </si>
  <si>
    <t>SYNTH-PROC-000730</t>
  </si>
  <si>
    <t>SYNTH-BATCH-EUR-2026-01-04-0002</t>
  </si>
  <si>
    <t>SYNTH-PROC-000731</t>
  </si>
  <si>
    <t>SYNTH-BATCH-GBP-2026-01-05-0002</t>
  </si>
  <si>
    <t>SYNTH-PROC-000732</t>
  </si>
  <si>
    <t>SYNTH-PROC-000733</t>
  </si>
  <si>
    <t>SYNTH-PROC-000734</t>
  </si>
  <si>
    <t>SYNTH-PROC-000735</t>
  </si>
  <si>
    <t>SYNTH-PROC-000736</t>
  </si>
  <si>
    <t>SYNTH-PROC-000737</t>
  </si>
  <si>
    <t>SYNTH-PROC-000738</t>
  </si>
  <si>
    <t>SYNTH-PROC-000739</t>
  </si>
  <si>
    <t>SYNTH-BATCH-LATE-000739</t>
  </si>
  <si>
    <t>SYNTH-PROC-000740</t>
  </si>
  <si>
    <t>SYNTH-BATCH-EUR-2026-01-14-0002</t>
  </si>
  <si>
    <t>SYNTH-PROC-000741</t>
  </si>
  <si>
    <t>SYNTH-BATCH-AMOUNT-BREAK-000741</t>
  </si>
  <si>
    <t>SYNTH-PROC-000742</t>
  </si>
  <si>
    <t>SYNTH-PROC-000743</t>
  </si>
  <si>
    <t>SYNTH-PROC-000744</t>
  </si>
  <si>
    <t>SYNTH-PROC-000745</t>
  </si>
  <si>
    <t>SYNTH-PROC-000746</t>
  </si>
  <si>
    <t>SYNTH-PROC-000746-REFUND</t>
  </si>
  <si>
    <t>SYNTH-BATCH-REFUND-000746</t>
  </si>
  <si>
    <t>SYNTH-PROC-000747</t>
  </si>
  <si>
    <t>SYNTH-PROC-000748</t>
  </si>
  <si>
    <t>SYNTH-PROC-000749</t>
  </si>
  <si>
    <t>SYNTH-PROC-000750</t>
  </si>
  <si>
    <t>SYNTH-BATCH-EUR-2026-01-10-0002</t>
  </si>
  <si>
    <t>SYNTH-PROC-000751</t>
  </si>
  <si>
    <t>SYNTH-BATCH-GBP-2026-01-11-0002</t>
  </si>
  <si>
    <t>SYNTH-PROC-000751-REFUND</t>
  </si>
  <si>
    <t>SYNTH-BATCH-REFUND-000751</t>
  </si>
  <si>
    <t>SYNTH-PROC-000752</t>
  </si>
  <si>
    <t>SYNTH-BATCH-LATE-000752</t>
  </si>
  <si>
    <t>SYNTH-PROC-000753</t>
  </si>
  <si>
    <t>SYNTH-PROC-000754</t>
  </si>
  <si>
    <t>SYNTH-PROC-000755</t>
  </si>
  <si>
    <t>SYNTH-PROC-000756</t>
  </si>
  <si>
    <t>SYNTH-PROC-000757</t>
  </si>
  <si>
    <t>SYNTH-PROC-000758</t>
  </si>
  <si>
    <t>SYNTH-BATCH-LATE-000758</t>
  </si>
  <si>
    <t>SYNTH-PROC-000759</t>
  </si>
  <si>
    <t>SYNTH-PROC-000760</t>
  </si>
  <si>
    <t>SYNTH-BATCH-EUR-2026-01-06-0002</t>
  </si>
  <si>
    <t>SYNTH-PROC-000761</t>
  </si>
  <si>
    <t>SYNTH-BATCH-GBP-2026-01-07-0002</t>
  </si>
  <si>
    <t>SYNTH-PROC-000762</t>
  </si>
  <si>
    <t>SYNTH-PROC-000763</t>
  </si>
  <si>
    <t>SYNTH-PROC-000764</t>
  </si>
  <si>
    <t>SYNTH-BATCH-LATE-000764</t>
  </si>
  <si>
    <t>SYNTH-PROC-000765</t>
  </si>
  <si>
    <t>SYNTH-BATCH-CURRENCY-000765</t>
  </si>
  <si>
    <t>SYNTH-PROC-000766</t>
  </si>
  <si>
    <t>SYNTH-PROC-000767</t>
  </si>
  <si>
    <t>SYNTH-PROC-000768</t>
  </si>
  <si>
    <t>SYNTH-PROC-000769</t>
  </si>
  <si>
    <t>SYNTH-PROC-000770</t>
  </si>
  <si>
    <t>SYNTH-BATCH-EUR-2026-01-16-0002</t>
  </si>
  <si>
    <t>SYNTH-PROC-000771</t>
  </si>
  <si>
    <t>SYNTH-PROC-000772</t>
  </si>
  <si>
    <t>SYNTH-PROC-000773</t>
  </si>
  <si>
    <t>SYNTH-PROC-000774</t>
  </si>
  <si>
    <t>SYNTH-PROC-000775</t>
  </si>
  <si>
    <t>SYNTH-PROC-000776</t>
  </si>
  <si>
    <t>SYNTH-PROC-000777</t>
  </si>
  <si>
    <t>SYNTH-PROC-000778</t>
  </si>
  <si>
    <t>SYNTH-PROC-000779</t>
  </si>
  <si>
    <t>SYNTH-PROC-000780</t>
  </si>
  <si>
    <t>SYNTH-PROC-000781</t>
  </si>
  <si>
    <t>SYNTH-PROC-000782</t>
  </si>
  <si>
    <t>SYNTH-PROC-000783</t>
  </si>
  <si>
    <t>SYNTH-PROC-000784</t>
  </si>
  <si>
    <t>SYNTH-PROC-000785</t>
  </si>
  <si>
    <t>SYNTH-PROC-000786</t>
  </si>
  <si>
    <t>SYNTH-PROC-000787</t>
  </si>
  <si>
    <t>SYNTH-PROC-000788</t>
  </si>
  <si>
    <t>SYNTH-PROC-000789</t>
  </si>
  <si>
    <t>SYNTH-PROC-000790</t>
  </si>
  <si>
    <t>SYNTH-PROC-000791</t>
  </si>
  <si>
    <t>SYNTH-PROC-000792</t>
  </si>
  <si>
    <t>SYNTH-PROC-000793</t>
  </si>
  <si>
    <t>SYNTH-BATCH-BANK-CURRENCY-000793</t>
  </si>
  <si>
    <t>SYNTH-PROC-000794</t>
  </si>
  <si>
    <t>SYNTH-PROC-000795</t>
  </si>
  <si>
    <t>SYNTH-PROC-000795-REFUND</t>
  </si>
  <si>
    <t>SYNTH-BATCH-REFUND-000795</t>
  </si>
  <si>
    <t>SYNTH-PROC-000796</t>
  </si>
  <si>
    <t>SYNTH-PROC-000797</t>
  </si>
  <si>
    <t>SYNTH-PROC-000799</t>
  </si>
  <si>
    <t>SYNTH-PROC-000800</t>
  </si>
  <si>
    <t>SYNTH-PROC-000800-ALTERNATE</t>
  </si>
  <si>
    <t>SYNTH-PROC-000801</t>
  </si>
  <si>
    <t>SYNTH-PROC-000802</t>
  </si>
  <si>
    <t>SYNTH-PROC-000803</t>
  </si>
  <si>
    <t>SYNTH-PROC-000804</t>
  </si>
  <si>
    <t>SYNTH-PROC-000805</t>
  </si>
  <si>
    <t>SYNTH-BATCH-LATE-000805</t>
  </si>
  <si>
    <t>SYNTH-PROC-000806</t>
  </si>
  <si>
    <t>SYNTH-PROC-000807</t>
  </si>
  <si>
    <t>SYNTH-PROC-000807-ALTERNATE</t>
  </si>
  <si>
    <t>SYNTH-PROC-000808</t>
  </si>
  <si>
    <t>SYNTH-PROC-000809</t>
  </si>
  <si>
    <t>SYNTH-PROC-000810</t>
  </si>
  <si>
    <t>SYNTH-PROC-000811</t>
  </si>
  <si>
    <t>SYNTH-BATCH-LATE-000811</t>
  </si>
  <si>
    <t>SYNTH-PROC-000812</t>
  </si>
  <si>
    <t>SYNTH-PROC-000813</t>
  </si>
  <si>
    <t>SYNTH-PROC-000814</t>
  </si>
  <si>
    <t>SYNTH-PROC-000815</t>
  </si>
  <si>
    <t>SYNTH-PROC-000816</t>
  </si>
  <si>
    <t>SYNTH-PROC-000817</t>
  </si>
  <si>
    <t>SYNTH-PROC-000818</t>
  </si>
  <si>
    <t>SYNTH-PROC-000819</t>
  </si>
  <si>
    <t>SYNTH-PROC-000820</t>
  </si>
  <si>
    <t>SYNTH-PROC-000821</t>
  </si>
  <si>
    <t>SYNTH-PROC-000822</t>
  </si>
  <si>
    <t>SYNTH-PROC-000823</t>
  </si>
  <si>
    <t>SYNTH-PROC-000824</t>
  </si>
  <si>
    <t>SYNTH-PROC-000825</t>
  </si>
  <si>
    <t>SYNTH-PROC-000826</t>
  </si>
  <si>
    <t>SYNTH-PROC-000826-ALTERNATE</t>
  </si>
  <si>
    <t>SYNTH-PROC-000827</t>
  </si>
  <si>
    <t>SYNTH-PROC-000828</t>
  </si>
  <si>
    <t>SYNTH-PROC-000829</t>
  </si>
  <si>
    <t>SYNTH-PROC-000830</t>
  </si>
  <si>
    <t>SYNTH-PROC-000831</t>
  </si>
  <si>
    <t>SYNTH-PROC-000831-ALTERNATE</t>
  </si>
  <si>
    <t>SYNTH-PROC-000832</t>
  </si>
  <si>
    <t>SYNTH-PROC-000833</t>
  </si>
  <si>
    <t>SYNTH-PROC-000834</t>
  </si>
  <si>
    <t>SYNTH-PROC-000835</t>
  </si>
  <si>
    <t>SYNTH-PROC-000836</t>
  </si>
  <si>
    <t>SYNTH-PROC-000837</t>
  </si>
  <si>
    <t>SYNTH-PROC-000838</t>
  </si>
  <si>
    <t>SYNTH-BATCH-MISSING-000838</t>
  </si>
  <si>
    <t>SYNTH-PROC-000839</t>
  </si>
  <si>
    <t>SYNTH-PROC-000840</t>
  </si>
  <si>
    <t>SYNTH-PROC-000841</t>
  </si>
  <si>
    <t>SYNTH-PROC-000842</t>
  </si>
  <si>
    <t>SYNTH-PROC-000843</t>
  </si>
  <si>
    <t>SYNTH-PROC-000845</t>
  </si>
  <si>
    <t>SYNTH-PROC-000846</t>
  </si>
  <si>
    <t>SYNTH-PROC-000847</t>
  </si>
  <si>
    <t>SYNTH-PROC-000848</t>
  </si>
  <si>
    <t>SYNTH-PROC-000849</t>
  </si>
  <si>
    <t>SYNTH-BATCH-DUPLICATE-000849</t>
  </si>
  <si>
    <t>SYNTH-PROC-000850</t>
  </si>
  <si>
    <t>SYNTH-PROC-000851</t>
  </si>
  <si>
    <t>SYNTH-PROC-000851-REFUND</t>
  </si>
  <si>
    <t>SYNTH-BATCH-REFUND-000851</t>
  </si>
  <si>
    <t>SYNTH-PROC-000852</t>
  </si>
  <si>
    <t>SYNTH-PROC-000853</t>
  </si>
  <si>
    <t>SYNTH-PROC-000854</t>
  </si>
  <si>
    <t>SYNTH-PROC-000855</t>
  </si>
  <si>
    <t>SYNTH-PROC-000856</t>
  </si>
  <si>
    <t>SYNTH-PROC-000857</t>
  </si>
  <si>
    <t>SYNTH-PROC-000858</t>
  </si>
  <si>
    <t>SYNTH-PROC-000859</t>
  </si>
  <si>
    <t>SYNTH-PROC-000860</t>
  </si>
  <si>
    <t>SYNTH-PROC-000861</t>
  </si>
  <si>
    <t>SYNTH-PROC-000862</t>
  </si>
  <si>
    <t>SYNTH-PROC-000863</t>
  </si>
  <si>
    <t>SYNTH-PROC-000863-ALTERNATE</t>
  </si>
  <si>
    <t>SYNTH-PROC-000864</t>
  </si>
  <si>
    <t>SYNTH-PROC-000865</t>
  </si>
  <si>
    <t>SYNTH-PROC-000866</t>
  </si>
  <si>
    <t>SYNTH-PROC-000867</t>
  </si>
  <si>
    <t>SYNTH-PROC-000868</t>
  </si>
  <si>
    <t>SYNTH-PROC-000869</t>
  </si>
  <si>
    <t>SYNTH-PROC-000870</t>
  </si>
  <si>
    <t>SYNTH-PROC-000871</t>
  </si>
  <si>
    <t>SYNTH-PROC-000871-REFUND</t>
  </si>
  <si>
    <t>SYNTH-BATCH-REFUND-000871</t>
  </si>
  <si>
    <t>SYNTH-PROC-000872</t>
  </si>
  <si>
    <t>SYNTH-PROC-000873</t>
  </si>
  <si>
    <t>SYNTH-PROC-000874</t>
  </si>
  <si>
    <t>SYNTH-PROC-000875</t>
  </si>
  <si>
    <t>SYNTH-BATCH-DUPLICATE-000875</t>
  </si>
  <si>
    <t>SYNTH-PROC-000876</t>
  </si>
  <si>
    <t>SYNTH-PROC-000877</t>
  </si>
  <si>
    <t>SYNTH-PROC-000878</t>
  </si>
  <si>
    <t>SYNTH-PROC-000879</t>
  </si>
  <si>
    <t>SYNTH-PROC-000880</t>
  </si>
  <si>
    <t>SYNTH-PROC-000881</t>
  </si>
  <si>
    <t>SYNTH-BATCH-GBP-2026-01-15-0002</t>
  </si>
  <si>
    <t>SYNTH-PROC-000881-REFUND</t>
  </si>
  <si>
    <t>SYNTH-BATCH-REFUND-000881</t>
  </si>
  <si>
    <t>SYNTH-PROC-000883</t>
  </si>
  <si>
    <t>SYNTH-PROC-000884</t>
  </si>
  <si>
    <t>SYNTH-PROC-000885</t>
  </si>
  <si>
    <t>SYNTH-PROC-000886</t>
  </si>
  <si>
    <t>SYNTH-BATCH-AMOUNT-BREAK-000886</t>
  </si>
  <si>
    <t>SYNTH-PROC-000888</t>
  </si>
  <si>
    <t>SYNTH-PROC-000889</t>
  </si>
  <si>
    <t>SYNTH-PROC-000890</t>
  </si>
  <si>
    <t>SYNTH-PROC-000891</t>
  </si>
  <si>
    <t>SYNTH-PROC-000892</t>
  </si>
  <si>
    <t>SYNTH-PROC-000893</t>
  </si>
  <si>
    <t>SYNTH-BATCH-MISSING-000893</t>
  </si>
  <si>
    <t>SYNTH-PROC-000894</t>
  </si>
  <si>
    <t>SYNTH-PROC-000895</t>
  </si>
  <si>
    <t>SYNTH-PROC-000896</t>
  </si>
  <si>
    <t>SYNTH-PROC-000897</t>
  </si>
  <si>
    <t>SYNTH-PROC-000898</t>
  </si>
  <si>
    <t>SYNTH-PROC-000898-REFUND</t>
  </si>
  <si>
    <t>SYNTH-BATCH-REFUND-000898</t>
  </si>
  <si>
    <t>SYNTH-PROC-000899</t>
  </si>
  <si>
    <t>SYNTH-PROC-000900</t>
  </si>
  <si>
    <t>SYNTH-PROC-000901</t>
  </si>
  <si>
    <t>SYNTH-PROC-000902</t>
  </si>
  <si>
    <t>SYNTH-PROC-000903</t>
  </si>
  <si>
    <t>SYNTH-PROC-000904</t>
  </si>
  <si>
    <t>SYNTH-PROC-000905</t>
  </si>
  <si>
    <t>SYNTH-PROC-000906</t>
  </si>
  <si>
    <t>SYNTH-PROC-000907</t>
  </si>
  <si>
    <t>SYNTH-PROC-000908</t>
  </si>
  <si>
    <t>SYNTH-PROC-000909</t>
  </si>
  <si>
    <t>SYNTH-PROC-000910</t>
  </si>
  <si>
    <t>SYNTH-PROC-000911</t>
  </si>
  <si>
    <t>SYNTH-PROC-000912</t>
  </si>
  <si>
    <t>SYNTH-PROC-000912-REFUND</t>
  </si>
  <si>
    <t>SYNTH-BATCH-REFUND-000912</t>
  </si>
  <si>
    <t>SYNTH-PROC-000913</t>
  </si>
  <si>
    <t>SYNTH-PROC-000914</t>
  </si>
  <si>
    <t>SYNTH-PROC-000915</t>
  </si>
  <si>
    <t>SYNTH-PROC-000916</t>
  </si>
  <si>
    <t>SYNTH-PROC-000917</t>
  </si>
  <si>
    <t>SYNTH-PROC-000918</t>
  </si>
  <si>
    <t>SYNTH-PROC-000919</t>
  </si>
  <si>
    <t>SYNTH-PROC-000920</t>
  </si>
  <si>
    <t>SYNTH-BATCH-LATE-000920</t>
  </si>
  <si>
    <t>SYNTH-PROC-000921</t>
  </si>
  <si>
    <t>SYNTH-PROC-000922</t>
  </si>
  <si>
    <t>SYNTH-PROC-000923</t>
  </si>
  <si>
    <t>SYNTH-PROC-000924</t>
  </si>
  <si>
    <t>SYNTH-PROC-000925</t>
  </si>
  <si>
    <t>SYNTH-PROC-000926</t>
  </si>
  <si>
    <t>SYNTH-BATCH-DUPLICATE-000926</t>
  </si>
  <si>
    <t>SYNTH-PROC-000927</t>
  </si>
  <si>
    <t>SYNTH-PROC-000928</t>
  </si>
  <si>
    <t>SYNTH-PROC-000929</t>
  </si>
  <si>
    <t>SYNTH-PROC-000929-REFUND</t>
  </si>
  <si>
    <t>SYNTH-BATCH-REFUND-000929</t>
  </si>
  <si>
    <t>SYNTH-PROC-000930</t>
  </si>
  <si>
    <t>SYNTH-PROC-000931</t>
  </si>
  <si>
    <t>SYNTH-PROC-000932</t>
  </si>
  <si>
    <t>SYNTH-PROC-000933</t>
  </si>
  <si>
    <t>SYNTH-PROC-000934</t>
  </si>
  <si>
    <t>SYNTH-PROC-000935</t>
  </si>
  <si>
    <t>SYNTH-PROC-000936</t>
  </si>
  <si>
    <t>SYNTH-PROC-000937</t>
  </si>
  <si>
    <t>SYNTH-PROC-000938</t>
  </si>
  <si>
    <t>SYNTH-PROC-000939</t>
  </si>
  <si>
    <t>SYNTH-PROC-000940</t>
  </si>
  <si>
    <t>SYNTH-PROC-000941</t>
  </si>
  <si>
    <t>SYNTH-PROC-000942</t>
  </si>
  <si>
    <t>SYNTH-PROC-000943</t>
  </si>
  <si>
    <t>SYNTH-PROC-000944</t>
  </si>
  <si>
    <t>SYNTH-PROC-000945</t>
  </si>
  <si>
    <t>SYNTH-PROC-000946</t>
  </si>
  <si>
    <t>SYNTH-PROC-000947</t>
  </si>
  <si>
    <t>SYNTH-PROC-000948</t>
  </si>
  <si>
    <t>SYNTH-PROC-000949</t>
  </si>
  <si>
    <t>SYNTH-PROC-000950</t>
  </si>
  <si>
    <t>SYNTH-PROC-000951</t>
  </si>
  <si>
    <t>SYNTH-PROC-000952</t>
  </si>
  <si>
    <t>SYNTH-PROC-000953</t>
  </si>
  <si>
    <t>SYNTH-PROC-000954</t>
  </si>
  <si>
    <t>SYNTH-PROC-000955</t>
  </si>
  <si>
    <t>SYNTH-PROC-000956</t>
  </si>
  <si>
    <t>SYNTH-PROC-000957</t>
  </si>
  <si>
    <t>SYNTH-PROC-000958</t>
  </si>
  <si>
    <t>SYNTH-PROC-000959</t>
  </si>
  <si>
    <t>SYNTH-PROC-000960</t>
  </si>
  <si>
    <t>SYNTH-PROC-000961</t>
  </si>
  <si>
    <t>SYNTH-PROC-000962</t>
  </si>
  <si>
    <t>SYNTH-PROC-000963</t>
  </si>
  <si>
    <t>SYNTH-BATCH-AMOUNT-BREAK-000963</t>
  </si>
  <si>
    <t>SYNTH-PROC-000964</t>
  </si>
  <si>
    <t>SYNTH-PROC-000965</t>
  </si>
  <si>
    <t>SYNTH-PROC-000966</t>
  </si>
  <si>
    <t>SYNTH-BATCH-LATE-000966</t>
  </si>
  <si>
    <t>SYNTH-PROC-000967</t>
  </si>
  <si>
    <t>SYNTH-PROC-000968</t>
  </si>
  <si>
    <t>SYNTH-PROC-000969</t>
  </si>
  <si>
    <t>SYNTH-PROC-000970</t>
  </si>
  <si>
    <t>SYNTH-PROC-000971</t>
  </si>
  <si>
    <t>SYNTH-PROC-000972</t>
  </si>
  <si>
    <t>SYNTH-PROC-000973</t>
  </si>
  <si>
    <t>SYNTH-PROC-000974</t>
  </si>
  <si>
    <t>SYNTH-PROC-000975</t>
  </si>
  <si>
    <t>SYNTH-PROC-000976</t>
  </si>
  <si>
    <t>SYNTH-PROC-000977</t>
  </si>
  <si>
    <t>SYNTH-PROC-000978</t>
  </si>
  <si>
    <t>SYNTH-PROC-000979</t>
  </si>
  <si>
    <t>SYNTH-PROC-000982</t>
  </si>
  <si>
    <t>SYNTH-PROC-000983</t>
  </si>
  <si>
    <t>SYNTH-PROC-000984</t>
  </si>
  <si>
    <t>SYNTH-PROC-000985</t>
  </si>
  <si>
    <t>SYNTH-PROC-000986</t>
  </si>
  <si>
    <t>SYNTH-BATCH-LATE-000986</t>
  </si>
  <si>
    <t>SYNTH-PROC-000987</t>
  </si>
  <si>
    <t>SYNTH-PROC-000988</t>
  </si>
  <si>
    <t>SYNTH-PROC-000989</t>
  </si>
  <si>
    <t>SYNTH-PROC-000989-REFUND</t>
  </si>
  <si>
    <t>SYNTH-BATCH-REFUND-000989</t>
  </si>
  <si>
    <t>SYNTH-PROC-000990</t>
  </si>
  <si>
    <t>SYNTH-PROC-000991</t>
  </si>
  <si>
    <t>SYNTH-BATCH-DUPLICATE-000991</t>
  </si>
  <si>
    <t>SYNTH-PROC-000992</t>
  </si>
  <si>
    <t>SYNTH-PROC-000993</t>
  </si>
  <si>
    <t>SYNTH-PROC-000994</t>
  </si>
  <si>
    <t>SYNTH-PROC-000995</t>
  </si>
  <si>
    <t>SYNTH-PROC-000995-REFUND</t>
  </si>
  <si>
    <t>SYNTH-BATCH-REFUND-000995</t>
  </si>
  <si>
    <t>SYNTH-PROC-000997</t>
  </si>
  <si>
    <t>SYNTH-PROC-000998</t>
  </si>
  <si>
    <t>SYNTH-PROC-000999</t>
  </si>
  <si>
    <t>SYNTH-PROC-001000</t>
  </si>
  <si>
    <t>SYNTH-PROC-ONLY-000001</t>
  </si>
  <si>
    <t>SYNTH-ORDER-PROC-ONLY-000001</t>
  </si>
  <si>
    <t>SYNTH-BATCH-PROC-ONLY-000001</t>
  </si>
  <si>
    <t>SYNTH-PROC-ONLY-000002</t>
  </si>
  <si>
    <t>SYNTH-ORDER-PROC-ONLY-000002</t>
  </si>
  <si>
    <t>SYNTH-BATCH-PROC-ONLY-000002</t>
  </si>
  <si>
    <t>SYNTH-PROC-ONLY-000003</t>
  </si>
  <si>
    <t>SYNTH-ORDER-PROC-ONLY-000003</t>
  </si>
  <si>
    <t>SYNTH-BATCH-PROC-ONLY-000003</t>
  </si>
  <si>
    <t>SYNTH-PROC-ONLY-000004</t>
  </si>
  <si>
    <t>SYNTH-ORDER-PROC-ONLY-000004</t>
  </si>
  <si>
    <t>SYNTH-BATCH-PROC-ONLY-000004</t>
  </si>
  <si>
    <t>SYNTH-PROC-ONLY-000005</t>
  </si>
  <si>
    <t>SYNTH-ORDER-PROC-ONLY-000005</t>
  </si>
  <si>
    <t>SYNTH-BATCH-PROC-ONLY-000005</t>
  </si>
  <si>
    <t>SYNTH-PROC-ONLY-000006</t>
  </si>
  <si>
    <t>SYNTH-ORDER-PROC-ONLY-000006</t>
  </si>
  <si>
    <t>SYNTH-BATCH-PROC-ONLY-000006</t>
  </si>
  <si>
    <t>SYNTH-PROC-ONLY-000007</t>
  </si>
  <si>
    <t>SYNTH-ORDER-PROC-ONLY-000007</t>
  </si>
  <si>
    <t>SYNTH-BATCH-PROC-ONLY-000007</t>
  </si>
  <si>
    <t>SYNTH-PROC-ONLY-000008</t>
  </si>
  <si>
    <t>SYNTH-ORDER-PROC-ONLY-000008</t>
  </si>
  <si>
    <t>SYNTH-BATCH-PROC-ONLY-000008</t>
  </si>
  <si>
    <t>SYNTH-PROC-ONLY-000009</t>
  </si>
  <si>
    <t>SYNTH-ORDER-PROC-ONLY-000009</t>
  </si>
  <si>
    <t>SYNTH-BATCH-PROC-ONLY-000009</t>
  </si>
  <si>
    <t>SYNTH-PROC-ONLY-000010</t>
  </si>
  <si>
    <t>SYNTH-ORDER-PROC-ONLY-000010</t>
  </si>
  <si>
    <t>SYNTH-BATCH-PROC-ONLY-000010</t>
  </si>
  <si>
    <t>SYNTH-PROC-ONLY-000011</t>
  </si>
  <si>
    <t>SYNTH-ORDER-PROC-ONLY-000011</t>
  </si>
  <si>
    <t>SYNTH-BATCH-PROC-ONLY-000011</t>
  </si>
  <si>
    <t>SYNTH-PROC-ONLY-000012</t>
  </si>
  <si>
    <t>SYNTH-ORDER-PROC-ONLY-000012</t>
  </si>
  <si>
    <t>SYNTH-BATCH-PROC-ONLY-000012</t>
  </si>
  <si>
    <t>SYNTH-PROC-ONLY-000013</t>
  </si>
  <si>
    <t>SYNTH-ORDER-PROC-ONLY-000013</t>
  </si>
  <si>
    <t>SYNTH-BATCH-PROC-ONLY-000013</t>
  </si>
  <si>
    <t>SYNTH-PROC-ONLY-000014</t>
  </si>
  <si>
    <t>SYNTH-ORDER-PROC-ONLY-000014</t>
  </si>
  <si>
    <t>SYNTH-BATCH-PROC-ONLY-000014</t>
  </si>
  <si>
    <t>SYNTH-PROC-ONLY-000015</t>
  </si>
  <si>
    <t>SYNTH-ORDER-PROC-ONLY-000015</t>
  </si>
  <si>
    <t>SYNTH-BATCH-PROC-ONLY-000015</t>
  </si>
  <si>
    <t>SYNTH-PROC-ONLY-000016</t>
  </si>
  <si>
    <t>SYNTH-ORDER-PROC-ONLY-000016</t>
  </si>
  <si>
    <t>SYNTH-BATCH-PROC-ONLY-000016</t>
  </si>
  <si>
    <t>SYNTH-PROC-ONLY-000017</t>
  </si>
  <si>
    <t>SYNTH-ORDER-PROC-ONLY-000017</t>
  </si>
  <si>
    <t>SYNTH-BATCH-PROC-ONLY-000017</t>
  </si>
  <si>
    <t>SYNTH-PROC-ONLY-000018</t>
  </si>
  <si>
    <t>SYNTH-ORDER-PROC-ONLY-000018</t>
  </si>
  <si>
    <t>SYNTH-BATCH-PROC-ONLY-000018</t>
  </si>
  <si>
    <t>SYNTH-PROC-ONLY-000019</t>
  </si>
  <si>
    <t>SYNTH-ORDER-PROC-ONLY-000019</t>
  </si>
  <si>
    <t>SYNTH-BATCH-PROC-ONLY-000019</t>
  </si>
  <si>
    <t>SYNTH-PROC-ONLY-000020</t>
  </si>
  <si>
    <t>SYNTH-ORDER-PROC-ONLY-000020</t>
  </si>
  <si>
    <t>SYNTH-BATCH-PROC-ONLY-000020</t>
  </si>
  <si>
    <t>SYNTH-PROC-MALFORMED-ROWS-000001</t>
  </si>
  <si>
    <t>SYNTH-ORDER-MALFORMED-ROWS-000001</t>
  </si>
  <si>
    <t>SYNTH-BATCH-MALFORMED-ROWS-000001</t>
  </si>
  <si>
    <t>SYNTH-PROC-MALFORMED-ROWS-000002</t>
  </si>
  <si>
    <t>SYNTH-ORDER-MALFORMED-ROWS-000002</t>
  </si>
  <si>
    <t>SYNTH-BATCH-MALFORMED-ROWS-000002</t>
  </si>
  <si>
    <t>SYNTH-PROC-MALFORMED-ROWS-000003</t>
  </si>
  <si>
    <t>SYNTH-ORDER-MALFORMED-ROWS-000003</t>
  </si>
  <si>
    <t>SYNTH-BATCH-MALFORMED-ROWS-000003</t>
  </si>
  <si>
    <t>SYNTH-PROC-MALFORMED-ROWS-000004</t>
  </si>
  <si>
    <t>SYNTH-ORDER-MALFORMED-ROWS-000004</t>
  </si>
  <si>
    <t>SYNTH-BATCH-MALFORMED-ROWS-000004</t>
  </si>
  <si>
    <t>SYNTH-PROC-MALFORMED-ROWS-000005</t>
  </si>
  <si>
    <t>SYNTH-ORDER-MALFORMED-ROWS-000005</t>
  </si>
  <si>
    <t>SYNTH-BATCH-MALFORMED-ROWS-000005</t>
  </si>
  <si>
    <t>bank_entry_id</t>
  </si>
  <si>
    <t>booked_at</t>
  </si>
  <si>
    <t>credited_amount</t>
  </si>
  <si>
    <t>bank_reference</t>
  </si>
  <si>
    <t>description</t>
  </si>
  <si>
    <t>SYNTH-BANK-000001</t>
  </si>
  <si>
    <t>SYNTH-BANK-REF-000001</t>
  </si>
  <si>
    <t>Synthetic settlement for SYNTH-BATCH-AMOUNT-BREAK-000266</t>
  </si>
  <si>
    <t>SYNTH-BANK-000002</t>
  </si>
  <si>
    <t>SYNTH-BANK-REF-000002</t>
  </si>
  <si>
    <t>Synthetic settlement for SYNTH-BATCH-AMOUNT-BREAK-000280</t>
  </si>
  <si>
    <t>SYNTH-BANK-000003</t>
  </si>
  <si>
    <t>SYNTH-BANK-REF-000003</t>
  </si>
  <si>
    <t>Synthetic settlement for SYNTH-BATCH-AMOUNT-BREAK-000304</t>
  </si>
  <si>
    <t>SYNTH-BANK-000004</t>
  </si>
  <si>
    <t>SYNTH-BANK-REF-000004</t>
  </si>
  <si>
    <t>Synthetic settlement for SYNTH-BATCH-AMOUNT-BREAK-000374</t>
  </si>
  <si>
    <t>SYNTH-BANK-000005</t>
  </si>
  <si>
    <t>SYNTH-BANK-REF-000005</t>
  </si>
  <si>
    <t>Synthetic settlement for SYNTH-BATCH-AMOUNT-BREAK-000449</t>
  </si>
  <si>
    <t>SYNTH-BANK-000006</t>
  </si>
  <si>
    <t>SYNTH-BANK-REF-000006</t>
  </si>
  <si>
    <t>Synthetic settlement for SYNTH-BATCH-AMOUNT-BREAK-000508</t>
  </si>
  <si>
    <t>SYNTH-BANK-000007</t>
  </si>
  <si>
    <t>SYNTH-BANK-REF-000007</t>
  </si>
  <si>
    <t>Synthetic settlement for SYNTH-BATCH-AMOUNT-BREAK-000656</t>
  </si>
  <si>
    <t>SYNTH-BANK-000008</t>
  </si>
  <si>
    <t>SYNTH-BANK-REF-000008</t>
  </si>
  <si>
    <t>Synthetic settlement for SYNTH-BATCH-AMOUNT-BREAK-000741</t>
  </si>
  <si>
    <t>SYNTH-BANK-000009</t>
  </si>
  <si>
    <t>SYNTH-BANK-REF-000009</t>
  </si>
  <si>
    <t>Synthetic settlement for SYNTH-BATCH-AMOUNT-BREAK-000886</t>
  </si>
  <si>
    <t>SYNTH-BANK-000010</t>
  </si>
  <si>
    <t>SYNTH-BANK-REF-000010</t>
  </si>
  <si>
    <t>Synthetic settlement for SYNTH-BATCH-AMOUNT-BREAK-000963</t>
  </si>
  <si>
    <t>SYNTH-BANK-000011</t>
  </si>
  <si>
    <t>SYNTH-BANK-REF-000011</t>
  </si>
  <si>
    <t>Synthetic settlement for SYNTH-BATCH-BANK-CURRENCY-000110</t>
  </si>
  <si>
    <t>SYNTH-BANK-000012</t>
  </si>
  <si>
    <t>SYNTH-BANK-REF-000012</t>
  </si>
  <si>
    <t>Synthetic settlement for SYNTH-BATCH-BANK-CURRENCY-000200</t>
  </si>
  <si>
    <t>SYNTH-BANK-000013</t>
  </si>
  <si>
    <t>SYNTH-BANK-REF-000013</t>
  </si>
  <si>
    <t>Synthetic settlement for SYNTH-BATCH-BANK-CURRENCY-000282</t>
  </si>
  <si>
    <t>SYNTH-BANK-000014</t>
  </si>
  <si>
    <t>SYNTH-BANK-REF-000014</t>
  </si>
  <si>
    <t>Synthetic settlement for SYNTH-BATCH-BANK-CURRENCY-000407</t>
  </si>
  <si>
    <t>SYNTH-BANK-000015</t>
  </si>
  <si>
    <t>SYNTH-BANK-REF-000015</t>
  </si>
  <si>
    <t>Synthetic settlement for SYNTH-BATCH-BANK-CURRENCY-000472</t>
  </si>
  <si>
    <t>SYNTH-BANK-000016</t>
  </si>
  <si>
    <t>SYNTH-BANK-REF-000016</t>
  </si>
  <si>
    <t>Synthetic settlement for SYNTH-BATCH-BANK-CURRENCY-000516</t>
  </si>
  <si>
    <t>SYNTH-BANK-000017</t>
  </si>
  <si>
    <t>SYNTH-BANK-REF-000017</t>
  </si>
  <si>
    <t>Synthetic settlement for SYNTH-BATCH-BANK-CURRENCY-000545</t>
  </si>
  <si>
    <t>SYNTH-BANK-000018</t>
  </si>
  <si>
    <t>SYNTH-BANK-REF-000018</t>
  </si>
  <si>
    <t>Synthetic settlement for SYNTH-BATCH-BANK-CURRENCY-000547</t>
  </si>
  <si>
    <t>SYNTH-BANK-000019</t>
  </si>
  <si>
    <t>SYNTH-BANK-REF-000019</t>
  </si>
  <si>
    <t>Synthetic settlement for SYNTH-BATCH-BANK-CURRENCY-000559</t>
  </si>
  <si>
    <t>SYNTH-BANK-000020</t>
  </si>
  <si>
    <t>SYNTH-BANK-REF-000020</t>
  </si>
  <si>
    <t>Synthetic settlement for SYNTH-BATCH-BANK-CURRENCY-000793</t>
  </si>
  <si>
    <t>SYNTH-BANK-000021</t>
  </si>
  <si>
    <t>SYNTH-BANK-REF-000021</t>
  </si>
  <si>
    <t>Synthetic settlement for SYNTH-BATCH-CURRENCY-000031</t>
  </si>
  <si>
    <t>SYNTH-BANK-000022</t>
  </si>
  <si>
    <t>SYNTH-BANK-REF-000022</t>
  </si>
  <si>
    <t>Synthetic settlement for SYNTH-BATCH-CURRENCY-000041</t>
  </si>
  <si>
    <t>SYNTH-BANK-000023</t>
  </si>
  <si>
    <t>SYNTH-BANK-REF-000023</t>
  </si>
  <si>
    <t>Synthetic settlement for SYNTH-BATCH-CURRENCY-000046</t>
  </si>
  <si>
    <t>SYNTH-BANK-000024</t>
  </si>
  <si>
    <t>SYNTH-BANK-REF-000024</t>
  </si>
  <si>
    <t>Synthetic settlement for SYNTH-BATCH-CURRENCY-000072</t>
  </si>
  <si>
    <t>SYNTH-BANK-000025</t>
  </si>
  <si>
    <t>SYNTH-BANK-REF-000025</t>
  </si>
  <si>
    <t>Synthetic settlement for SYNTH-BATCH-CURRENCY-000378</t>
  </si>
  <si>
    <t>SYNTH-BANK-000026</t>
  </si>
  <si>
    <t>SYNTH-BANK-REF-000026</t>
  </si>
  <si>
    <t>Synthetic settlement for SYNTH-BATCH-CURRENCY-000415</t>
  </si>
  <si>
    <t>SYNTH-BANK-000027</t>
  </si>
  <si>
    <t>SYNTH-BANK-REF-000027</t>
  </si>
  <si>
    <t>Synthetic settlement for SYNTH-BATCH-CURRENCY-000416</t>
  </si>
  <si>
    <t>SYNTH-BANK-000028</t>
  </si>
  <si>
    <t>SYNTH-BANK-REF-000028</t>
  </si>
  <si>
    <t>Synthetic settlement for SYNTH-BATCH-CURRENCY-000426</t>
  </si>
  <si>
    <t>SYNTH-BANK-000029</t>
  </si>
  <si>
    <t>SYNTH-BANK-REF-000029</t>
  </si>
  <si>
    <t>Synthetic settlement for SYNTH-BATCH-CURRENCY-000705</t>
  </si>
  <si>
    <t>SYNTH-BANK-000030</t>
  </si>
  <si>
    <t>SYNTH-BANK-REF-000030</t>
  </si>
  <si>
    <t>Synthetic settlement for SYNTH-BATCH-CURRENCY-000765</t>
  </si>
  <si>
    <t>SYNTH-BANK-000031</t>
  </si>
  <si>
    <t>SYNTH-BANK-REF-000031</t>
  </si>
  <si>
    <t>Synthetic settlement for SYNTH-BATCH-DUPLICATE-000030</t>
  </si>
  <si>
    <t>SYNTH-BANK-000032</t>
  </si>
  <si>
    <t>SYNTH-BANK-REF-000032</t>
  </si>
  <si>
    <t>Synthetic settlement for SYNTH-BATCH-DUPLICATE-000057</t>
  </si>
  <si>
    <t>SYNTH-BANK-000033</t>
  </si>
  <si>
    <t>SYNTH-BANK-REF-000033</t>
  </si>
  <si>
    <t>Synthetic settlement for SYNTH-BATCH-DUPLICATE-000202</t>
  </si>
  <si>
    <t>SYNTH-BANK-000034</t>
  </si>
  <si>
    <t>SYNTH-BANK-REF-000034</t>
  </si>
  <si>
    <t>Synthetic settlement for SYNTH-BATCH-DUPLICATE-000331</t>
  </si>
  <si>
    <t>SYNTH-BANK-000035</t>
  </si>
  <si>
    <t>SYNTH-BANK-REF-000035</t>
  </si>
  <si>
    <t>Synthetic settlement for SYNTH-BATCH-DUPLICATE-000341</t>
  </si>
  <si>
    <t>SYNTH-BANK-000036</t>
  </si>
  <si>
    <t>SYNTH-BANK-REF-000036</t>
  </si>
  <si>
    <t>Synthetic settlement for SYNTH-BATCH-DUPLICATE-000554</t>
  </si>
  <si>
    <t>SYNTH-BANK-000037</t>
  </si>
  <si>
    <t>SYNTH-BANK-REF-000037</t>
  </si>
  <si>
    <t>Synthetic settlement for SYNTH-BATCH-DUPLICATE-000849</t>
  </si>
  <si>
    <t>SYNTH-BANK-000038</t>
  </si>
  <si>
    <t>SYNTH-BANK-REF-000038</t>
  </si>
  <si>
    <t>Synthetic settlement for SYNTH-BATCH-DUPLICATE-000875</t>
  </si>
  <si>
    <t>SYNTH-BANK-000039</t>
  </si>
  <si>
    <t>SYNTH-BANK-REF-000039</t>
  </si>
  <si>
    <t>Synthetic settlement for SYNTH-BATCH-DUPLICATE-000926</t>
  </si>
  <si>
    <t>SYNTH-BANK-000040</t>
  </si>
  <si>
    <t>SYNTH-BANK-REF-000040</t>
  </si>
  <si>
    <t>Synthetic settlement for SYNTH-BATCH-DUPLICATE-000991</t>
  </si>
  <si>
    <t>SYNTH-BANK-000041</t>
  </si>
  <si>
    <t>SYNTH-BANK-REF-000041</t>
  </si>
  <si>
    <t>Synthetic settlement for SYNTH-BATCH-EUR-2026-01-04-0000</t>
  </si>
  <si>
    <t>SYNTH-BANK-000042</t>
  </si>
  <si>
    <t>SYNTH-BANK-REF-000042</t>
  </si>
  <si>
    <t>Synthetic settlement for SYNTH-BATCH-EUR-2026-01-04-0001</t>
  </si>
  <si>
    <t>SYNTH-BANK-000043</t>
  </si>
  <si>
    <t>SYNTH-BANK-REF-000043</t>
  </si>
  <si>
    <t>Synthetic settlement for SYNTH-BATCH-EUR-2026-01-04-0002</t>
  </si>
  <si>
    <t>SYNTH-BANK-000044</t>
  </si>
  <si>
    <t>SYNTH-BANK-REF-000044</t>
  </si>
  <si>
    <t>Synthetic settlement for SYNTH-BATCH-EUR-2026-01-06-0000</t>
  </si>
  <si>
    <t>SYNTH-BANK-000045</t>
  </si>
  <si>
    <t>SYNTH-BANK-REF-000045</t>
  </si>
  <si>
    <t>Synthetic settlement for SYNTH-BATCH-EUR-2026-01-06-0001</t>
  </si>
  <si>
    <t>SYNTH-BANK-000046</t>
  </si>
  <si>
    <t>SYNTH-BANK-REF-000046</t>
  </si>
  <si>
    <t>Synthetic settlement for SYNTH-BATCH-EUR-2026-01-06-0002</t>
  </si>
  <si>
    <t>SYNTH-BANK-000047</t>
  </si>
  <si>
    <t>SYNTH-BANK-REF-000047</t>
  </si>
  <si>
    <t>Synthetic settlement for SYNTH-BATCH-EUR-2026-01-08-0000</t>
  </si>
  <si>
    <t>SYNTH-BANK-000048</t>
  </si>
  <si>
    <t>SYNTH-BANK-REF-000048</t>
  </si>
  <si>
    <t>Synthetic settlement for SYNTH-BATCH-EUR-2026-01-08-0001</t>
  </si>
  <si>
    <t>SYNTH-BANK-000049</t>
  </si>
  <si>
    <t>SYNTH-BANK-REF-000049</t>
  </si>
  <si>
    <t>Synthetic settlement for SYNTH-BATCH-EUR-2026-01-08-0002</t>
  </si>
  <si>
    <t>SYNTH-BANK-000050</t>
  </si>
  <si>
    <t>SYNTH-BANK-REF-000050</t>
  </si>
  <si>
    <t>Synthetic settlement for SYNTH-BATCH-EUR-2026-01-10-0000</t>
  </si>
  <si>
    <t>SYNTH-BANK-000051</t>
  </si>
  <si>
    <t>SYNTH-BANK-REF-000051</t>
  </si>
  <si>
    <t>Synthetic settlement for SYNTH-BATCH-EUR-2026-01-10-0001</t>
  </si>
  <si>
    <t>SYNTH-BANK-000052</t>
  </si>
  <si>
    <t>SYNTH-BANK-REF-000052</t>
  </si>
  <si>
    <t>Synthetic settlement for SYNTH-BATCH-EUR-2026-01-10-0002</t>
  </si>
  <si>
    <t>SYNTH-BANK-000053</t>
  </si>
  <si>
    <t>SYNTH-BANK-REF-000053</t>
  </si>
  <si>
    <t>Synthetic settlement for SYNTH-BATCH-EUR-2026-01-12-0000</t>
  </si>
  <si>
    <t>SYNTH-BANK-000054</t>
  </si>
  <si>
    <t>SYNTH-BANK-REF-000054</t>
  </si>
  <si>
    <t>Synthetic settlement for SYNTH-BATCH-EUR-2026-01-12-0001</t>
  </si>
  <si>
    <t>SYNTH-BANK-000055</t>
  </si>
  <si>
    <t>SYNTH-BANK-REF-000055</t>
  </si>
  <si>
    <t>Synthetic settlement for SYNTH-BATCH-EUR-2026-01-12-0002</t>
  </si>
  <si>
    <t>SYNTH-BANK-000056</t>
  </si>
  <si>
    <t>SYNTH-BANK-REF-000056</t>
  </si>
  <si>
    <t>Synthetic settlement for SYNTH-BATCH-EUR-2026-01-14-0000</t>
  </si>
  <si>
    <t>SYNTH-BANK-000057</t>
  </si>
  <si>
    <t>SYNTH-BANK-REF-000057</t>
  </si>
  <si>
    <t>Synthetic settlement for SYNTH-BATCH-EUR-2026-01-14-0001</t>
  </si>
  <si>
    <t>SYNTH-BANK-000058</t>
  </si>
  <si>
    <t>SYNTH-BANK-REF-000058</t>
  </si>
  <si>
    <t>Synthetic settlement for SYNTH-BATCH-EUR-2026-01-14-0002</t>
  </si>
  <si>
    <t>SYNTH-BANK-000059</t>
  </si>
  <si>
    <t>SYNTH-BANK-REF-000059</t>
  </si>
  <si>
    <t>Synthetic settlement for SYNTH-BATCH-EUR-2026-01-16-0000</t>
  </si>
  <si>
    <t>SYNTH-BANK-000060</t>
  </si>
  <si>
    <t>SYNTH-BANK-REF-000060</t>
  </si>
  <si>
    <t>Synthetic settlement for SYNTH-BATCH-EUR-2026-01-16-0001</t>
  </si>
  <si>
    <t>SYNTH-BANK-000061</t>
  </si>
  <si>
    <t>SYNTH-BANK-REF-000061</t>
  </si>
  <si>
    <t>Synthetic settlement for SYNTH-BATCH-EUR-2026-01-16-0002</t>
  </si>
  <si>
    <t>SYNTH-BANK-000062</t>
  </si>
  <si>
    <t>SYNTH-BANK-REF-000062</t>
  </si>
  <si>
    <t>Synthetic settlement for SYNTH-BATCH-GBP-2026-01-03-0000</t>
  </si>
  <si>
    <t>SYNTH-BANK-000063</t>
  </si>
  <si>
    <t>SYNTH-BANK-REF-000063</t>
  </si>
  <si>
    <t>Synthetic settlement for SYNTH-BATCH-GBP-2026-01-03-0001</t>
  </si>
  <si>
    <t>SYNTH-BANK-000064</t>
  </si>
  <si>
    <t>SYNTH-BANK-REF-000064</t>
  </si>
  <si>
    <t>Synthetic settlement for SYNTH-BATCH-GBP-2026-01-03-0002</t>
  </si>
  <si>
    <t>SYNTH-BANK-000065</t>
  </si>
  <si>
    <t>SYNTH-BANK-REF-000065</t>
  </si>
  <si>
    <t>Synthetic settlement for SYNTH-BATCH-GBP-2026-01-05-0000</t>
  </si>
  <si>
    <t>SYNTH-BANK-000066</t>
  </si>
  <si>
    <t>SYNTH-BANK-REF-000066</t>
  </si>
  <si>
    <t>Synthetic settlement for SYNTH-BATCH-GBP-2026-01-05-0001</t>
  </si>
  <si>
    <t>SYNTH-BANK-000067</t>
  </si>
  <si>
    <t>SYNTH-BANK-REF-000067</t>
  </si>
  <si>
    <t>Synthetic settlement for SYNTH-BATCH-GBP-2026-01-05-0002</t>
  </si>
  <si>
    <t>SYNTH-BANK-000068</t>
  </si>
  <si>
    <t>SYNTH-BANK-REF-000068</t>
  </si>
  <si>
    <t>Synthetic settlement for SYNTH-BATCH-GBP-2026-01-07-0000</t>
  </si>
  <si>
    <t>SYNTH-BANK-000069</t>
  </si>
  <si>
    <t>SYNTH-BANK-REF-000069</t>
  </si>
  <si>
    <t>Synthetic settlement for SYNTH-BATCH-GBP-2026-01-07-0001</t>
  </si>
  <si>
    <t>SYNTH-BANK-000070</t>
  </si>
  <si>
    <t>SYNTH-BANK-REF-000070</t>
  </si>
  <si>
    <t>Synthetic settlement for SYNTH-BATCH-GBP-2026-01-07-0002</t>
  </si>
  <si>
    <t>SYNTH-BANK-000071</t>
  </si>
  <si>
    <t>SYNTH-BANK-REF-000071</t>
  </si>
  <si>
    <t>Synthetic settlement for SYNTH-BATCH-GBP-2026-01-09-0000</t>
  </si>
  <si>
    <t>SYNTH-BANK-000072</t>
  </si>
  <si>
    <t>SYNTH-BANK-REF-000072</t>
  </si>
  <si>
    <t>Synthetic settlement for SYNTH-BATCH-GBP-2026-01-09-0001</t>
  </si>
  <si>
    <t>SYNTH-BANK-000073</t>
  </si>
  <si>
    <t>SYNTH-BANK-REF-000073</t>
  </si>
  <si>
    <t>Synthetic settlement for SYNTH-BATCH-GBP-2026-01-09-0002</t>
  </si>
  <si>
    <t>SYNTH-BANK-000074</t>
  </si>
  <si>
    <t>SYNTH-BANK-REF-000074</t>
  </si>
  <si>
    <t>Synthetic settlement for SYNTH-BATCH-GBP-2026-01-11-0000</t>
  </si>
  <si>
    <t>SYNTH-BANK-000075</t>
  </si>
  <si>
    <t>SYNTH-BANK-REF-000075</t>
  </si>
  <si>
    <t>Synthetic settlement for SYNTH-BATCH-GBP-2026-01-11-0001</t>
  </si>
  <si>
    <t>SYNTH-BANK-000076</t>
  </si>
  <si>
    <t>SYNTH-BANK-REF-000076</t>
  </si>
  <si>
    <t>Synthetic settlement for SYNTH-BATCH-GBP-2026-01-11-0002</t>
  </si>
  <si>
    <t>SYNTH-BANK-000077</t>
  </si>
  <si>
    <t>SYNTH-BANK-REF-000077</t>
  </si>
  <si>
    <t>Synthetic settlement for SYNTH-BATCH-GBP-2026-01-13-0000</t>
  </si>
  <si>
    <t>SYNTH-BANK-000078</t>
  </si>
  <si>
    <t>SYNTH-BANK-REF-000078</t>
  </si>
  <si>
    <t>Synthetic settlement for SYNTH-BATCH-GBP-2026-01-13-0001</t>
  </si>
  <si>
    <t>SYNTH-BANK-000079</t>
  </si>
  <si>
    <t>SYNTH-BANK-REF-000079</t>
  </si>
  <si>
    <t>Synthetic settlement for SYNTH-BATCH-GBP-2026-01-13-0002</t>
  </si>
  <si>
    <t>SYNTH-BANK-000080</t>
  </si>
  <si>
    <t>SYNTH-BANK-REF-000080</t>
  </si>
  <si>
    <t>Synthetic settlement for SYNTH-BATCH-GBP-2026-01-15-0000</t>
  </si>
  <si>
    <t>SYNTH-BANK-000081</t>
  </si>
  <si>
    <t>SYNTH-BANK-REF-000081</t>
  </si>
  <si>
    <t>Synthetic settlement for SYNTH-BATCH-GBP-2026-01-15-0001</t>
  </si>
  <si>
    <t>SYNTH-BANK-000082</t>
  </si>
  <si>
    <t>SYNTH-BANK-REF-000082</t>
  </si>
  <si>
    <t>Synthetic settlement for SYNTH-BATCH-GBP-2026-01-15-0002</t>
  </si>
  <si>
    <t>SYNTH-BANK-000083</t>
  </si>
  <si>
    <t>SYNTH-BANK-REF-000083</t>
  </si>
  <si>
    <t>Synthetic settlement for SYNTH-BATCH-LATE-000005</t>
  </si>
  <si>
    <t>SYNTH-BANK-000084</t>
  </si>
  <si>
    <t>SYNTH-BANK-REF-000084</t>
  </si>
  <si>
    <t>Synthetic settlement for SYNTH-BATCH-LATE-000035</t>
  </si>
  <si>
    <t>SYNTH-BANK-000085</t>
  </si>
  <si>
    <t>SYNTH-BANK-REF-000085</t>
  </si>
  <si>
    <t>Synthetic settlement for SYNTH-BATCH-LATE-000093</t>
  </si>
  <si>
    <t>SYNTH-BANK-000086</t>
  </si>
  <si>
    <t>SYNTH-BANK-REF-000086</t>
  </si>
  <si>
    <t>Synthetic settlement for SYNTH-BATCH-LATE-000098</t>
  </si>
  <si>
    <t>SYNTH-BANK-000087</t>
  </si>
  <si>
    <t>SYNTH-BANK-REF-000087</t>
  </si>
  <si>
    <t>Synthetic settlement for SYNTH-BATCH-LATE-000376</t>
  </si>
  <si>
    <t>SYNTH-BANK-000088</t>
  </si>
  <si>
    <t>SYNTH-BANK-REF-000088</t>
  </si>
  <si>
    <t>Synthetic settlement for SYNTH-BATCH-LATE-000425</t>
  </si>
  <si>
    <t>SYNTH-BANK-000089</t>
  </si>
  <si>
    <t>SYNTH-BANK-REF-000089</t>
  </si>
  <si>
    <t>Synthetic settlement for SYNTH-BATCH-LATE-000485</t>
  </si>
  <si>
    <t>SYNTH-BANK-000090</t>
  </si>
  <si>
    <t>SYNTH-BANK-REF-000090</t>
  </si>
  <si>
    <t>Synthetic settlement for SYNTH-BATCH-LATE-000581</t>
  </si>
  <si>
    <t>SYNTH-BANK-000091</t>
  </si>
  <si>
    <t>SYNTH-BANK-REF-000091</t>
  </si>
  <si>
    <t>Synthetic settlement for SYNTH-BATCH-LATE-000679</t>
  </si>
  <si>
    <t>SYNTH-BANK-000092</t>
  </si>
  <si>
    <t>SYNTH-BANK-REF-000092</t>
  </si>
  <si>
    <t>Synthetic settlement for SYNTH-BATCH-LATE-000709</t>
  </si>
  <si>
    <t>SYNTH-BANK-000093</t>
  </si>
  <si>
    <t>SYNTH-BANK-REF-000093</t>
  </si>
  <si>
    <t>Synthetic settlement for SYNTH-BATCH-LATE-000729</t>
  </si>
  <si>
    <t>SYNTH-BANK-000094</t>
  </si>
  <si>
    <t>SYNTH-BANK-REF-000094</t>
  </si>
  <si>
    <t>Synthetic settlement for SYNTH-BATCH-LATE-000739</t>
  </si>
  <si>
    <t>SYNTH-BANK-000095</t>
  </si>
  <si>
    <t>SYNTH-BANK-REF-000095</t>
  </si>
  <si>
    <t>Synthetic settlement for SYNTH-BATCH-LATE-000752</t>
  </si>
  <si>
    <t>SYNTH-BANK-000096</t>
  </si>
  <si>
    <t>SYNTH-BANK-REF-000096</t>
  </si>
  <si>
    <t>Synthetic settlement for SYNTH-BATCH-LATE-000758</t>
  </si>
  <si>
    <t>SYNTH-BANK-000097</t>
  </si>
  <si>
    <t>SYNTH-BANK-REF-000097</t>
  </si>
  <si>
    <t>Synthetic settlement for SYNTH-BATCH-LATE-000764</t>
  </si>
  <si>
    <t>SYNTH-BANK-000098</t>
  </si>
  <si>
    <t>SYNTH-BANK-REF-000098</t>
  </si>
  <si>
    <t>Synthetic settlement for SYNTH-BATCH-LATE-000805</t>
  </si>
  <si>
    <t>SYNTH-BANK-000099</t>
  </si>
  <si>
    <t>SYNTH-BANK-REF-000099</t>
  </si>
  <si>
    <t>Synthetic settlement for SYNTH-BATCH-LATE-000811</t>
  </si>
  <si>
    <t>SYNTH-BANK-000100</t>
  </si>
  <si>
    <t>SYNTH-BANK-REF-000100</t>
  </si>
  <si>
    <t>Synthetic settlement for SYNTH-BATCH-LATE-000920</t>
  </si>
  <si>
    <t>SYNTH-BANK-000101</t>
  </si>
  <si>
    <t>SYNTH-BANK-REF-000101</t>
  </si>
  <si>
    <t>Synthetic settlement for SYNTH-BATCH-LATE-000966</t>
  </si>
  <si>
    <t>SYNTH-BANK-000102</t>
  </si>
  <si>
    <t>SYNTH-BANK-REF-000102</t>
  </si>
  <si>
    <t>Synthetic settlement for SYNTH-BATCH-LATE-000986</t>
  </si>
  <si>
    <t>SYNTH-BANK-000103</t>
  </si>
  <si>
    <t>SYNTH-BANK-REF-000103</t>
  </si>
  <si>
    <t>Synthetic settlement for SYNTH-BATCH-PROC-ONLY-000001</t>
  </si>
  <si>
    <t>SYNTH-BANK-000104</t>
  </si>
  <si>
    <t>SYNTH-BANK-REF-000104</t>
  </si>
  <si>
    <t>Synthetic settlement for SYNTH-BATCH-PROC-ONLY-000002</t>
  </si>
  <si>
    <t>SYNTH-BANK-000105</t>
  </si>
  <si>
    <t>SYNTH-BANK-REF-000105</t>
  </si>
  <si>
    <t>Synthetic settlement for SYNTH-BATCH-PROC-ONLY-000003</t>
  </si>
  <si>
    <t>SYNTH-BANK-000106</t>
  </si>
  <si>
    <t>SYNTH-BANK-REF-000106</t>
  </si>
  <si>
    <t>Synthetic settlement for SYNTH-BATCH-PROC-ONLY-000004</t>
  </si>
  <si>
    <t>SYNTH-BANK-000107</t>
  </si>
  <si>
    <t>SYNTH-BANK-REF-000107</t>
  </si>
  <si>
    <t>Synthetic settlement for SYNTH-BATCH-PROC-ONLY-000005</t>
  </si>
  <si>
    <t>SYNTH-BANK-000108</t>
  </si>
  <si>
    <t>SYNTH-BANK-REF-000108</t>
  </si>
  <si>
    <t>Synthetic settlement for SYNTH-BATCH-PROC-ONLY-000006</t>
  </si>
  <si>
    <t>SYNTH-BANK-000109</t>
  </si>
  <si>
    <t>SYNTH-BANK-REF-000109</t>
  </si>
  <si>
    <t>Synthetic settlement for SYNTH-BATCH-PROC-ONLY-000007</t>
  </si>
  <si>
    <t>SYNTH-BANK-000110</t>
  </si>
  <si>
    <t>SYNTH-BANK-REF-000110</t>
  </si>
  <si>
    <t>Synthetic settlement for SYNTH-BATCH-PROC-ONLY-000008</t>
  </si>
  <si>
    <t>SYNTH-BANK-000111</t>
  </si>
  <si>
    <t>SYNTH-BANK-REF-000111</t>
  </si>
  <si>
    <t>Synthetic settlement for SYNTH-BATCH-PROC-ONLY-000009</t>
  </si>
  <si>
    <t>SYNTH-BANK-000112</t>
  </si>
  <si>
    <t>SYNTH-BANK-REF-000112</t>
  </si>
  <si>
    <t>Synthetic settlement for SYNTH-BATCH-PROC-ONLY-000010</t>
  </si>
  <si>
    <t>SYNTH-BANK-000113</t>
  </si>
  <si>
    <t>SYNTH-BANK-REF-000113</t>
  </si>
  <si>
    <t>Synthetic settlement for SYNTH-BATCH-PROC-ONLY-000011</t>
  </si>
  <si>
    <t>SYNTH-BANK-000114</t>
  </si>
  <si>
    <t>SYNTH-BANK-REF-000114</t>
  </si>
  <si>
    <t>Synthetic settlement for SYNTH-BATCH-PROC-ONLY-000012</t>
  </si>
  <si>
    <t>SYNTH-BANK-000115</t>
  </si>
  <si>
    <t>SYNTH-BANK-REF-000115</t>
  </si>
  <si>
    <t>Synthetic settlement for SYNTH-BATCH-PROC-ONLY-000013</t>
  </si>
  <si>
    <t>SYNTH-BANK-000116</t>
  </si>
  <si>
    <t>SYNTH-BANK-REF-000116</t>
  </si>
  <si>
    <t>Synthetic settlement for SYNTH-BATCH-PROC-ONLY-000014</t>
  </si>
  <si>
    <t>SYNTH-BANK-000117</t>
  </si>
  <si>
    <t>SYNTH-BANK-REF-000117</t>
  </si>
  <si>
    <t>Synthetic settlement for SYNTH-BATCH-PROC-ONLY-000015</t>
  </si>
  <si>
    <t>SYNTH-BANK-000118</t>
  </si>
  <si>
    <t>SYNTH-BANK-REF-000118</t>
  </si>
  <si>
    <t>Synthetic settlement for SYNTH-BATCH-PROC-ONLY-000016</t>
  </si>
  <si>
    <t>SYNTH-BANK-000119</t>
  </si>
  <si>
    <t>SYNTH-BANK-REF-000119</t>
  </si>
  <si>
    <t>Synthetic settlement for SYNTH-BATCH-PROC-ONLY-000017</t>
  </si>
  <si>
    <t>SYNTH-BANK-000120</t>
  </si>
  <si>
    <t>SYNTH-BANK-REF-000120</t>
  </si>
  <si>
    <t>Synthetic settlement for SYNTH-BATCH-PROC-ONLY-000018</t>
  </si>
  <si>
    <t>SYNTH-BANK-000121</t>
  </si>
  <si>
    <t>SYNTH-BANK-REF-000121</t>
  </si>
  <si>
    <t>Synthetic settlement for SYNTH-BATCH-PROC-ONLY-000019</t>
  </si>
  <si>
    <t>SYNTH-BANK-000122</t>
  </si>
  <si>
    <t>SYNTH-BANK-REF-000122</t>
  </si>
  <si>
    <t>Synthetic settlement for SYNTH-BATCH-PROC-ONLY-000020</t>
  </si>
  <si>
    <t>SYNTH-BANK-000123</t>
  </si>
  <si>
    <t>SYNTH-BANK-REF-000123</t>
  </si>
  <si>
    <t>Synthetic settlement for SYNTH-BATCH-REFUND-000023</t>
  </si>
  <si>
    <t>SYNTH-BANK-000124</t>
  </si>
  <si>
    <t>SYNTH-BANK-REF-000124</t>
  </si>
  <si>
    <t>Synthetic settlement for SYNTH-BATCH-REFUND-000028</t>
  </si>
  <si>
    <t>SYNTH-BANK-000125</t>
  </si>
  <si>
    <t>SYNTH-BANK-REF-000125</t>
  </si>
  <si>
    <t>Synthetic settlement for SYNTH-BATCH-REFUND-000120</t>
  </si>
  <si>
    <t>SYNTH-BANK-000126</t>
  </si>
  <si>
    <t>SYNTH-BANK-REF-000126</t>
  </si>
  <si>
    <t>Synthetic settlement for SYNTH-BATCH-REFUND-000135</t>
  </si>
  <si>
    <t>SYNTH-BANK-000127</t>
  </si>
  <si>
    <t>SYNTH-BANK-REF-000127</t>
  </si>
  <si>
    <t>Synthetic settlement for SYNTH-BATCH-REFUND-000146</t>
  </si>
  <si>
    <t>SYNTH-BANK-000128</t>
  </si>
  <si>
    <t>SYNTH-BANK-REF-000128</t>
  </si>
  <si>
    <t>Synthetic settlement for SYNTH-BATCH-REFUND-000170</t>
  </si>
  <si>
    <t>SYNTH-BANK-000129</t>
  </si>
  <si>
    <t>SYNTH-BANK-REF-000129</t>
  </si>
  <si>
    <t>Synthetic settlement for SYNTH-BATCH-REFUND-000185</t>
  </si>
  <si>
    <t>SYNTH-BANK-000130</t>
  </si>
  <si>
    <t>SYNTH-BANK-REF-000130</t>
  </si>
  <si>
    <t>Synthetic settlement for SYNTH-BATCH-REFUND-000190</t>
  </si>
  <si>
    <t>SYNTH-BANK-000131</t>
  </si>
  <si>
    <t>SYNTH-BANK-REF-000131</t>
  </si>
  <si>
    <t>Synthetic settlement for SYNTH-BATCH-REFUND-000205</t>
  </si>
  <si>
    <t>SYNTH-BANK-000132</t>
  </si>
  <si>
    <t>SYNTH-BANK-REF-000132</t>
  </si>
  <si>
    <t>Synthetic settlement for SYNTH-BATCH-REFUND-000213</t>
  </si>
  <si>
    <t>SYNTH-BANK-000133</t>
  </si>
  <si>
    <t>SYNTH-BANK-REF-000133</t>
  </si>
  <si>
    <t>Synthetic settlement for SYNTH-BATCH-REFUND-000224</t>
  </si>
  <si>
    <t>SYNTH-BANK-000134</t>
  </si>
  <si>
    <t>SYNTH-BANK-REF-000134</t>
  </si>
  <si>
    <t>Synthetic settlement for SYNTH-BATCH-REFUND-000230</t>
  </si>
  <si>
    <t>SYNTH-BANK-000135</t>
  </si>
  <si>
    <t>SYNTH-BANK-REF-000135</t>
  </si>
  <si>
    <t>Synthetic settlement for SYNTH-BATCH-REFUND-000261</t>
  </si>
  <si>
    <t>SYNTH-BANK-000136</t>
  </si>
  <si>
    <t>SYNTH-BANK-REF-000136</t>
  </si>
  <si>
    <t>Synthetic settlement for SYNTH-BATCH-REFUND-000264</t>
  </si>
  <si>
    <t>SYNTH-BANK-000137</t>
  </si>
  <si>
    <t>SYNTH-BANK-REF-000137</t>
  </si>
  <si>
    <t>Synthetic settlement for SYNTH-BATCH-REFUND-000295</t>
  </si>
  <si>
    <t>SYNTH-BANK-000138</t>
  </si>
  <si>
    <t>SYNTH-BANK-REF-000138</t>
  </si>
  <si>
    <t>Synthetic settlement for SYNTH-BATCH-REFUND-000350</t>
  </si>
  <si>
    <t>SYNTH-BANK-000139</t>
  </si>
  <si>
    <t>SYNTH-BANK-REF-000139</t>
  </si>
  <si>
    <t>Synthetic settlement for SYNTH-BATCH-REFUND-000367</t>
  </si>
  <si>
    <t>SYNTH-BANK-000140</t>
  </si>
  <si>
    <t>SYNTH-BANK-REF-000140</t>
  </si>
  <si>
    <t>Synthetic settlement for SYNTH-BATCH-REFUND-000382</t>
  </si>
  <si>
    <t>SYNTH-BANK-000141</t>
  </si>
  <si>
    <t>SYNTH-BANK-REF-000141</t>
  </si>
  <si>
    <t>Synthetic settlement for SYNTH-BATCH-REFUND-000400</t>
  </si>
  <si>
    <t>SYNTH-BANK-000142</t>
  </si>
  <si>
    <t>SYNTH-BANK-REF-000142</t>
  </si>
  <si>
    <t>Synthetic settlement for SYNTH-BATCH-REFUND-000431</t>
  </si>
  <si>
    <t>SYNTH-BANK-000143</t>
  </si>
  <si>
    <t>SYNTH-BANK-REF-000143</t>
  </si>
  <si>
    <t>Synthetic settlement for SYNTH-BATCH-REFUND-000439</t>
  </si>
  <si>
    <t>SYNTH-BANK-000144</t>
  </si>
  <si>
    <t>SYNTH-BANK-REF-000144</t>
  </si>
  <si>
    <t>Synthetic settlement for SYNTH-BATCH-REFUND-000445</t>
  </si>
  <si>
    <t>SYNTH-BANK-000145</t>
  </si>
  <si>
    <t>SYNTH-BANK-REF-000145</t>
  </si>
  <si>
    <t>Synthetic settlement for SYNTH-BATCH-REFUND-000469</t>
  </si>
  <si>
    <t>SYNTH-BANK-000146</t>
  </si>
  <si>
    <t>SYNTH-BANK-REF-000146</t>
  </si>
  <si>
    <t>Synthetic settlement for SYNTH-BATCH-REFUND-000476</t>
  </si>
  <si>
    <t>SYNTH-BANK-000147</t>
  </si>
  <si>
    <t>SYNTH-BANK-REF-000147</t>
  </si>
  <si>
    <t>Synthetic settlement for SYNTH-BATCH-REFUND-000487</t>
  </si>
  <si>
    <t>SYNTH-BANK-000148</t>
  </si>
  <si>
    <t>SYNTH-BANK-REF-000148</t>
  </si>
  <si>
    <t>Synthetic settlement for SYNTH-BATCH-REFUND-000518</t>
  </si>
  <si>
    <t>SYNTH-BANK-000149</t>
  </si>
  <si>
    <t>SYNTH-BANK-REF-000149</t>
  </si>
  <si>
    <t>Synthetic settlement for SYNTH-BATCH-REFUND-000608</t>
  </si>
  <si>
    <t>SYNTH-BANK-000150</t>
  </si>
  <si>
    <t>SYNTH-BANK-REF-000150</t>
  </si>
  <si>
    <t>Synthetic settlement for SYNTH-BATCH-REFUND-000689</t>
  </si>
  <si>
    <t>SYNTH-BANK-000151</t>
  </si>
  <si>
    <t>SYNTH-BANK-REF-000151</t>
  </si>
  <si>
    <t>Synthetic settlement for SYNTH-BATCH-REFUND-000702</t>
  </si>
  <si>
    <t>SYNTH-BANK-000152</t>
  </si>
  <si>
    <t>SYNTH-BANK-REF-000152</t>
  </si>
  <si>
    <t>Synthetic settlement for SYNTH-BATCH-REFUND-000746</t>
  </si>
  <si>
    <t>SYNTH-BANK-000153</t>
  </si>
  <si>
    <t>SYNTH-BANK-REF-000153</t>
  </si>
  <si>
    <t>Synthetic settlement for SYNTH-BATCH-REFUND-000751</t>
  </si>
  <si>
    <t>SYNTH-BANK-000154</t>
  </si>
  <si>
    <t>SYNTH-BANK-REF-000154</t>
  </si>
  <si>
    <t>Synthetic settlement for SYNTH-BATCH-REFUND-000795</t>
  </si>
  <si>
    <t>SYNTH-BANK-000155</t>
  </si>
  <si>
    <t>SYNTH-BANK-REF-000155</t>
  </si>
  <si>
    <t>Synthetic settlement for SYNTH-BATCH-REFUND-000851</t>
  </si>
  <si>
    <t>SYNTH-BANK-000156</t>
  </si>
  <si>
    <t>SYNTH-BANK-REF-000156</t>
  </si>
  <si>
    <t>Synthetic settlement for SYNTH-BATCH-REFUND-000871</t>
  </si>
  <si>
    <t>SYNTH-BANK-000157</t>
  </si>
  <si>
    <t>SYNTH-BANK-REF-000157</t>
  </si>
  <si>
    <t>Synthetic settlement for SYNTH-BATCH-REFUND-000881</t>
  </si>
  <si>
    <t>SYNTH-BANK-000158</t>
  </si>
  <si>
    <t>SYNTH-BANK-REF-000158</t>
  </si>
  <si>
    <t>Synthetic settlement for SYNTH-BATCH-REFUND-000898</t>
  </si>
  <si>
    <t>SYNTH-BANK-000159</t>
  </si>
  <si>
    <t>SYNTH-BANK-REF-000159</t>
  </si>
  <si>
    <t>Synthetic settlement for SYNTH-BATCH-REFUND-000912</t>
  </si>
  <si>
    <t>SYNTH-BANK-000160</t>
  </si>
  <si>
    <t>SYNTH-BANK-REF-000160</t>
  </si>
  <si>
    <t>Synthetic settlement for SYNTH-BATCH-REFUND-000929</t>
  </si>
  <si>
    <t>SYNTH-BANK-000161</t>
  </si>
  <si>
    <t>SYNTH-BANK-REF-000161</t>
  </si>
  <si>
    <t>Synthetic settlement for SYNTH-BATCH-REFUND-000989</t>
  </si>
  <si>
    <t>SYNTH-BANK-000162</t>
  </si>
  <si>
    <t>SYNTH-BANK-REF-000162</t>
  </si>
  <si>
    <t>Synthetic settlement for SYNTH-BATCH-REFUND-000995</t>
  </si>
  <si>
    <t>SYNTH-BANK-000163</t>
  </si>
  <si>
    <t>SYNTH-BANK-REF-000163</t>
  </si>
  <si>
    <t>Synthetic settlement for SYNTH-BATCH-USD-2026-01-03-0000</t>
  </si>
  <si>
    <t>SYNTH-BANK-000164</t>
  </si>
  <si>
    <t>SYNTH-BANK-REF-000164</t>
  </si>
  <si>
    <t>Synthetic settlement for SYNTH-BATCH-USD-2026-01-03-0001</t>
  </si>
  <si>
    <t>SYNTH-BANK-000165</t>
  </si>
  <si>
    <t>SYNTH-BANK-REF-000165</t>
  </si>
  <si>
    <t>Synthetic settlement for SYNTH-BATCH-USD-2026-01-03-0002</t>
  </si>
  <si>
    <t>SYNTH-BANK-000166</t>
  </si>
  <si>
    <t>SYNTH-BANK-REF-000166</t>
  </si>
  <si>
    <t>Synthetic settlement for SYNTH-BATCH-USD-2026-01-04-0000</t>
  </si>
  <si>
    <t>SYNTH-BANK-000167</t>
  </si>
  <si>
    <t>SYNTH-BANK-REF-000167</t>
  </si>
  <si>
    <t>Synthetic settlement for SYNTH-BATCH-USD-2026-01-04-0001</t>
  </si>
  <si>
    <t>SYNTH-BANK-000168</t>
  </si>
  <si>
    <t>SYNTH-BANK-REF-000168</t>
  </si>
  <si>
    <t>Synthetic settlement for SYNTH-BATCH-USD-2026-01-04-0002</t>
  </si>
  <si>
    <t>SYNTH-BANK-000169</t>
  </si>
  <si>
    <t>SYNTH-BANK-REF-000169</t>
  </si>
  <si>
    <t>Synthetic settlement for SYNTH-BATCH-USD-2026-01-05-0000</t>
  </si>
  <si>
    <t>SYNTH-BANK-000170</t>
  </si>
  <si>
    <t>SYNTH-BANK-REF-000170</t>
  </si>
  <si>
    <t>Synthetic settlement for SYNTH-BATCH-USD-2026-01-05-0001</t>
  </si>
  <si>
    <t>SYNTH-BANK-000171</t>
  </si>
  <si>
    <t>SYNTH-BANK-REF-000171</t>
  </si>
  <si>
    <t>Synthetic settlement for SYNTH-BATCH-USD-2026-01-05-0002</t>
  </si>
  <si>
    <t>SYNTH-BANK-000172</t>
  </si>
  <si>
    <t>SYNTH-BANK-REF-000172</t>
  </si>
  <si>
    <t>Synthetic settlement for SYNTH-BATCH-USD-2026-01-06-0000</t>
  </si>
  <si>
    <t>SYNTH-BANK-000173</t>
  </si>
  <si>
    <t>SYNTH-BANK-REF-000173</t>
  </si>
  <si>
    <t>Synthetic settlement for SYNTH-BATCH-USD-2026-01-06-0001</t>
  </si>
  <si>
    <t>SYNTH-BANK-000174</t>
  </si>
  <si>
    <t>SYNTH-BANK-REF-000174</t>
  </si>
  <si>
    <t>Synthetic settlement for SYNTH-BATCH-USD-2026-01-06-0002</t>
  </si>
  <si>
    <t>SYNTH-BANK-000175</t>
  </si>
  <si>
    <t>SYNTH-BANK-REF-000175</t>
  </si>
  <si>
    <t>Synthetic settlement for SYNTH-BATCH-USD-2026-01-07-0000</t>
  </si>
  <si>
    <t>SYNTH-BANK-000176</t>
  </si>
  <si>
    <t>SYNTH-BANK-REF-000176</t>
  </si>
  <si>
    <t>Synthetic settlement for SYNTH-BATCH-USD-2026-01-07-0001</t>
  </si>
  <si>
    <t>SYNTH-BANK-000177</t>
  </si>
  <si>
    <t>SYNTH-BANK-REF-000177</t>
  </si>
  <si>
    <t>Synthetic settlement for SYNTH-BATCH-USD-2026-01-07-0002</t>
  </si>
  <si>
    <t>SYNTH-BANK-000178</t>
  </si>
  <si>
    <t>SYNTH-BANK-REF-000178</t>
  </si>
  <si>
    <t>Synthetic settlement for SYNTH-BATCH-USD-2026-01-08-0000</t>
  </si>
  <si>
    <t>SYNTH-BANK-000179</t>
  </si>
  <si>
    <t>SYNTH-BANK-REF-000179</t>
  </si>
  <si>
    <t>Synthetic settlement for SYNTH-BATCH-USD-2026-01-08-0001</t>
  </si>
  <si>
    <t>SYNTH-BANK-000180</t>
  </si>
  <si>
    <t>SYNTH-BANK-REF-000180</t>
  </si>
  <si>
    <t>Synthetic settlement for SYNTH-BATCH-USD-2026-01-08-0002</t>
  </si>
  <si>
    <t>SYNTH-BANK-000181</t>
  </si>
  <si>
    <t>SYNTH-BANK-REF-000181</t>
  </si>
  <si>
    <t>Synthetic settlement for SYNTH-BATCH-USD-2026-01-09-0000</t>
  </si>
  <si>
    <t>SYNTH-BANK-000182</t>
  </si>
  <si>
    <t>SYNTH-BANK-REF-000182</t>
  </si>
  <si>
    <t>Synthetic settlement for SYNTH-BATCH-USD-2026-01-09-0001</t>
  </si>
  <si>
    <t>SYNTH-BANK-000183</t>
  </si>
  <si>
    <t>SYNTH-BANK-REF-000183</t>
  </si>
  <si>
    <t>Synthetic settlement for SYNTH-BATCH-USD-2026-01-09-0002</t>
  </si>
  <si>
    <t>SYNTH-BANK-000184</t>
  </si>
  <si>
    <t>SYNTH-BANK-REF-000184</t>
  </si>
  <si>
    <t>Synthetic settlement for SYNTH-BATCH-USD-2026-01-10-0000</t>
  </si>
  <si>
    <t>SYNTH-BANK-000185</t>
  </si>
  <si>
    <t>SYNTH-BANK-REF-000185</t>
  </si>
  <si>
    <t>Synthetic settlement for SYNTH-BATCH-USD-2026-01-10-0001</t>
  </si>
  <si>
    <t>SYNTH-BANK-000186</t>
  </si>
  <si>
    <t>SYNTH-BANK-REF-000186</t>
  </si>
  <si>
    <t>Synthetic settlement for SYNTH-BATCH-USD-2026-01-10-0002</t>
  </si>
  <si>
    <t>SYNTH-BANK-000187</t>
  </si>
  <si>
    <t>SYNTH-BANK-REF-000187</t>
  </si>
  <si>
    <t>Synthetic settlement for SYNTH-BATCH-USD-2026-01-11-0000</t>
  </si>
  <si>
    <t>SYNTH-BANK-000188</t>
  </si>
  <si>
    <t>SYNTH-BANK-REF-000188</t>
  </si>
  <si>
    <t>Synthetic settlement for SYNTH-BATCH-USD-2026-01-11-0001</t>
  </si>
  <si>
    <t>SYNTH-BANK-000189</t>
  </si>
  <si>
    <t>SYNTH-BANK-REF-000189</t>
  </si>
  <si>
    <t>Synthetic settlement for SYNTH-BATCH-USD-2026-01-11-0002</t>
  </si>
  <si>
    <t>SYNTH-BANK-000190</t>
  </si>
  <si>
    <t>SYNTH-BANK-REF-000190</t>
  </si>
  <si>
    <t>Synthetic settlement for SYNTH-BATCH-USD-2026-01-12-0000</t>
  </si>
  <si>
    <t>SYNTH-BANK-000191</t>
  </si>
  <si>
    <t>SYNTH-BANK-REF-000191</t>
  </si>
  <si>
    <t>Synthetic settlement for SYNTH-BATCH-USD-2026-01-12-0001</t>
  </si>
  <si>
    <t>SYNTH-BANK-000192</t>
  </si>
  <si>
    <t>SYNTH-BANK-REF-000192</t>
  </si>
  <si>
    <t>Synthetic settlement for SYNTH-BATCH-USD-2026-01-12-0002</t>
  </si>
  <si>
    <t>SYNTH-BANK-000193</t>
  </si>
  <si>
    <t>SYNTH-BANK-REF-000193</t>
  </si>
  <si>
    <t>Synthetic settlement for SYNTH-BATCH-USD-2026-01-13-0000</t>
  </si>
  <si>
    <t>SYNTH-BANK-000194</t>
  </si>
  <si>
    <t>SYNTH-BANK-REF-000194</t>
  </si>
  <si>
    <t>Synthetic settlement for SYNTH-BATCH-USD-2026-01-13-0001</t>
  </si>
  <si>
    <t>SYNTH-BANK-000195</t>
  </si>
  <si>
    <t>SYNTH-BANK-REF-000195</t>
  </si>
  <si>
    <t>Synthetic settlement for SYNTH-BATCH-USD-2026-01-13-0002</t>
  </si>
  <si>
    <t>SYNTH-BANK-000196</t>
  </si>
  <si>
    <t>SYNTH-BANK-REF-000196</t>
  </si>
  <si>
    <t>Synthetic settlement for SYNTH-BATCH-USD-2026-01-14-0000</t>
  </si>
  <si>
    <t>SYNTH-BANK-000197</t>
  </si>
  <si>
    <t>SYNTH-BANK-REF-000197</t>
  </si>
  <si>
    <t>Synthetic settlement for SYNTH-BATCH-USD-2026-01-14-0001</t>
  </si>
  <si>
    <t>SYNTH-BANK-000198</t>
  </si>
  <si>
    <t>SYNTH-BANK-REF-000198</t>
  </si>
  <si>
    <t>Synthetic settlement for SYNTH-BATCH-USD-2026-01-14-0002</t>
  </si>
  <si>
    <t>SYNTH-BANK-000199</t>
  </si>
  <si>
    <t>SYNTH-BANK-REF-000199</t>
  </si>
  <si>
    <t>Synthetic settlement for SYNTH-BATCH-USD-2026-01-15-0000</t>
  </si>
  <si>
    <t>SYNTH-BANK-000200</t>
  </si>
  <si>
    <t>SYNTH-BANK-REF-000200</t>
  </si>
  <si>
    <t>Synthetic settlement for SYNTH-BATCH-USD-2026-01-15-0001</t>
  </si>
  <si>
    <t>SYNTH-BANK-000201</t>
  </si>
  <si>
    <t>SYNTH-BANK-REF-000201</t>
  </si>
  <si>
    <t>Synthetic settlement for SYNTH-BATCH-USD-2026-01-15-0002</t>
  </si>
  <si>
    <t>SYNTH-BANK-000202</t>
  </si>
  <si>
    <t>SYNTH-BANK-REF-000202</t>
  </si>
  <si>
    <t>Synthetic settlement for SYNTH-BATCH-USD-2026-01-16-0000</t>
  </si>
  <si>
    <t>SYNTH-BANK-000203</t>
  </si>
  <si>
    <t>SYNTH-BANK-REF-000203</t>
  </si>
  <si>
    <t>Synthetic settlement for SYNTH-BATCH-USD-2026-01-16-0001</t>
  </si>
  <si>
    <t>SYNTH-BANK-000204</t>
  </si>
  <si>
    <t>SYNTH-BANK-REF-000204</t>
  </si>
  <si>
    <t>Synthetic settlement for SYNTH-BATCH-USD-2026-01-16-0002</t>
  </si>
  <si>
    <t>SYNTH-BANK-ONLY-000001</t>
  </si>
  <si>
    <t>SYNTH-BATCH-BANK-ONLY-000001</t>
  </si>
  <si>
    <t>SYNTH-BANK-ONLY-REF-000001</t>
  </si>
  <si>
    <t>Synthetic bank-only entry with no processor batch</t>
  </si>
  <si>
    <t>SYNTH-BANK-ONLY-000002</t>
  </si>
  <si>
    <t>SYNTH-BATCH-BANK-ONLY-000002</t>
  </si>
  <si>
    <t>SYNTH-BANK-ONLY-REF-000002</t>
  </si>
  <si>
    <t>SYNTH-BANK-ONLY-000003</t>
  </si>
  <si>
    <t>SYNTH-BATCH-BANK-ONLY-000003</t>
  </si>
  <si>
    <t>SYNTH-BANK-ONLY-REF-000003</t>
  </si>
  <si>
    <t>SYNTH-BANK-ONLY-000004</t>
  </si>
  <si>
    <t>SYNTH-BATCH-BANK-ONLY-000004</t>
  </si>
  <si>
    <t>SYNTH-BANK-ONLY-REF-000004</t>
  </si>
  <si>
    <t>SYNTH-BANK-ONLY-000005</t>
  </si>
  <si>
    <t>SYNTH-BATCH-BANK-ONLY-000005</t>
  </si>
  <si>
    <t>SYNTH-BANK-ONLY-REF-000005</t>
  </si>
  <si>
    <t>Banking Operations Reconciliation</t>
  </si>
  <si>
    <t>Reconciliation Objective</t>
  </si>
  <si>
    <t>Compare internal payment records against processor transactions and bank settlements.</t>
  </si>
  <si>
    <t>Internal Records</t>
  </si>
  <si>
    <t>Processor Records</t>
  </si>
  <si>
    <t>Bank Settlement Records</t>
  </si>
  <si>
    <t>gross_amount.1</t>
  </si>
  <si>
    <t>currency.1</t>
  </si>
  <si>
    <t>Processor_Match</t>
  </si>
  <si>
    <t>Matched</t>
  </si>
  <si>
    <t>Missing in Processor</t>
  </si>
  <si>
    <t>Gross_Amount_Clean</t>
  </si>
  <si>
    <t>Processor_Gross_Total</t>
  </si>
  <si>
    <t>Processor_Fee_Total</t>
  </si>
  <si>
    <t>Processor_Net_Total</t>
  </si>
  <si>
    <t>Processor_Event_Count</t>
  </si>
  <si>
    <t>Bank_Entry_Count</t>
  </si>
  <si>
    <t>Bank_Credited_Total</t>
  </si>
  <si>
    <t>Settlement_Status</t>
  </si>
  <si>
    <t>Settlement Amount Mismatch</t>
  </si>
  <si>
    <t>Missing in Bank</t>
  </si>
  <si>
    <t>Amount_Match</t>
  </si>
  <si>
    <t>Currency_Match</t>
  </si>
  <si>
    <t>Amount Mismatch</t>
  </si>
  <si>
    <t>Match</t>
  </si>
  <si>
    <t>Currency Mismatch</t>
  </si>
  <si>
    <t>Invalid_Gross_Amount</t>
  </si>
  <si>
    <t>BANKING OPERATIONS RECONCILIATION</t>
  </si>
  <si>
    <t>Settlement Monitoring &amp; Exception Reporting</t>
  </si>
  <si>
    <t>Total Internal Transactions</t>
  </si>
  <si>
    <t>Processor Match Rate</t>
  </si>
  <si>
    <t>Amount Mismatches</t>
  </si>
  <si>
    <t>Currency Mismatches</t>
  </si>
  <si>
    <t>SETTLEMENT MONITORING</t>
  </si>
  <si>
    <t>Missing Bank Batches</t>
  </si>
  <si>
    <t>Settlement Amount Mismatches</t>
  </si>
  <si>
    <t>Invalid Gross Amount Records</t>
  </si>
  <si>
    <t>Exception Category</t>
  </si>
  <si>
    <t>Count</t>
  </si>
  <si>
    <t>Settlement Status</t>
  </si>
  <si>
    <t>Batch Count</t>
  </si>
  <si>
    <t xml:space="preserve">  TRANSACTION QUALITY</t>
  </si>
  <si>
    <t>BANKING OPERATIONS — EXCEPTION LOG</t>
  </si>
  <si>
    <t>Exception ID</t>
  </si>
  <si>
    <t>Transaction / Batch ID</t>
  </si>
  <si>
    <t>Expected Value</t>
  </si>
  <si>
    <t>Actual Value</t>
  </si>
  <si>
    <t>Currency</t>
  </si>
  <si>
    <t>Exception Status</t>
  </si>
  <si>
    <t>Recommended Action</t>
  </si>
  <si>
    <t>Resolution Notes</t>
  </si>
  <si>
    <t>EX-001</t>
  </si>
  <si>
    <t>Open</t>
  </si>
  <si>
    <t>Compare internal and processor amounts</t>
  </si>
  <si>
    <t>Pending investigation</t>
  </si>
  <si>
    <t>EX-002</t>
  </si>
  <si>
    <t>Verify currency in both source records</t>
  </si>
  <si>
    <t>EX-003</t>
  </si>
  <si>
    <t>EX-004</t>
  </si>
  <si>
    <t>Compare net amount, fees, refunds, and bank credit</t>
  </si>
  <si>
    <t>EX-005</t>
  </si>
  <si>
    <t>Review the source value and correct if appropriate</t>
  </si>
  <si>
    <t>Track reconciliation discrepancies, investigation actions, and resolution status.</t>
  </si>
  <si>
    <t>Note: Populate this log with actual exception records. Do not mark an exception resolved until investigated.</t>
  </si>
  <si>
    <t>Metric</t>
  </si>
  <si>
    <t>Total Exceptions</t>
  </si>
  <si>
    <t>Open Exceptions</t>
  </si>
  <si>
    <t>Under Review</t>
  </si>
  <si>
    <t>Resolved Exceptions</t>
  </si>
  <si>
    <t>Column1</t>
  </si>
  <si>
    <t>Column2</t>
  </si>
  <si>
    <t>GPB</t>
  </si>
  <si>
    <t>Not Found</t>
  </si>
  <si>
    <t>Verify bank settlement entry</t>
  </si>
  <si>
    <t>Invalid Gross Amount</t>
  </si>
  <si>
    <t>NOT_A_NUMBER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</si>
</sst>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rial Unicode MS"/>
    </font>
    <font>
      <b/>
      <sz val="16"/>
      <color theme="3" tint="0.249977111117893"/>
      <name val="Aptos Narrow"/>
      <family val="2"/>
      <scheme val="minor"/>
    </font>
    <font>
      <b/>
      <sz val="16"/>
      <color theme="6"/>
      <name val="Aptos Narrow"/>
      <family val="2"/>
      <scheme val="minor"/>
    </font>
    <font>
      <b/>
      <sz val="16"/>
      <color theme="6"/>
      <name val="Arial Unicode MS"/>
    </font>
    <font>
      <b/>
      <sz val="16"/>
      <color rgb="FFC00000"/>
      <name val="Aptos Narrow"/>
      <family val="2"/>
      <scheme val="minor"/>
    </font>
    <font>
      <b/>
      <sz val="16"/>
      <color rgb="FFC00000"/>
      <name val="Arial Unicode MS"/>
    </font>
    <font>
      <sz val="16"/>
      <color theme="3" tint="0.249977111117893"/>
      <name val="Aptos Narrow"/>
      <family val="2"/>
      <scheme val="minor"/>
    </font>
    <font>
      <b/>
      <sz val="16"/>
      <color theme="5" tint="-0.249977111117893"/>
      <name val="Aptos Narrow"/>
      <family val="2"/>
      <scheme val="minor"/>
    </font>
    <font>
      <b/>
      <sz val="48"/>
      <color theme="3" tint="0.749992370372631"/>
      <name val="Aptos Narrow"/>
      <family val="2"/>
      <scheme val="minor"/>
    </font>
    <font>
      <sz val="36"/>
      <color theme="3" tint="0.74999237037263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36"/>
      <color theme="3" tint="0.249977111117893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28"/>
      <color theme="3" tint="0.89999084444715716"/>
      <name val="Aptos Narrow"/>
      <family val="2"/>
      <scheme val="minor"/>
    </font>
    <font>
      <sz val="20"/>
      <color theme="3" tint="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4"/>
      <color theme="3" tint="0.89999084444715716"/>
      <name val="Aptos Narrow"/>
      <family val="2"/>
      <scheme val="minor"/>
    </font>
    <font>
      <sz val="28"/>
      <color theme="3" tint="0.89999084444715716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AB9B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22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/>
    <xf numFmtId="0" fontId="4" fillId="0" borderId="0" xfId="0" applyFont="1"/>
    <xf numFmtId="0" fontId="0" fillId="0" borderId="1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0" fillId="0" borderId="8" xfId="0" applyFont="1" applyFill="1" applyBorder="1"/>
    <xf numFmtId="0" fontId="0" fillId="0" borderId="7" xfId="0" applyFont="1" applyFill="1" applyBorder="1" applyAlignment="1">
      <alignment wrapText="1"/>
    </xf>
    <xf numFmtId="0" fontId="0" fillId="0" borderId="0" xfId="0" applyFill="1"/>
    <xf numFmtId="0" fontId="23" fillId="0" borderId="7" xfId="0" applyFont="1" applyFill="1" applyBorder="1"/>
    <xf numFmtId="0" fontId="23" fillId="0" borderId="8" xfId="0" applyFont="1" applyFill="1" applyBorder="1"/>
    <xf numFmtId="0" fontId="23" fillId="0" borderId="9" xfId="0" applyFont="1" applyFill="1" applyBorder="1"/>
    <xf numFmtId="0" fontId="0" fillId="0" borderId="9" xfId="0" applyFont="1" applyFill="1" applyBorder="1"/>
    <xf numFmtId="22" fontId="0" fillId="0" borderId="8" xfId="0" applyNumberFormat="1" applyFont="1" applyFill="1" applyBorder="1"/>
    <xf numFmtId="0" fontId="24" fillId="0" borderId="0" xfId="0" applyFont="1" applyAlignment="1">
      <alignment horizontal="left" vertical="center"/>
    </xf>
    <xf numFmtId="0" fontId="27" fillId="2" borderId="0" xfId="0" applyFont="1" applyFill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/>
    </xf>
    <xf numFmtId="0" fontId="25" fillId="0" borderId="1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/>
    <xf numFmtId="0" fontId="4" fillId="0" borderId="0" xfId="0" applyFont="1" applyAlignment="1">
      <alignment vertical="center"/>
    </xf>
    <xf numFmtId="0" fontId="13" fillId="7" borderId="13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28" fillId="0" borderId="10" xfId="0" applyFont="1" applyBorder="1"/>
    <xf numFmtId="0" fontId="28" fillId="0" borderId="0" xfId="0" applyFont="1" applyBorder="1"/>
    <xf numFmtId="0" fontId="4" fillId="0" borderId="1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 wrapText="1"/>
    </xf>
    <xf numFmtId="0" fontId="29" fillId="0" borderId="3" xfId="0" applyFont="1" applyBorder="1"/>
    <xf numFmtId="0" fontId="29" fillId="0" borderId="4" xfId="0" applyFont="1" applyBorder="1"/>
    <xf numFmtId="0" fontId="29" fillId="0" borderId="1" xfId="0" applyFont="1" applyBorder="1"/>
    <xf numFmtId="0" fontId="29" fillId="0" borderId="2" xfId="0" applyFont="1" applyBorder="1"/>
    <xf numFmtId="0" fontId="30" fillId="0" borderId="1" xfId="0" applyFont="1" applyBorder="1"/>
    <xf numFmtId="0" fontId="29" fillId="0" borderId="5" xfId="0" applyFont="1" applyBorder="1"/>
    <xf numFmtId="0" fontId="29" fillId="0" borderId="6" xfId="0" applyFont="1" applyBorder="1"/>
    <xf numFmtId="0" fontId="29" fillId="0" borderId="0" xfId="0" applyFont="1"/>
    <xf numFmtId="0" fontId="30" fillId="0" borderId="5" xfId="0" applyFont="1" applyBorder="1"/>
    <xf numFmtId="0" fontId="30" fillId="0" borderId="6" xfId="0" applyFont="1" applyBorder="1"/>
  </cellXfs>
  <cellStyles count="1">
    <cellStyle name="Normal" xfId="0" builtinId="0"/>
  </cellStyles>
  <dxfs count="122">
    <dxf>
      <font>
        <b/>
        <strike val="0"/>
        <outline val="0"/>
        <shadow val="0"/>
        <u val="none"/>
        <vertAlign val="baseline"/>
        <sz val="18"/>
        <color theme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8"/>
        <color theme="1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color theme="1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color theme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8"/>
        <color theme="1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 Unicode MS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DAB9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200" b="0" i="0" u="none" strike="noStrike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Exception Breakdown</a:t>
            </a:r>
            <a:endParaRPr lang="en-IN" sz="3200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KPI_Dashboard!$L$2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KPI_Dashboard!$K$3:$K$7</c:f>
              <c:strCache>
                <c:ptCount val="5"/>
                <c:pt idx="0">
                  <c:v>Amount Mismatches</c:v>
                </c:pt>
                <c:pt idx="1">
                  <c:v>Currency Mismatches</c:v>
                </c:pt>
                <c:pt idx="2">
                  <c:v>Missing Bank Batches</c:v>
                </c:pt>
                <c:pt idx="3">
                  <c:v>Settlement Amount Mismatches</c:v>
                </c:pt>
                <c:pt idx="4">
                  <c:v>Invalid Gross Amount Records</c:v>
                </c:pt>
              </c:strCache>
            </c:strRef>
          </c:cat>
          <c:val>
            <c:numRef>
              <c:f>KPI_Dashboard!$L$3:$L$7</c:f>
              <c:numCache>
                <c:formatCode>General</c:formatCode>
                <c:ptCount val="5"/>
                <c:pt idx="0">
                  <c:v>60</c:v>
                </c:pt>
                <c:pt idx="1">
                  <c:v>10</c:v>
                </c:pt>
                <c:pt idx="2">
                  <c:v>25</c:v>
                </c:pt>
                <c:pt idx="3">
                  <c:v>37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C-4772-9336-560EE330F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8325167"/>
        <c:axId val="1168354447"/>
      </c:barChart>
      <c:catAx>
        <c:axId val="1168325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354447"/>
        <c:crosses val="autoZero"/>
        <c:auto val="1"/>
        <c:lblAlgn val="ctr"/>
        <c:lblOffset val="100"/>
        <c:noMultiLvlLbl val="0"/>
      </c:catAx>
      <c:valAx>
        <c:axId val="116835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32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10000"/>
        <a:lumOff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ln>
                  <a:noFill/>
                </a:ln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200">
                <a:solidFill>
                  <a:schemeClr val="tx2">
                    <a:lumMod val="75000"/>
                    <a:lumOff val="25000"/>
                  </a:schemeClr>
                </a:solidFill>
              </a:rPr>
              <a:t>Settlement Status Distribution</a:t>
            </a:r>
            <a:endParaRPr lang="en-US" sz="3200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ln>
                <a:noFill/>
              </a:ln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KPI_Dashboard!$N$2</c:f>
              <c:strCache>
                <c:ptCount val="1"/>
                <c:pt idx="0">
                  <c:v>Batch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A9-4BDE-869C-7FFBF290F6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A9-4BDE-869C-7FFBF290F6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A9-4BDE-869C-7FFBF290F6BF}"/>
              </c:ext>
            </c:extLst>
          </c:dPt>
          <c:cat>
            <c:strRef>
              <c:f>KPI_Dashboard!$M$3:$M$5</c:f>
              <c:strCache>
                <c:ptCount val="3"/>
                <c:pt idx="0">
                  <c:v>Matched</c:v>
                </c:pt>
                <c:pt idx="1">
                  <c:v>Missing in Bank</c:v>
                </c:pt>
                <c:pt idx="2">
                  <c:v>Settlement Amount Mismatch</c:v>
                </c:pt>
              </c:strCache>
            </c:strRef>
          </c:cat>
          <c:val>
            <c:numRef>
              <c:f>KPI_Dashboard!$N$3:$N$5</c:f>
              <c:numCache>
                <c:formatCode>General</c:formatCode>
                <c:ptCount val="3"/>
                <c:pt idx="0">
                  <c:v>157</c:v>
                </c:pt>
                <c:pt idx="1">
                  <c:v>25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3-4A9B-8572-F86755410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74207271553065"/>
          <c:y val="0.36000505253757825"/>
          <c:w val="0.29285248308782291"/>
          <c:h val="0.352114754895245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ln>
                <a:noFill/>
              </a:ln>
              <a:solidFill>
                <a:schemeClr val="tx2">
                  <a:lumMod val="75000"/>
                  <a:lumOff val="25000"/>
                </a:schemeClr>
              </a:solidFill>
              <a:effectLst>
                <a:outerShdw blurRad="50800" dir="5400000" sx="1000" sy="1000" algn="ctr" rotWithShape="0">
                  <a:srgbClr val="000000">
                    <a:alpha val="43137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2">
          <a:lumMod val="10000"/>
          <a:lumOff val="90000"/>
        </a:schemeClr>
      </a:solidFill>
      <a:round/>
    </a:ln>
    <a:effectLst>
      <a:outerShdw blurRad="50800" dist="38100" dir="8100000" algn="tr" rotWithShape="0">
        <a:schemeClr val="tx2">
          <a:lumMod val="25000"/>
          <a:lumOff val="75000"/>
          <a:alpha val="40000"/>
        </a:schemeClr>
      </a:outerShdw>
    </a:effectLst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346743</xdr:colOff>
      <xdr:row>24</xdr:row>
      <xdr:rowOff>44443</xdr:rowOff>
    </xdr:from>
    <xdr:to>
      <xdr:col>2</xdr:col>
      <xdr:colOff>2857500</xdr:colOff>
      <xdr:row>47</xdr:row>
      <xdr:rowOff>114301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192AE2-BB13-94D7-CF1A-6A2A491BB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189807</xdr:colOff>
      <xdr:row>24</xdr:row>
      <xdr:rowOff>23225</xdr:rowOff>
    </xdr:from>
    <xdr:to>
      <xdr:col>7</xdr:col>
      <xdr:colOff>30725</xdr:colOff>
      <xdr:row>47</xdr:row>
      <xdr:rowOff>126234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777B7-72FD-1D51-ADC5-C6DB96948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264584</xdr:colOff>
      <xdr:row>5</xdr:row>
      <xdr:rowOff>26460</xdr:rowOff>
    </xdr:from>
    <xdr:to>
      <xdr:col>0</xdr:col>
      <xdr:colOff>3499884</xdr:colOff>
      <xdr:row>10</xdr:row>
      <xdr:rowOff>173870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9F54CA2-0566-B618-3658-194703F0E663}"/>
            </a:ext>
          </a:extLst>
        </xdr:cNvPr>
        <xdr:cNvSpPr txBox="1"/>
      </xdr:nvSpPr>
      <xdr:spPr>
        <a:xfrm>
          <a:off x="264584" y="2645835"/>
          <a:ext cx="3235300" cy="222249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177800" dist="38100" dir="4980000" sx="99000" sy="99000" algn="t" rotWithShape="0">
            <a:schemeClr val="tx2">
              <a:lumMod val="50000"/>
              <a:lumOff val="50000"/>
            </a:schemeClr>
          </a:outerShdw>
          <a:softEdge rad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000" b="1"/>
            <a:t>Total Internal Transactions</a:t>
          </a:r>
          <a:br>
            <a:rPr lang="en-IN" sz="3000" b="1"/>
          </a:br>
          <a:br>
            <a:rPr lang="en-IN" sz="3000" b="1"/>
          </a:br>
          <a:r>
            <a:rPr lang="en-IN" sz="3000" b="1"/>
            <a:t>1080</a:t>
          </a:r>
        </a:p>
      </xdr:txBody>
    </xdr:sp>
    <xdr:clientData/>
  </xdr:twoCellAnchor>
  <xdr:twoCellAnchor>
    <xdr:from>
      <xdr:col>1</xdr:col>
      <xdr:colOff>265814</xdr:colOff>
      <xdr:row>5</xdr:row>
      <xdr:rowOff>1</xdr:rowOff>
    </xdr:from>
    <xdr:to>
      <xdr:col>2</xdr:col>
      <xdr:colOff>2923953</xdr:colOff>
      <xdr:row>10</xdr:row>
      <xdr:rowOff>147411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0CEC2A-AA7D-4907-84BA-4D944BC8B59F}"/>
            </a:ext>
          </a:extLst>
        </xdr:cNvPr>
        <xdr:cNvSpPr txBox="1"/>
      </xdr:nvSpPr>
      <xdr:spPr>
        <a:xfrm>
          <a:off x="3803671" y="2619376"/>
          <a:ext cx="3474568" cy="222249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177800" dist="38100" dir="4980000" sx="99000" sy="99000" algn="t" rotWithShape="0">
            <a:schemeClr val="tx2">
              <a:lumMod val="50000"/>
              <a:lumOff val="50000"/>
            </a:schemeClr>
          </a:outerShdw>
          <a:softEdge rad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  <a:t>Processor </a:t>
          </a:r>
        </a:p>
        <a:p>
          <a:pPr marL="0" indent="0" algn="ctr"/>
          <a: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  <a:t>Match Rate</a:t>
          </a:r>
          <a:b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</a:br>
          <a:b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  <a:t>98.1%</a:t>
          </a:r>
        </a:p>
      </xdr:txBody>
    </xdr:sp>
    <xdr:clientData/>
  </xdr:twoCellAnchor>
  <xdr:twoCellAnchor>
    <xdr:from>
      <xdr:col>3</xdr:col>
      <xdr:colOff>155059</xdr:colOff>
      <xdr:row>4</xdr:row>
      <xdr:rowOff>587796</xdr:rowOff>
    </xdr:from>
    <xdr:to>
      <xdr:col>4</xdr:col>
      <xdr:colOff>2613837</xdr:colOff>
      <xdr:row>10</xdr:row>
      <xdr:rowOff>147410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A00436B-8DC7-44C0-84F8-96FDC1BF93E8}"/>
            </a:ext>
          </a:extLst>
        </xdr:cNvPr>
        <xdr:cNvSpPr txBox="1"/>
      </xdr:nvSpPr>
      <xdr:spPr>
        <a:xfrm>
          <a:off x="7570952" y="2594850"/>
          <a:ext cx="3479314" cy="2247024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177800" dist="38100" dir="4980000" sx="99000" sy="99000" algn="t" rotWithShape="0">
            <a:schemeClr val="tx2">
              <a:lumMod val="50000"/>
              <a:lumOff val="50000"/>
            </a:schemeClr>
          </a:outerShdw>
          <a:softEdge rad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  <a:t>Amount </a:t>
          </a:r>
        </a:p>
        <a:p>
          <a:pPr marL="0" indent="0" algn="ctr"/>
          <a: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  <a:t>Mismatches</a:t>
          </a:r>
          <a:b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</a:br>
          <a:b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  <a:t>60</a:t>
          </a:r>
        </a:p>
      </xdr:txBody>
    </xdr:sp>
    <xdr:clientData/>
  </xdr:twoCellAnchor>
  <xdr:twoCellAnchor>
    <xdr:from>
      <xdr:col>5</xdr:col>
      <xdr:colOff>173221</xdr:colOff>
      <xdr:row>4</xdr:row>
      <xdr:rowOff>586468</xdr:rowOff>
    </xdr:from>
    <xdr:to>
      <xdr:col>6</xdr:col>
      <xdr:colOff>2901803</xdr:colOff>
      <xdr:row>10</xdr:row>
      <xdr:rowOff>128361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8A756D1-1761-46EF-921B-89E7B6D517AE}"/>
            </a:ext>
          </a:extLst>
        </xdr:cNvPr>
        <xdr:cNvSpPr txBox="1"/>
      </xdr:nvSpPr>
      <xdr:spPr>
        <a:xfrm>
          <a:off x="11331078" y="2593522"/>
          <a:ext cx="3340904" cy="222930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177800" dist="38100" dir="4980000" sx="99000" sy="99000" algn="t" rotWithShape="0">
            <a:schemeClr val="tx2">
              <a:lumMod val="50000"/>
              <a:lumOff val="50000"/>
            </a:schemeClr>
          </a:outerShdw>
          <a:softEdge rad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  <a:t>Currency Mismatches</a:t>
          </a:r>
          <a:b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</a:br>
          <a:b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>
    <xdr:from>
      <xdr:col>0</xdr:col>
      <xdr:colOff>272142</xdr:colOff>
      <xdr:row>14</xdr:row>
      <xdr:rowOff>35630</xdr:rowOff>
    </xdr:from>
    <xdr:to>
      <xdr:col>2</xdr:col>
      <xdr:colOff>816427</xdr:colOff>
      <xdr:row>22</xdr:row>
      <xdr:rowOff>136078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997F9DE-7FE8-4FE8-AB1B-B96F1B024E5C}"/>
            </a:ext>
          </a:extLst>
        </xdr:cNvPr>
        <xdr:cNvSpPr txBox="1"/>
      </xdr:nvSpPr>
      <xdr:spPr>
        <a:xfrm>
          <a:off x="272142" y="6856759"/>
          <a:ext cx="4876624" cy="157528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177800" dist="38100" dir="4980000" sx="99000" sy="99000" algn="t" rotWithShape="0">
            <a:schemeClr val="tx2">
              <a:lumMod val="50000"/>
              <a:lumOff val="50000"/>
            </a:schemeClr>
          </a:outerShdw>
          <a:softEdge rad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/>
            <a:t>Missing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/>
            <a:t>Bank Batches</a:t>
          </a:r>
          <a:br>
            <a:rPr lang="en-IN" sz="2800" b="1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IN" sz="2800" b="1">
              <a:solidFill>
                <a:schemeClr val="dk1"/>
              </a:solidFill>
              <a:latin typeface="+mn-lt"/>
              <a:ea typeface="+mn-ea"/>
              <a:cs typeface="+mn-cs"/>
            </a:rPr>
            <a:t>25</a:t>
          </a:r>
        </a:p>
      </xdr:txBody>
    </xdr:sp>
    <xdr:clientData/>
  </xdr:twoCellAnchor>
  <xdr:twoCellAnchor>
    <xdr:from>
      <xdr:col>2</xdr:col>
      <xdr:colOff>1122588</xdr:colOff>
      <xdr:row>14</xdr:row>
      <xdr:rowOff>9172</xdr:rowOff>
    </xdr:from>
    <xdr:to>
      <xdr:col>4</xdr:col>
      <xdr:colOff>1156606</xdr:colOff>
      <xdr:row>22</xdr:row>
      <xdr:rowOff>136079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F5F9392-25E5-4BEB-9862-C3DF16BF3C8E}"/>
            </a:ext>
          </a:extLst>
        </xdr:cNvPr>
        <xdr:cNvSpPr txBox="1"/>
      </xdr:nvSpPr>
      <xdr:spPr>
        <a:xfrm>
          <a:off x="5454927" y="6830301"/>
          <a:ext cx="4089824" cy="1601746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177800" dist="38100" dir="4980000" sx="99000" sy="99000" algn="t" rotWithShape="0">
            <a:schemeClr val="tx2">
              <a:lumMod val="50000"/>
              <a:lumOff val="50000"/>
            </a:schemeClr>
          </a:outerShdw>
          <a:softEdge rad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2800" b="1"/>
            <a:t>Settlement Amount Mismatches</a:t>
          </a:r>
          <a:b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  <a:t>37</a:t>
          </a:r>
        </a:p>
      </xdr:txBody>
    </xdr:sp>
    <xdr:clientData/>
  </xdr:twoCellAnchor>
  <xdr:twoCellAnchor>
    <xdr:from>
      <xdr:col>4</xdr:col>
      <xdr:colOff>1428750</xdr:colOff>
      <xdr:row>14</xdr:row>
      <xdr:rowOff>-1</xdr:rowOff>
    </xdr:from>
    <xdr:to>
      <xdr:col>7</xdr:col>
      <xdr:colOff>-1</xdr:colOff>
      <xdr:row>22</xdr:row>
      <xdr:rowOff>136077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B254F7D-C8FD-4ED7-8225-78DF57C8A1F7}"/>
            </a:ext>
          </a:extLst>
        </xdr:cNvPr>
        <xdr:cNvSpPr txBox="1"/>
      </xdr:nvSpPr>
      <xdr:spPr>
        <a:xfrm>
          <a:off x="9810750" y="6313713"/>
          <a:ext cx="4803320" cy="190500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177800" dist="38100" dir="4980000" sx="99000" sy="99000" algn="t" rotWithShape="0">
            <a:schemeClr val="tx2">
              <a:lumMod val="50000"/>
              <a:lumOff val="50000"/>
            </a:schemeClr>
          </a:outerShdw>
          <a:softEdge rad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2800" b="1">
              <a:solidFill>
                <a:schemeClr val="dk1"/>
              </a:solidFill>
              <a:latin typeface="+mn-lt"/>
              <a:ea typeface="+mn-ea"/>
              <a:cs typeface="+mn-cs"/>
            </a:rPr>
            <a:t>Invalid</a:t>
          </a:r>
          <a:r>
            <a:rPr lang="en-IN" sz="28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Gross</a:t>
          </a:r>
        </a:p>
        <a:p>
          <a:pPr marL="0" indent="0" algn="ctr"/>
          <a:r>
            <a:rPr lang="en-IN" sz="28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Amount Records</a:t>
          </a:r>
          <a:r>
            <a:rPr lang="en-IN" sz="2800" b="1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b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IN" sz="3000" b="1">
              <a:solidFill>
                <a:schemeClr val="dk1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7D32CA62-5BCE-4D01-B7A3-49CC617169F2}" autoFormatId="16" applyNumberFormats="0" applyBorderFormats="0" applyFontFormats="0" applyPatternFormats="0" applyAlignmentFormats="0" applyWidthHeightFormats="0">
  <queryTableRefresh nextId="12">
    <queryTableFields count="11">
      <queryTableField id="1" name="processor_transaction_id" tableColumnId="1"/>
      <queryTableField id="2" name="merchant_order_id" tableColumnId="2"/>
      <queryTableField id="3" name="processor_event_type" tableColumnId="3"/>
      <queryTableField id="4" name="processor_event_time" tableColumnId="4"/>
      <queryTableField id="5" name="gross_amount" tableColumnId="5"/>
      <queryTableField id="6" name="fee_amount" tableColumnId="6"/>
      <queryTableField id="7" name="net_amount" tableColumnId="7"/>
      <queryTableField id="8" name="currency" tableColumnId="8"/>
      <queryTableField id="9" name="settlement_batch_id" tableColumnId="9"/>
      <queryTableField id="10" name="processor_status" tableColumnId="10"/>
      <queryTableField id="11" name="Gross_Amount_Clean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54A2394-7F1D-453C-B7C0-7481FD6E6916}" autoFormatId="16" applyNumberFormats="0" applyBorderFormats="0" applyFontFormats="0" applyPatternFormats="0" applyAlignmentFormats="0" applyWidthHeightFormats="0">
  <queryTableRefresh nextId="8">
    <queryTableFields count="7">
      <queryTableField id="1" name="bank_entry_id" tableColumnId="1"/>
      <queryTableField id="2" name="settlement_batch_id" tableColumnId="2"/>
      <queryTableField id="3" name="booked_at" tableColumnId="3"/>
      <queryTableField id="4" name="credited_amount" tableColumnId="4"/>
      <queryTableField id="5" name="currency" tableColumnId="5"/>
      <queryTableField id="6" name="bank_reference" tableColumnId="6"/>
      <queryTableField id="7" name="descriptio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5" xr16:uid="{4802077A-7D5D-4221-A332-5F0E1B2EE27A}" autoFormatId="16" applyNumberFormats="0" applyBorderFormats="0" applyFontFormats="0" applyPatternFormats="0" applyAlignmentFormats="0" applyWidthHeightFormats="0">
  <queryTableRefresh nextId="13">
    <queryTableFields count="12">
      <queryTableField id="1" name="processor_transaction_id" tableColumnId="1"/>
      <queryTableField id="2" name="merchant_order_id" tableColumnId="2"/>
      <queryTableField id="3" name="processor_event_type" tableColumnId="3"/>
      <queryTableField id="4" name="processor_event_time" tableColumnId="4"/>
      <queryTableField id="5" name="gross_amount" tableColumnId="5"/>
      <queryTableField id="6" name="fee_amount" tableColumnId="6"/>
      <queryTableField id="7" name="net_amount" tableColumnId="7"/>
      <queryTableField id="8" name="currency" tableColumnId="8"/>
      <queryTableField id="9" name="settlement_batch_id" tableColumnId="9"/>
      <queryTableField id="10" name="processor_status" tableColumnId="10"/>
      <queryTableField id="11" name="Gross_Amount_Clean" tableColumnId="11"/>
      <queryTableField id="12" name="Invalid_Gross_Amount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2" xr16:uid="{4B5DE81F-0D5E-49D5-B156-B479843357EF}" autoFormatId="16" applyNumberFormats="0" applyBorderFormats="0" applyFontFormats="0" applyPatternFormats="0" applyAlignmentFormats="0" applyWidthHeightFormats="0">
  <queryTableRefresh nextId="21">
    <queryTableFields count="20">
      <queryTableField id="1" name="internal_payment_id" tableColumnId="1"/>
      <queryTableField id="2" name="merchant_order_id" tableColumnId="2"/>
      <queryTableField id="3" name="occurred_at" tableColumnId="3"/>
      <queryTableField id="4" name="gross_amount" tableColumnId="4"/>
      <queryTableField id="5" name="currency" tableColumnId="5"/>
      <queryTableField id="6" name="payment_status" tableColumnId="6"/>
      <queryTableField id="7" name="payment_method" tableColumnId="7"/>
      <queryTableField id="8" name="synthetic_customer_reference" tableColumnId="8"/>
      <queryTableField id="9" name="processor_transaction_id" tableColumnId="9"/>
      <queryTableField id="10" name="processor_event_type" tableColumnId="10"/>
      <queryTableField id="11" name="processor_event_time" tableColumnId="11"/>
      <queryTableField id="12" name="gross_amount.1" tableColumnId="12"/>
      <queryTableField id="13" name="fee_amount" tableColumnId="13"/>
      <queryTableField id="14" name="net_amount" tableColumnId="14"/>
      <queryTableField id="15" name="currency.1" tableColumnId="15"/>
      <queryTableField id="16" name="settlement_batch_id" tableColumnId="16"/>
      <queryTableField id="17" name="processor_status" tableColumnId="17"/>
      <queryTableField id="18" name="Processor_Match" tableColumnId="18"/>
      <queryTableField id="19" name="Amount_Match" tableColumnId="19"/>
      <queryTableField id="20" name="Currency_Match" tableColumnId="2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4" xr16:uid="{EE3FFD02-CE3E-46AD-B207-BD6BB86B8509}" autoFormatId="16" applyNumberFormats="0" applyBorderFormats="0" applyFontFormats="0" applyPatternFormats="0" applyAlignmentFormats="0" applyWidthHeightFormats="0">
  <queryTableRefresh nextId="21">
    <queryTableFields count="20">
      <queryTableField id="1" name="internal_payment_id" tableColumnId="1"/>
      <queryTableField id="2" name="merchant_order_id" tableColumnId="2"/>
      <queryTableField id="3" name="occurred_at" tableColumnId="3"/>
      <queryTableField id="4" name="gross_amount" tableColumnId="4"/>
      <queryTableField id="5" name="currency" tableColumnId="5"/>
      <queryTableField id="6" name="payment_status" tableColumnId="6"/>
      <queryTableField id="7" name="payment_method" tableColumnId="7"/>
      <queryTableField id="8" name="synthetic_customer_reference" tableColumnId="8"/>
      <queryTableField id="9" name="processor_transaction_id" tableColumnId="9"/>
      <queryTableField id="10" name="processor_event_type" tableColumnId="10"/>
      <queryTableField id="11" name="processor_event_time" tableColumnId="11"/>
      <queryTableField id="12" name="gross_amount.1" tableColumnId="12"/>
      <queryTableField id="13" name="fee_amount" tableColumnId="13"/>
      <queryTableField id="14" name="net_amount" tableColumnId="14"/>
      <queryTableField id="15" name="currency.1" tableColumnId="15"/>
      <queryTableField id="16" name="settlement_batch_id" tableColumnId="16"/>
      <queryTableField id="17" name="processor_status" tableColumnId="17"/>
      <queryTableField id="18" name="Processor_Match" tableColumnId="18"/>
      <queryTableField id="19" name="Amount_Match" tableColumnId="19"/>
      <queryTableField id="20" name="Currency_Match" tableColumnId="2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0C438A4A-FB2F-4585-BF22-D367E2709F73}" autoFormatId="16" applyNumberFormats="0" applyBorderFormats="0" applyFontFormats="0" applyPatternFormats="0" applyAlignmentFormats="0" applyWidthHeightFormats="0">
  <queryTableRefresh nextId="21">
    <queryTableFields count="20">
      <queryTableField id="1" name="internal_payment_id" tableColumnId="1"/>
      <queryTableField id="2" name="merchant_order_id" tableColumnId="2"/>
      <queryTableField id="3" name="occurred_at" tableColumnId="3"/>
      <queryTableField id="4" name="gross_amount" tableColumnId="4"/>
      <queryTableField id="5" name="currency" tableColumnId="5"/>
      <queryTableField id="6" name="payment_status" tableColumnId="6"/>
      <queryTableField id="7" name="payment_method" tableColumnId="7"/>
      <queryTableField id="8" name="synthetic_customer_reference" tableColumnId="8"/>
      <queryTableField id="9" name="processor_transaction_id" tableColumnId="9"/>
      <queryTableField id="10" name="processor_event_type" tableColumnId="10"/>
      <queryTableField id="11" name="processor_event_time" tableColumnId="11"/>
      <queryTableField id="12" name="gross_amount.1" tableColumnId="12"/>
      <queryTableField id="13" name="fee_amount" tableColumnId="13"/>
      <queryTableField id="14" name="net_amount" tableColumnId="14"/>
      <queryTableField id="15" name="currency.1" tableColumnId="15"/>
      <queryTableField id="16" name="settlement_batch_id" tableColumnId="16"/>
      <queryTableField id="17" name="processor_status" tableColumnId="17"/>
      <queryTableField id="18" name="Processor_Match" tableColumnId="18"/>
      <queryTableField id="19" name="Amount_Match" tableColumnId="19"/>
      <queryTableField id="20" name="Currency_Match" tableColumnId="2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2B66EC3F-A79E-49B1-BC80-633A75BC989B}" autoFormatId="16" applyNumberFormats="0" applyBorderFormats="0" applyFontFormats="0" applyPatternFormats="0" applyAlignmentFormats="0" applyWidthHeightFormats="0">
  <queryTableRefresh nextId="10">
    <queryTableFields count="9">
      <queryTableField id="1" name="settlement_batch_id" tableColumnId="1"/>
      <queryTableField id="2" name="currency" tableColumnId="2"/>
      <queryTableField id="3" name="Processor_Gross_Total" tableColumnId="3"/>
      <queryTableField id="4" name="Processor_Fee_Total" tableColumnId="4"/>
      <queryTableField id="5" name="Processor_Net_Total" tableColumnId="5"/>
      <queryTableField id="6" name="Processor_Event_Count" tableColumnId="6"/>
      <queryTableField id="7" name="Bank_Entry_Count" tableColumnId="7"/>
      <queryTableField id="8" name="Bank_Credited_Total" tableColumnId="8"/>
      <queryTableField id="9" name="Settlement_Status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90F8310E-A6BD-4FF5-8F63-54D18F6D4BD3}" autoFormatId="16" applyNumberFormats="0" applyBorderFormats="0" applyFontFormats="0" applyPatternFormats="0" applyAlignmentFormats="0" applyWidthHeightFormats="0">
  <queryTableRefresh nextId="10">
    <queryTableFields count="9">
      <queryTableField id="1" name="settlement_batch_id" tableColumnId="1"/>
      <queryTableField id="2" name="currency" tableColumnId="2"/>
      <queryTableField id="3" name="Processor_Gross_Total" tableColumnId="3"/>
      <queryTableField id="4" name="Processor_Fee_Total" tableColumnId="4"/>
      <queryTableField id="5" name="Processor_Net_Total" tableColumnId="5"/>
      <queryTableField id="6" name="Processor_Event_Count" tableColumnId="6"/>
      <queryTableField id="7" name="Bank_Entry_Count" tableColumnId="7"/>
      <queryTableField id="8" name="Bank_Credited_Total" tableColumnId="8"/>
      <queryTableField id="9" name="Settlement_Status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C947AA69-6E79-4054-A6D7-C83B91DBE319}" autoFormatId="16" applyNumberFormats="0" applyBorderFormats="0" applyFontFormats="0" applyPatternFormats="0" applyAlignmentFormats="0" applyWidthHeightFormats="0">
  <queryTableRefresh nextId="5">
    <queryTableFields count="4">
      <queryTableField id="1" name="settlement_batch_id" tableColumnId="1"/>
      <queryTableField id="2" name="currency" tableColumnId="2"/>
      <queryTableField id="3" name="Bank_Entry_Count" tableColumnId="3"/>
      <queryTableField id="4" name="Bank_Credited_Total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B59DE977-97F6-4766-9149-668A35F14489}" autoFormatId="16" applyNumberFormats="0" applyBorderFormats="0" applyFontFormats="0" applyPatternFormats="0" applyAlignmentFormats="0" applyWidthHeightFormats="0">
  <queryTableRefresh nextId="7">
    <queryTableFields count="6">
      <queryTableField id="1" name="settlement_batch_id" tableColumnId="1"/>
      <queryTableField id="2" name="currency" tableColumnId="2"/>
      <queryTableField id="3" name="Processor_Gross_Total" tableColumnId="3"/>
      <queryTableField id="4" name="Processor_Fee_Total" tableColumnId="4"/>
      <queryTableField id="5" name="Processor_Net_Total" tableColumnId="5"/>
      <queryTableField id="6" name="Processor_Event_Count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BC6681D1-162E-4D63-AA07-8FD5435B965C}" autoFormatId="16" applyNumberFormats="0" applyBorderFormats="0" applyFontFormats="0" applyPatternFormats="0" applyAlignmentFormats="0" applyWidthHeightFormats="0">
  <queryTableRefresh nextId="21">
    <queryTableFields count="20">
      <queryTableField id="1" name="internal_payment_id" tableColumnId="1"/>
      <queryTableField id="2" name="merchant_order_id" tableColumnId="2"/>
      <queryTableField id="3" name="occurred_at" tableColumnId="3"/>
      <queryTableField id="4" name="gross_amount" tableColumnId="4"/>
      <queryTableField id="5" name="currency" tableColumnId="5"/>
      <queryTableField id="6" name="payment_status" tableColumnId="6"/>
      <queryTableField id="7" name="payment_method" tableColumnId="7"/>
      <queryTableField id="8" name="synthetic_customer_reference" tableColumnId="8"/>
      <queryTableField id="9" name="processor_transaction_id" tableColumnId="9"/>
      <queryTableField id="10" name="processor_event_type" tableColumnId="10"/>
      <queryTableField id="11" name="processor_event_time" tableColumnId="11"/>
      <queryTableField id="12" name="gross_amount.1" tableColumnId="12"/>
      <queryTableField id="13" name="fee_amount" tableColumnId="13"/>
      <queryTableField id="14" name="net_amount" tableColumnId="14"/>
      <queryTableField id="15" name="currency.1" tableColumnId="15"/>
      <queryTableField id="16" name="settlement_batch_id" tableColumnId="16"/>
      <queryTableField id="17" name="processor_status" tableColumnId="17"/>
      <queryTableField id="18" name="Processor_Match" tableColumnId="18"/>
      <queryTableField id="19" name="Amount_Match" tableColumnId="19"/>
      <queryTableField id="20" name="Currency_Match" tableColumnId="2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AE6D0D5-FC15-45B6-903A-84D3F473D8A8}" autoFormatId="16" applyNumberFormats="0" applyBorderFormats="0" applyFontFormats="0" applyPatternFormats="0" applyAlignmentFormats="0" applyWidthHeightFormats="0">
  <queryTableRefresh nextId="9">
    <queryTableFields count="8">
      <queryTableField id="1" name="internal_payment_id" tableColumnId="1"/>
      <queryTableField id="2" name="merchant_order_id" tableColumnId="2"/>
      <queryTableField id="3" name="occurred_at" tableColumnId="3"/>
      <queryTableField id="4" name="gross_amount" tableColumnId="4"/>
      <queryTableField id="5" name="currency" tableColumnId="5"/>
      <queryTableField id="6" name="payment_status" tableColumnId="6"/>
      <queryTableField id="7" name="payment_method" tableColumnId="7"/>
      <queryTableField id="8" name="synthetic_customer_referenc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33703E-A09B-4A4F-A8DF-0905A31E31FC}" name="Processor_Transactions" displayName="Processor_Transactions" ref="A1:K1076" tableType="queryTable" totalsRowShown="0">
  <autoFilter ref="A1:K1076" xr:uid="{DA33703E-A09B-4A4F-A8DF-0905A31E31FC}"/>
  <tableColumns count="11">
    <tableColumn id="1" xr3:uid="{FAA02979-1760-47FB-BACE-3E04230A6923}" uniqueName="1" name="processor_transaction_id" queryTableFieldId="1" dataDxfId="121"/>
    <tableColumn id="2" xr3:uid="{87E5BCF8-C32C-4527-B3B3-11A467459C78}" uniqueName="2" name="merchant_order_id" queryTableFieldId="2" dataDxfId="120"/>
    <tableColumn id="3" xr3:uid="{81E63A49-B9F7-4F92-ACA7-E667CBBC86C3}" uniqueName="3" name="processor_event_type" queryTableFieldId="3" dataDxfId="119"/>
    <tableColumn id="4" xr3:uid="{C74CFE26-892F-4BC9-A3AC-9DA8631C6DB8}" uniqueName="4" name="processor_event_time" queryTableFieldId="4" dataDxfId="118"/>
    <tableColumn id="5" xr3:uid="{80A79D25-7CF2-469F-B107-9A3EE6248D9D}" uniqueName="5" name="gross_amount" queryTableFieldId="5"/>
    <tableColumn id="6" xr3:uid="{AA197D24-53A5-426E-83DD-449CEE7E49EA}" uniqueName="6" name="fee_amount" queryTableFieldId="6"/>
    <tableColumn id="7" xr3:uid="{BCB102B8-6716-4938-918E-33D148AA8E2E}" uniqueName="7" name="net_amount" queryTableFieldId="7"/>
    <tableColumn id="8" xr3:uid="{E4D5C9A5-9102-4BF8-B6C4-5F72A29F8B55}" uniqueName="8" name="currency" queryTableFieldId="8" dataDxfId="117"/>
    <tableColumn id="9" xr3:uid="{C56CE3AF-1BAC-453E-9AB5-69E8F144B79A}" uniqueName="9" name="settlement_batch_id" queryTableFieldId="9" dataDxfId="116"/>
    <tableColumn id="10" xr3:uid="{2FB63676-9076-4171-A4A1-57D30C3B8F78}" uniqueName="10" name="processor_status" queryTableFieldId="10" dataDxfId="115"/>
    <tableColumn id="11" xr3:uid="{B0D95CAF-8A94-4E63-AE52-5B510A5CE155}" uniqueName="11" name="Gross_Amount_Clean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9B3670-BA4C-4E60-AD8B-26731936A9B8}" name="Bank_Settlements" displayName="Bank_Settlements" ref="A1:G220" tableType="queryTable" totalsRowShown="0">
  <autoFilter ref="A1:G220" xr:uid="{D59B3670-BA4C-4E60-AD8B-26731936A9B8}"/>
  <tableColumns count="7">
    <tableColumn id="1" xr3:uid="{65474180-7E34-434A-A797-B505D086FAA4}" uniqueName="1" name="bank_entry_id" queryTableFieldId="1" dataDxfId="114"/>
    <tableColumn id="2" xr3:uid="{C84D6CFF-7C89-4B20-93F7-5AC126354E97}" uniqueName="2" name="settlement_batch_id" queryTableFieldId="2" dataDxfId="113"/>
    <tableColumn id="3" xr3:uid="{4C0705F1-3B76-437E-B71D-403219875839}" uniqueName="3" name="booked_at" queryTableFieldId="3" dataDxfId="112"/>
    <tableColumn id="4" xr3:uid="{8D916C77-568E-48E4-B561-F4F6C4206522}" uniqueName="4" name="credited_amount" queryTableFieldId="4"/>
    <tableColumn id="5" xr3:uid="{5B529BC5-DE59-412A-9F22-491C447B99C2}" uniqueName="5" name="currency" queryTableFieldId="5" dataDxfId="111"/>
    <tableColumn id="6" xr3:uid="{0B6A8EBF-35CC-4BDC-9CC8-28AB7BEFE6A9}" uniqueName="6" name="bank_reference" queryTableFieldId="6" dataDxfId="110"/>
    <tableColumn id="7" xr3:uid="{2BF943C5-597E-40D7-BE8B-0E7B6260333A}" uniqueName="7" name="description" queryTableFieldId="7" dataDxfId="10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677696-982F-4FAC-AAD6-0C300E5B0978}" name="tblDataQuality" displayName="tblDataQuality" ref="A1:L1076" tableType="queryTable" totalsRowShown="0">
  <autoFilter ref="A1:L1076" xr:uid="{0F677696-982F-4FAC-AAD6-0C300E5B0978}"/>
  <tableColumns count="12">
    <tableColumn id="1" xr3:uid="{1FA3C7D1-5A85-44A6-996F-D8745683C79F}" uniqueName="1" name="processor_transaction_id" queryTableFieldId="1" dataDxfId="108"/>
    <tableColumn id="2" xr3:uid="{0A59CA40-71D9-4B92-8CB0-D90B8106E17B}" uniqueName="2" name="merchant_order_id" queryTableFieldId="2" dataDxfId="107"/>
    <tableColumn id="3" xr3:uid="{0E976D46-E556-462D-B44F-DD5B36796127}" uniqueName="3" name="processor_event_type" queryTableFieldId="3" dataDxfId="106"/>
    <tableColumn id="4" xr3:uid="{AF8CE82B-1442-4CA7-9F54-F44A5632EF22}" uniqueName="4" name="processor_event_time" queryTableFieldId="4" dataDxfId="105"/>
    <tableColumn id="5" xr3:uid="{285DABE3-DE1D-480D-85CB-26D819C1BC1F}" uniqueName="5" name="gross_amount" queryTableFieldId="5"/>
    <tableColumn id="6" xr3:uid="{969B1E10-D08B-495A-8B32-B5D883ACD8CC}" uniqueName="6" name="fee_amount" queryTableFieldId="6"/>
    <tableColumn id="7" xr3:uid="{03C8A7F3-FC7D-4FB5-930C-C46F5AE042F2}" uniqueName="7" name="net_amount" queryTableFieldId="7"/>
    <tableColumn id="8" xr3:uid="{146A26A2-9762-4093-9916-81B92762C1C3}" uniqueName="8" name="currency" queryTableFieldId="8" dataDxfId="104"/>
    <tableColumn id="9" xr3:uid="{17466CED-E280-42C5-8842-4F4FC77648E0}" uniqueName="9" name="settlement_batch_id" queryTableFieldId="9" dataDxfId="103"/>
    <tableColumn id="10" xr3:uid="{2F6C1E5A-7625-4321-A24B-37FD1F024F0C}" uniqueName="10" name="processor_status" queryTableFieldId="10" dataDxfId="102"/>
    <tableColumn id="11" xr3:uid="{40AC85EF-B862-4E87-AE62-5DF595C03271}" uniqueName="11" name="Gross_Amount_Clean" queryTableFieldId="11"/>
    <tableColumn id="12" xr3:uid="{C8725726-31B1-42EF-907A-62ED36E39539}" uniqueName="12" name="Invalid_Gross_Amount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2281AE9-BFA2-48EC-9B27-A1D45061B67E}" name="tblTransExceptions" displayName="tblTransExceptions" ref="A1:T71" tableType="queryTable" totalsRowShown="0">
  <autoFilter ref="A1:T71" xr:uid="{92281AE9-BFA2-48EC-9B27-A1D45061B67E}"/>
  <tableColumns count="20">
    <tableColumn id="1" xr3:uid="{40A30AD6-B224-4E7E-9C20-1A7295DC147D}" uniqueName="1" name="internal_payment_id" queryTableFieldId="1" dataDxfId="101"/>
    <tableColumn id="2" xr3:uid="{F6F79575-42BC-4DC9-8182-71E171117E5A}" uniqueName="2" name="merchant_order_id" queryTableFieldId="2" dataDxfId="100"/>
    <tableColumn id="3" xr3:uid="{683AF3C6-A55A-4D59-AE8E-3147352145BC}" uniqueName="3" name="occurred_at" queryTableFieldId="3" dataDxfId="99"/>
    <tableColumn id="4" xr3:uid="{C7E109FD-52B3-408D-9D6B-803C847EBC14}" uniqueName="4" name="gross_amount" queryTableFieldId="4"/>
    <tableColumn id="5" xr3:uid="{FC31CB53-3238-4FD6-BD84-89FBEB745F6F}" uniqueName="5" name="currency" queryTableFieldId="5" dataDxfId="98"/>
    <tableColumn id="6" xr3:uid="{696E274A-78F3-4076-8E4A-8A3DCB99B430}" uniqueName="6" name="payment_status" queryTableFieldId="6" dataDxfId="97"/>
    <tableColumn id="7" xr3:uid="{F5ED46E3-0975-4661-887A-7EA193374527}" uniqueName="7" name="payment_method" queryTableFieldId="7" dataDxfId="96"/>
    <tableColumn id="8" xr3:uid="{440D3CAB-3E1F-4C9B-8FC3-1148EC0FE521}" uniqueName="8" name="synthetic_customer_reference" queryTableFieldId="8" dataDxfId="95"/>
    <tableColumn id="9" xr3:uid="{97C68B89-291D-4242-A8A7-D9CFAE7EB2C1}" uniqueName="9" name="processor_transaction_id" queryTableFieldId="9" dataDxfId="94"/>
    <tableColumn id="10" xr3:uid="{2BA4048E-4C96-4743-A502-1E51ADBDB100}" uniqueName="10" name="processor_event_type" queryTableFieldId="10" dataDxfId="93"/>
    <tableColumn id="11" xr3:uid="{73E3F143-B904-414C-A63A-5E917CA6AC7E}" uniqueName="11" name="processor_event_time" queryTableFieldId="11" dataDxfId="92"/>
    <tableColumn id="12" xr3:uid="{99C3AC7E-E6A5-4101-A0D4-B3D4C5554CAE}" uniqueName="12" name="gross_amount.1" queryTableFieldId="12"/>
    <tableColumn id="13" xr3:uid="{BFC20545-911F-46AD-9ADA-3C29897F21B8}" uniqueName="13" name="fee_amount" queryTableFieldId="13"/>
    <tableColumn id="14" xr3:uid="{077EC027-5161-463A-8F8A-9F423722CC45}" uniqueName="14" name="net_amount" queryTableFieldId="14"/>
    <tableColumn id="15" xr3:uid="{7E6235DB-0EA1-4A68-B8CC-E81B1355736B}" uniqueName="15" name="currency.1" queryTableFieldId="15" dataDxfId="91"/>
    <tableColumn id="16" xr3:uid="{0B0FFA00-C35B-47B5-A244-9A8EF55789B6}" uniqueName="16" name="settlement_batch_id" queryTableFieldId="16" dataDxfId="90"/>
    <tableColumn id="17" xr3:uid="{B7EAA47C-BF06-4B2F-AD90-6E0DFB2494DB}" uniqueName="17" name="processor_status" queryTableFieldId="17" dataDxfId="89"/>
    <tableColumn id="18" xr3:uid="{6B148AA7-EC20-49DC-A323-ED108F676712}" uniqueName="18" name="Processor_Match" queryTableFieldId="18"/>
    <tableColumn id="19" xr3:uid="{6AD16FD5-F7FA-47AA-AE92-02015630CEB5}" uniqueName="19" name="Amount_Match" queryTableFieldId="19"/>
    <tableColumn id="20" xr3:uid="{F9B80018-35FC-4794-BDF8-8247B89A5D96}" uniqueName="20" name="Currency_Match" queryTableFieldId="2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81E5C7-53E2-49F9-9617-BC8C39A69C58}" name="Currency_Exceptions" displayName="Currency_Exceptions" ref="A1:T11" tableType="queryTable" totalsRowShown="0">
  <autoFilter ref="A1:T11" xr:uid="{3981E5C7-53E2-49F9-9617-BC8C39A69C58}"/>
  <tableColumns count="20">
    <tableColumn id="1" xr3:uid="{DBE44087-73FD-4053-9B7A-DE0AD1EB8F54}" uniqueName="1" name="internal_payment_id" queryTableFieldId="1" dataDxfId="88"/>
    <tableColumn id="2" xr3:uid="{E26C9BD7-FC76-4E40-A04C-390550565656}" uniqueName="2" name="merchant_order_id" queryTableFieldId="2" dataDxfId="87"/>
    <tableColumn id="3" xr3:uid="{458E1358-EDAE-4801-968B-52AD63D60CD1}" uniqueName="3" name="occurred_at" queryTableFieldId="3" dataDxfId="86"/>
    <tableColumn id="4" xr3:uid="{AAB0D6EC-7AB3-4338-9BC5-399687938949}" uniqueName="4" name="gross_amount" queryTableFieldId="4"/>
    <tableColumn id="5" xr3:uid="{9E8D8EFF-6A43-4201-9598-1F96093B978A}" uniqueName="5" name="currency" queryTableFieldId="5" dataDxfId="85"/>
    <tableColumn id="6" xr3:uid="{8DE93775-E8A5-451C-A8BC-89471E1D7B8D}" uniqueName="6" name="payment_status" queryTableFieldId="6" dataDxfId="84"/>
    <tableColumn id="7" xr3:uid="{B8F7D7E6-6D19-402E-BAFB-4147A34D7F8B}" uniqueName="7" name="payment_method" queryTableFieldId="7" dataDxfId="83"/>
    <tableColumn id="8" xr3:uid="{00D282D6-4B30-4ACD-9011-74991AC0B602}" uniqueName="8" name="synthetic_customer_reference" queryTableFieldId="8" dataDxfId="82"/>
    <tableColumn id="9" xr3:uid="{B206F5E8-E377-4BE7-B5D8-9669A5FCDF25}" uniqueName="9" name="processor_transaction_id" queryTableFieldId="9" dataDxfId="81"/>
    <tableColumn id="10" xr3:uid="{D274B03A-0FA7-4BC2-8780-FF10CD5D6120}" uniqueName="10" name="processor_event_type" queryTableFieldId="10" dataDxfId="80"/>
    <tableColumn id="11" xr3:uid="{798A2330-D053-40AB-95A2-B8674F6B01B8}" uniqueName="11" name="processor_event_time" queryTableFieldId="11" dataDxfId="79"/>
    <tableColumn id="12" xr3:uid="{286AB909-3F95-4343-92B8-8D0EE36073A5}" uniqueName="12" name="gross_amount.1" queryTableFieldId="12"/>
    <tableColumn id="13" xr3:uid="{7F101C6C-A668-42DC-A269-31A8A6124667}" uniqueName="13" name="fee_amount" queryTableFieldId="13"/>
    <tableColumn id="14" xr3:uid="{D65EAB50-FC1D-4C1D-B83F-87597C043728}" uniqueName="14" name="net_amount" queryTableFieldId="14"/>
    <tableColumn id="15" xr3:uid="{B4E2CEB6-5762-4A9F-BEB0-2CF5BB422FA5}" uniqueName="15" name="currency.1" queryTableFieldId="15" dataDxfId="78"/>
    <tableColumn id="16" xr3:uid="{B62F335B-A9E8-4DAD-8C81-EBC8C2B28E81}" uniqueName="16" name="settlement_batch_id" queryTableFieldId="16" dataDxfId="77"/>
    <tableColumn id="17" xr3:uid="{A180FB85-69E8-4A31-9A43-AB668A3A6264}" uniqueName="17" name="processor_status" queryTableFieldId="17" dataDxfId="76"/>
    <tableColumn id="18" xr3:uid="{99C08FB6-9B4C-4A6E-8691-7B21329E5CEF}" uniqueName="18" name="Processor_Match" queryTableFieldId="18"/>
    <tableColumn id="19" xr3:uid="{A494EAE4-935B-470C-9F32-ECA610070850}" uniqueName="19" name="Amount_Match" queryTableFieldId="19"/>
    <tableColumn id="20" xr3:uid="{DC6021AA-72C4-4CF4-8BD2-53AAA0E862A8}" uniqueName="20" name="Currency_Match" queryTableFieldId="2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681452-6360-41A9-85AA-518878EC8CC2}" name="Amount_Exceptions" displayName="Amount_Exceptions" ref="A1:T61" tableType="queryTable" totalsRowShown="0">
  <autoFilter ref="A1:T61" xr:uid="{4A681452-6360-41A9-85AA-518878EC8CC2}"/>
  <tableColumns count="20">
    <tableColumn id="1" xr3:uid="{C7B94A68-BB82-4171-B66F-857376E7A308}" uniqueName="1" name="internal_payment_id" queryTableFieldId="1" dataDxfId="75"/>
    <tableColumn id="2" xr3:uid="{4B9F76E8-3AEC-4A9C-BE19-42D780EFA17A}" uniqueName="2" name="merchant_order_id" queryTableFieldId="2" dataDxfId="74"/>
    <tableColumn id="3" xr3:uid="{313F664B-E930-48BD-A00B-93BE12C02BEB}" uniqueName="3" name="occurred_at" queryTableFieldId="3" dataDxfId="73"/>
    <tableColumn id="4" xr3:uid="{59A95CD8-08F7-493D-BF06-C7E493AE0BF5}" uniqueName="4" name="gross_amount" queryTableFieldId="4"/>
    <tableColumn id="5" xr3:uid="{D535FDE2-4C7E-4C9D-8A1F-1BFD458250D8}" uniqueName="5" name="currency" queryTableFieldId="5" dataDxfId="72"/>
    <tableColumn id="6" xr3:uid="{73691821-E81F-4A7A-A23A-6FD0EEADF359}" uniqueName="6" name="payment_status" queryTableFieldId="6" dataDxfId="71"/>
    <tableColumn id="7" xr3:uid="{665C004A-57A6-4698-9D88-682AE6CF0010}" uniqueName="7" name="payment_method" queryTableFieldId="7" dataDxfId="70"/>
    <tableColumn id="8" xr3:uid="{0608634E-52CF-47E7-981E-80F4F0AE75A8}" uniqueName="8" name="synthetic_customer_reference" queryTableFieldId="8" dataDxfId="69"/>
    <tableColumn id="9" xr3:uid="{AB5C3042-7603-4130-9F14-E12244AE2D54}" uniqueName="9" name="processor_transaction_id" queryTableFieldId="9" dataDxfId="68"/>
    <tableColumn id="10" xr3:uid="{83A13FEA-BA79-4893-9C9B-CAE55B5B9791}" uniqueName="10" name="processor_event_type" queryTableFieldId="10" dataDxfId="67"/>
    <tableColumn id="11" xr3:uid="{41023DBD-2ADE-4545-8940-4050F134F2D3}" uniqueName="11" name="processor_event_time" queryTableFieldId="11" dataDxfId="66"/>
    <tableColumn id="12" xr3:uid="{F19C8409-27F5-446A-8F87-5DD8857F6C89}" uniqueName="12" name="gross_amount.1" queryTableFieldId="12"/>
    <tableColumn id="13" xr3:uid="{1F82EC48-19D1-4B3A-84E2-2FA4F69BD16E}" uniqueName="13" name="fee_amount" queryTableFieldId="13"/>
    <tableColumn id="14" xr3:uid="{97685B7A-DB8D-49CE-B181-AB35ADA2C4E2}" uniqueName="14" name="net_amount" queryTableFieldId="14"/>
    <tableColumn id="15" xr3:uid="{1129F451-0312-4C17-AEFA-411DE21031DE}" uniqueName="15" name="currency.1" queryTableFieldId="15" dataDxfId="65"/>
    <tableColumn id="16" xr3:uid="{B8F64085-DF48-4651-B4BF-34359C4B3924}" uniqueName="16" name="settlement_batch_id" queryTableFieldId="16" dataDxfId="64"/>
    <tableColumn id="17" xr3:uid="{E307D75C-31EF-4B39-8F99-93514915433D}" uniqueName="17" name="processor_status" queryTableFieldId="17" dataDxfId="63"/>
    <tableColumn id="18" xr3:uid="{A19C5C39-DAF2-4DED-9098-A43D3D072BB7}" uniqueName="18" name="Processor_Match" queryTableFieldId="18"/>
    <tableColumn id="19" xr3:uid="{3467F198-7B05-4CB4-8971-BD4E104A2E90}" uniqueName="19" name="Amount_Match" queryTableFieldId="19"/>
    <tableColumn id="20" xr3:uid="{2C691A46-E203-49D4-AD23-70D7292E2FE9}" uniqueName="20" name="Currency_Match" queryTableFieldId="2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6EC7C5-6FBB-4C7F-9D4B-3ADD19120F6B}" name="tblSettleExceptions" displayName="tblSettleExceptions" ref="A1:I63" tableType="queryTable" totalsRowShown="0">
  <autoFilter ref="A1:I63" xr:uid="{7D6EC7C5-6FBB-4C7F-9D4B-3ADD19120F6B}"/>
  <tableColumns count="9">
    <tableColumn id="1" xr3:uid="{F49C82A9-614C-4944-A912-ED0EC81273CA}" uniqueName="1" name="settlement_batch_id" queryTableFieldId="1" dataDxfId="62"/>
    <tableColumn id="2" xr3:uid="{48D5AC15-0C11-46EB-A7DA-A6B441B0C35F}" uniqueName="2" name="currency" queryTableFieldId="2" dataDxfId="61"/>
    <tableColumn id="3" xr3:uid="{A5BEAF69-653E-46C4-A431-3EBDA590B39D}" uniqueName="3" name="Processor_Gross_Total" queryTableFieldId="3"/>
    <tableColumn id="4" xr3:uid="{9A357110-6A23-42BD-9DDB-3B5CD1B1801C}" uniqueName="4" name="Processor_Fee_Total" queryTableFieldId="4"/>
    <tableColumn id="5" xr3:uid="{B3395611-DFD4-42B3-A671-7DD8BC9AABDA}" uniqueName="5" name="Processor_Net_Total" queryTableFieldId="5"/>
    <tableColumn id="6" xr3:uid="{4A07F9E9-3CB7-456E-90DB-0FFEB6531E49}" uniqueName="6" name="Processor_Event_Count" queryTableFieldId="6"/>
    <tableColumn id="7" xr3:uid="{8C2A0E2B-39C3-4F59-8548-2ECAE6C62CF0}" uniqueName="7" name="Bank_Entry_Count" queryTableFieldId="7"/>
    <tableColumn id="8" xr3:uid="{8F7A9A3F-B2D4-40EC-A3D5-F15C78029F06}" uniqueName="8" name="Bank_Credited_Total" queryTableFieldId="8"/>
    <tableColumn id="9" xr3:uid="{624B950E-C07E-4042-8B97-ED13E92FA692}" uniqueName="9" name="Settlement_Status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7E3636-E15A-43FA-B993-75B91B11D078}" name="tblBankRecon" displayName="tblBankRecon" ref="A1:I220" tableType="queryTable" totalsRowShown="0">
  <autoFilter ref="A1:I220" xr:uid="{607E3636-E15A-43FA-B993-75B91B11D078}"/>
  <tableColumns count="9">
    <tableColumn id="1" xr3:uid="{E6F270D1-0615-4D3F-B62B-9A1BFE419E5A}" uniqueName="1" name="settlement_batch_id" queryTableFieldId="1" dataDxfId="60"/>
    <tableColumn id="2" xr3:uid="{82A9EDC0-0DC9-403F-9934-6690121CA20E}" uniqueName="2" name="currency" queryTableFieldId="2" dataDxfId="59"/>
    <tableColumn id="3" xr3:uid="{4F680836-D888-4A63-A30A-11278DD2C2ED}" uniqueName="3" name="Processor_Gross_Total" queryTableFieldId="3"/>
    <tableColumn id="4" xr3:uid="{E40EC206-B718-4B90-ACAB-45EBFC57DECC}" uniqueName="4" name="Processor_Fee_Total" queryTableFieldId="4"/>
    <tableColumn id="5" xr3:uid="{DC3BA4B5-20A1-42B7-94A4-0F0A44700D90}" uniqueName="5" name="Processor_Net_Total" queryTableFieldId="5"/>
    <tableColumn id="6" xr3:uid="{710B8D52-1BA0-4691-9617-F180061955EA}" uniqueName="6" name="Processor_Event_Count" queryTableFieldId="6"/>
    <tableColumn id="7" xr3:uid="{5EB01B2E-9771-40F2-AD04-5D012B378A49}" uniqueName="7" name="Bank_Entry_Count" queryTableFieldId="7"/>
    <tableColumn id="8" xr3:uid="{696B7198-BCBF-4689-9230-747F6AE03120}" uniqueName="8" name="Bank_Credited_Total" queryTableFieldId="8"/>
    <tableColumn id="9" xr3:uid="{D82A7EB1-B309-41DC-90CE-0EE032036101}" uniqueName="9" name="Settlement_Status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6CA9CA-D81B-465C-9DCE-F3B7EBFC46F3}" name="Bank_Batch_Summary" displayName="Bank_Batch_Summary" ref="A1:D210" tableType="queryTable" totalsRowShown="0">
  <autoFilter ref="A1:D210" xr:uid="{0C6CA9CA-D81B-465C-9DCE-F3B7EBFC46F3}"/>
  <tableColumns count="4">
    <tableColumn id="1" xr3:uid="{9982095F-D8FF-4EC6-BEFC-AABF1CC24CAC}" uniqueName="1" name="settlement_batch_id" queryTableFieldId="1" dataDxfId="58"/>
    <tableColumn id="2" xr3:uid="{BAC70E82-A04D-4A45-9A0B-3E7EEFC220DD}" uniqueName="2" name="currency" queryTableFieldId="2" dataDxfId="57"/>
    <tableColumn id="3" xr3:uid="{6FA3ACDB-215F-41BD-B9D0-F80EF957B09F}" uniqueName="3" name="Bank_Entry_Count" queryTableFieldId="3"/>
    <tableColumn id="4" xr3:uid="{D4A75D63-3BEC-4E25-94FD-00C98C6BBE79}" uniqueName="4" name="Bank_Credited_Total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36E8C-245E-4345-9B70-547385537D49}" name="Processor_Batch_Summary" displayName="Processor_Batch_Summary" ref="A1:F220" tableType="queryTable" totalsRowShown="0">
  <autoFilter ref="A1:F220" xr:uid="{DE836E8C-245E-4345-9B70-547385537D49}"/>
  <tableColumns count="6">
    <tableColumn id="1" xr3:uid="{4260EF3F-AB22-49E6-8D82-97F2DA08204C}" uniqueName="1" name="settlement_batch_id" queryTableFieldId="1" dataDxfId="56"/>
    <tableColumn id="2" xr3:uid="{86DE6FE2-463F-4E02-A00B-5AF8586A923C}" uniqueName="2" name="currency" queryTableFieldId="2" dataDxfId="55"/>
    <tableColumn id="3" xr3:uid="{D8309F62-1125-4C83-82F5-DBAC4F4E4A4E}" uniqueName="3" name="Processor_Gross_Total" queryTableFieldId="3"/>
    <tableColumn id="4" xr3:uid="{44415356-5EA4-4584-AFC2-2AA2D28C5EBD}" uniqueName="4" name="Processor_Fee_Total" queryTableFieldId="4"/>
    <tableColumn id="5" xr3:uid="{040C5F4C-9FAF-4866-BD56-B32CD5F7AE86}" uniqueName="5" name="Processor_Net_Total" queryTableFieldId="5"/>
    <tableColumn id="6" xr3:uid="{2C520B6D-1199-4BD5-809B-4B0456CD8373}" uniqueName="6" name="Processor_Event_Count" queryTableFieldId="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203CBB-96B6-4635-813F-2B92E40F140E}" name="tblRecon" displayName="tblRecon" ref="A1:T1081" tableType="queryTable" totalsRowShown="0">
  <autoFilter ref="A1:T1081" xr:uid="{77203CBB-96B6-4635-813F-2B92E40F140E}"/>
  <tableColumns count="20">
    <tableColumn id="1" xr3:uid="{CE45183B-6881-4F8B-AA1E-8265133CBCBC}" uniqueName="1" name="internal_payment_id" queryTableFieldId="1" dataDxfId="54"/>
    <tableColumn id="2" xr3:uid="{CB06D963-6936-4E77-8BBF-35CBD6C18A3C}" uniqueName="2" name="merchant_order_id" queryTableFieldId="2" dataDxfId="53"/>
    <tableColumn id="3" xr3:uid="{022C9FDE-5CF9-459B-BC13-9BB844E55EF0}" uniqueName="3" name="occurred_at" queryTableFieldId="3" dataDxfId="52"/>
    <tableColumn id="4" xr3:uid="{51CC7C86-DD8A-4766-9089-9D197899F8E0}" uniqueName="4" name="gross_amount" queryTableFieldId="4"/>
    <tableColumn id="5" xr3:uid="{0FFFF4B6-1D37-4AC1-9857-BFE9FAE836EA}" uniqueName="5" name="currency" queryTableFieldId="5" dataDxfId="51"/>
    <tableColumn id="6" xr3:uid="{F7B294D9-A600-4FC5-B190-7F6E4A170EA1}" uniqueName="6" name="payment_status" queryTableFieldId="6" dataDxfId="50"/>
    <tableColumn id="7" xr3:uid="{3A03CDA0-AB29-4BF8-AF6E-08071732ED53}" uniqueName="7" name="payment_method" queryTableFieldId="7" dataDxfId="49"/>
    <tableColumn id="8" xr3:uid="{27226FFF-F42D-46F3-B129-151A8A3204BA}" uniqueName="8" name="synthetic_customer_reference" queryTableFieldId="8" dataDxfId="48"/>
    <tableColumn id="9" xr3:uid="{B8558C91-E514-4A67-98BA-B306C1C77614}" uniqueName="9" name="processor_transaction_id" queryTableFieldId="9" dataDxfId="47"/>
    <tableColumn id="10" xr3:uid="{1638DEC7-1265-4626-86A5-1B6EEF5E8D66}" uniqueName="10" name="processor_event_type" queryTableFieldId="10" dataDxfId="46"/>
    <tableColumn id="11" xr3:uid="{522A91CB-8654-4483-9C58-764B4E2E40E0}" uniqueName="11" name="processor_event_time" queryTableFieldId="11" dataDxfId="45"/>
    <tableColumn id="12" xr3:uid="{1295EB62-46BE-45A9-A43E-AC58EBD79A98}" uniqueName="12" name="gross_amount.1" queryTableFieldId="12"/>
    <tableColumn id="13" xr3:uid="{9B956DA2-EE5A-45DE-A14F-8DC5FC36A5BD}" uniqueName="13" name="fee_amount" queryTableFieldId="13"/>
    <tableColumn id="14" xr3:uid="{1B1380F3-FBB0-49A3-BA7C-EA79DA807B06}" uniqueName="14" name="net_amount" queryTableFieldId="14"/>
    <tableColumn id="15" xr3:uid="{47B9C350-724F-4426-AA48-45DDBF3DE6AF}" uniqueName="15" name="currency.1" queryTableFieldId="15" dataDxfId="44"/>
    <tableColumn id="16" xr3:uid="{113FD870-0D76-44AC-B27C-E8553FA860D9}" uniqueName="16" name="settlement_batch_id" queryTableFieldId="16" dataDxfId="43"/>
    <tableColumn id="17" xr3:uid="{5070F9D5-04C4-4A45-B43F-CA2EAE40AECE}" uniqueName="17" name="processor_status" queryTableFieldId="17" dataDxfId="42"/>
    <tableColumn id="18" xr3:uid="{FE84FF70-DB5D-4667-8EA3-37782E7AF4D4}" uniqueName="18" name="Processor_Match" queryTableFieldId="18"/>
    <tableColumn id="19" xr3:uid="{D1658DC5-0B57-40AF-BA0C-3126F4BCD460}" uniqueName="19" name="Amount_Match" queryTableFieldId="19"/>
    <tableColumn id="20" xr3:uid="{535C8156-4BBA-45E3-933C-569BF48C9A19}" uniqueName="20" name="Currency_Match" queryTableFieldId="2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94DA66-7CB5-4FB4-B49E-CBC58B39F0F7}" name="Internal_Transactions" displayName="Internal_Transactions" ref="A1:H1011" tableType="queryTable" totalsRowShown="0">
  <autoFilter ref="A1:H1011" xr:uid="{6394DA66-7CB5-4FB4-B49E-CBC58B39F0F7}"/>
  <tableColumns count="8">
    <tableColumn id="1" xr3:uid="{E1C8D9F7-0A9B-4C48-822B-DB6FDFB8BDDA}" uniqueName="1" name="internal_payment_id" queryTableFieldId="1" dataDxfId="41"/>
    <tableColumn id="2" xr3:uid="{CAFAE23C-122B-4874-B533-1E7455EFCE65}" uniqueName="2" name="merchant_order_id" queryTableFieldId="2" dataDxfId="40"/>
    <tableColumn id="3" xr3:uid="{C54DFF8C-33B3-4C1A-9AB9-C626B8667580}" uniqueName="3" name="occurred_at" queryTableFieldId="3" dataDxfId="39"/>
    <tableColumn id="4" xr3:uid="{6F9B69BC-FF30-4A34-A7AF-6253E7AD8FEC}" uniqueName="4" name="gross_amount" queryTableFieldId="4"/>
    <tableColumn id="5" xr3:uid="{DEE04EF0-BD45-406E-97A3-AE6E91F19FDE}" uniqueName="5" name="currency" queryTableFieldId="5" dataDxfId="38"/>
    <tableColumn id="6" xr3:uid="{B6269C6B-BBBE-46F6-9FBC-CBB292C1A3C3}" uniqueName="6" name="payment_status" queryTableFieldId="6" dataDxfId="37"/>
    <tableColumn id="7" xr3:uid="{0DB0943C-6E5B-424B-BA55-37BB43F94172}" uniqueName="7" name="payment_method" queryTableFieldId="7" dataDxfId="36"/>
    <tableColumn id="8" xr3:uid="{6F4918B2-1467-4A17-9E15-615D6FFF128E}" uniqueName="8" name="synthetic_customer_reference" queryTableFieldId="8" dataDxfId="3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405FD85-AF89-4732-9DE4-6288B7E062EA}" name="Table16" displayName="Table16" ref="B3:C7" totalsRowShown="0" tableBorderDxfId="32">
  <autoFilter ref="B3:C7" xr:uid="{B405FD85-AF89-4732-9DE4-6288B7E062EA}"/>
  <tableColumns count="2">
    <tableColumn id="1" xr3:uid="{420D8716-DD5F-4F60-9E08-632F169834B5}" name="Column1" dataDxfId="31"/>
    <tableColumn id="2" xr3:uid="{8B6C38B9-D253-4BF5-91DC-00482CF5E8D8}" name="Column2" dataDxfId="3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37C764E-D42C-42B3-A82C-6D9D5ACD6FA7}" name="Table13" displayName="Table13" ref="A5:I10" totalsRowShown="0" headerRowDxfId="34" dataDxfId="33" tableBorderDxfId="29">
  <autoFilter ref="A5:I10" xr:uid="{937C764E-D42C-42B3-A82C-6D9D5ACD6FA7}"/>
  <tableColumns count="9">
    <tableColumn id="1" xr3:uid="{5B917922-4EB3-4252-9803-203A82D75CAC}" name="Exception ID" dataDxfId="28"/>
    <tableColumn id="2" xr3:uid="{30C40FFA-74D4-4FA1-9468-7B00BDAE400A}" name="Exception Category" dataDxfId="27"/>
    <tableColumn id="3" xr3:uid="{8855FB47-8A3B-4BC0-95A5-ADECA60F6825}" name="Transaction / Batch ID" dataDxfId="26"/>
    <tableColumn id="4" xr3:uid="{0C89C634-A0E6-4AE9-8FFD-F19D6137AD83}" name="Expected Value" dataDxfId="25"/>
    <tableColumn id="5" xr3:uid="{54B9CB78-99C5-42B9-A253-0C71EE852311}" name="Actual Value" dataDxfId="24"/>
    <tableColumn id="6" xr3:uid="{CE76E59F-678B-473D-A27E-12DBE1DC43C5}" name="Currency" dataDxfId="23"/>
    <tableColumn id="7" xr3:uid="{9D5D1163-A78A-4447-B2F1-715132ACD910}" name="Exception Status" dataDxfId="22"/>
    <tableColumn id="8" xr3:uid="{B286CA6D-CA29-4A58-AD63-95F7A3EB08D2}" name="Recommended Action" dataDxfId="21"/>
    <tableColumn id="9" xr3:uid="{327D7D16-D7C5-4B67-BA2D-E1C6E35A0B3A}" name="Resolution Notes" dataDxfId="2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B0C53CF-0A1F-46AE-9059-43D3F90DBCF3}" name="Table15" displayName="Table15" ref="A13:B17" totalsRowShown="0" headerRowDxfId="14" headerRowBorderDxfId="18" tableBorderDxfId="19" totalsRowBorderDxfId="17">
  <autoFilter ref="A13:B17" xr:uid="{7B0C53CF-0A1F-46AE-9059-43D3F90DBCF3}"/>
  <tableColumns count="2">
    <tableColumn id="1" xr3:uid="{41404966-4F22-4484-96D9-B8CCB9A9DC4A}" name="Metric" dataDxfId="16"/>
    <tableColumn id="2" xr3:uid="{963D6771-729C-4AD9-AAEA-3BDDC490990C}" name="Count" dataDxfId="15"/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B5A14CF-4E3B-49EF-90EB-28D2737DE0DE}" name="Table17" displayName="Table17" ref="K2:L7" totalsRowShown="0" headerRowDxfId="5" dataDxfId="4" headerRowBorderDxfId="12" tableBorderDxfId="13" totalsRowBorderDxfId="11">
  <autoFilter ref="K2:L7" xr:uid="{0B5A14CF-4E3B-49EF-90EB-28D2737DE0DE}"/>
  <tableColumns count="2">
    <tableColumn id="1" xr3:uid="{336E29EC-FC4A-49E8-8F58-6899B34B8DC1}" name="Exception Category" dataDxfId="7"/>
    <tableColumn id="2" xr3:uid="{C68E3ABF-3BA9-4992-811A-CB0B81D34295}" name="Count" dataDxfId="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8370755-BC65-415E-BB21-BC565B99A407}" name="Table18" displayName="Table18" ref="M2:N5" totalsRowShown="0" headerRowDxfId="1" dataDxfId="0" headerRowBorderDxfId="9" tableBorderDxfId="10" totalsRowBorderDxfId="8">
  <autoFilter ref="M2:N5" xr:uid="{E8370755-BC65-415E-BB21-BC565B99A407}"/>
  <tableColumns count="2">
    <tableColumn id="1" xr3:uid="{6F0E15DD-3351-45FD-BE76-13A5B89601A5}" name="Settlement Status" dataDxfId="3"/>
    <tableColumn id="2" xr3:uid="{ED06BC3B-477B-4421-A9F3-D1E112CD6698}" name="Batch Count" dataDxfId="2">
      <calculatedColumnFormula>COUNTIF(tblBankRecon[Settlement_Status],M3)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CC64-B7DF-485E-8806-AD8A6D0C2F58}">
  <dimension ref="A1:K1076"/>
  <sheetViews>
    <sheetView workbookViewId="0">
      <selection activeCell="A9" sqref="A9"/>
    </sheetView>
  </sheetViews>
  <sheetFormatPr defaultRowHeight="15" x14ac:dyDescent="0.25"/>
  <cols>
    <col min="1" max="1" width="37.5703125" bestFit="1" customWidth="1"/>
    <col min="2" max="2" width="38.85546875" bestFit="1" customWidth="1"/>
    <col min="3" max="3" width="23.42578125" bestFit="1" customWidth="1"/>
    <col min="4" max="4" width="23.7109375" bestFit="1" customWidth="1"/>
    <col min="5" max="5" width="16" bestFit="1" customWidth="1"/>
    <col min="6" max="7" width="14" bestFit="1" customWidth="1"/>
    <col min="8" max="8" width="11.140625" bestFit="1" customWidth="1"/>
    <col min="9" max="9" width="38.5703125" bestFit="1" customWidth="1"/>
    <col min="10" max="10" width="18.85546875" bestFit="1" customWidth="1"/>
    <col min="11" max="11" width="22.85546875" bestFit="1" customWidth="1"/>
  </cols>
  <sheetData>
    <row r="1" spans="1:11" x14ac:dyDescent="0.25">
      <c r="A1" t="s">
        <v>3026</v>
      </c>
      <c r="B1" t="s">
        <v>10</v>
      </c>
      <c r="C1" t="s">
        <v>3027</v>
      </c>
      <c r="D1" t="s">
        <v>3028</v>
      </c>
      <c r="E1" t="s">
        <v>12</v>
      </c>
      <c r="F1" t="s">
        <v>3029</v>
      </c>
      <c r="G1" t="s">
        <v>3030</v>
      </c>
      <c r="H1" t="s">
        <v>13</v>
      </c>
      <c r="I1" t="s">
        <v>3031</v>
      </c>
      <c r="J1" t="s">
        <v>3032</v>
      </c>
      <c r="K1" t="s">
        <v>4979</v>
      </c>
    </row>
    <row r="2" spans="1:11" x14ac:dyDescent="0.25">
      <c r="A2" t="s">
        <v>3033</v>
      </c>
      <c r="B2" t="s">
        <v>18</v>
      </c>
      <c r="C2" t="s">
        <v>3034</v>
      </c>
      <c r="D2" s="1">
        <v>46023.338703703703</v>
      </c>
      <c r="E2">
        <v>1278.74</v>
      </c>
      <c r="F2">
        <v>37.380000000000003</v>
      </c>
      <c r="G2">
        <v>1241.3599999999999</v>
      </c>
      <c r="H2" t="s">
        <v>19</v>
      </c>
      <c r="I2" t="s">
        <v>3035</v>
      </c>
      <c r="J2" t="s">
        <v>3036</v>
      </c>
      <c r="K2">
        <v>1278.74</v>
      </c>
    </row>
    <row r="3" spans="1:11" x14ac:dyDescent="0.25">
      <c r="A3" t="s">
        <v>3037</v>
      </c>
      <c r="B3" t="s">
        <v>24</v>
      </c>
      <c r="C3" t="s">
        <v>3034</v>
      </c>
      <c r="D3" s="1">
        <v>46024.450462962966</v>
      </c>
      <c r="E3">
        <v>959.03</v>
      </c>
      <c r="F3">
        <v>28.11</v>
      </c>
      <c r="G3">
        <v>930.92</v>
      </c>
      <c r="H3" t="s">
        <v>25</v>
      </c>
      <c r="I3" t="s">
        <v>3038</v>
      </c>
      <c r="J3" t="s">
        <v>3036</v>
      </c>
      <c r="K3">
        <v>959.03</v>
      </c>
    </row>
    <row r="4" spans="1:11" x14ac:dyDescent="0.25">
      <c r="A4" t="s">
        <v>3039</v>
      </c>
      <c r="B4" t="s">
        <v>29</v>
      </c>
      <c r="C4" t="s">
        <v>3034</v>
      </c>
      <c r="D4" s="1">
        <v>46025.531111111108</v>
      </c>
      <c r="E4">
        <v>1304.44</v>
      </c>
      <c r="F4">
        <v>38.130000000000003</v>
      </c>
      <c r="G4">
        <v>1266.31</v>
      </c>
      <c r="H4" t="s">
        <v>25</v>
      </c>
      <c r="I4" t="s">
        <v>3040</v>
      </c>
      <c r="J4" t="s">
        <v>3036</v>
      </c>
      <c r="K4">
        <v>1304.44</v>
      </c>
    </row>
    <row r="5" spans="1:11" x14ac:dyDescent="0.25">
      <c r="A5" t="s">
        <v>3041</v>
      </c>
      <c r="B5" t="s">
        <v>33</v>
      </c>
      <c r="C5" t="s">
        <v>3034</v>
      </c>
      <c r="D5" s="1">
        <v>46026.611458333333</v>
      </c>
      <c r="E5">
        <v>1506.47</v>
      </c>
      <c r="F5">
        <v>43.99</v>
      </c>
      <c r="G5">
        <v>1462.48</v>
      </c>
      <c r="H5" t="s">
        <v>25</v>
      </c>
      <c r="I5" t="s">
        <v>3042</v>
      </c>
      <c r="J5" t="s">
        <v>3036</v>
      </c>
      <c r="K5">
        <v>1506.47</v>
      </c>
    </row>
    <row r="6" spans="1:11" x14ac:dyDescent="0.25">
      <c r="A6" t="s">
        <v>3043</v>
      </c>
      <c r="B6" t="s">
        <v>36</v>
      </c>
      <c r="C6" t="s">
        <v>3034</v>
      </c>
      <c r="D6" s="1">
        <v>46027.700023148151</v>
      </c>
      <c r="E6">
        <v>2052.98</v>
      </c>
      <c r="F6">
        <v>59.84</v>
      </c>
      <c r="G6">
        <v>1993.14</v>
      </c>
      <c r="H6" t="s">
        <v>25</v>
      </c>
      <c r="I6" t="s">
        <v>3044</v>
      </c>
      <c r="J6" t="s">
        <v>3036</v>
      </c>
      <c r="K6">
        <v>2052.98</v>
      </c>
    </row>
    <row r="7" spans="1:11" x14ac:dyDescent="0.25">
      <c r="A7" t="s">
        <v>3045</v>
      </c>
      <c r="B7" t="s">
        <v>39</v>
      </c>
      <c r="C7" t="s">
        <v>3034</v>
      </c>
      <c r="D7" s="1">
        <v>46028.821030092593</v>
      </c>
      <c r="E7">
        <v>2487.4299999999998</v>
      </c>
      <c r="F7">
        <v>72.44</v>
      </c>
      <c r="G7">
        <v>2414.9899999999998</v>
      </c>
      <c r="H7" t="s">
        <v>25</v>
      </c>
      <c r="I7" t="s">
        <v>3046</v>
      </c>
      <c r="J7" t="s">
        <v>3036</v>
      </c>
      <c r="K7">
        <v>2487.4299999999998</v>
      </c>
    </row>
    <row r="8" spans="1:11" x14ac:dyDescent="0.25">
      <c r="A8" t="s">
        <v>3047</v>
      </c>
      <c r="B8" t="s">
        <v>42</v>
      </c>
      <c r="C8" t="s">
        <v>3034</v>
      </c>
      <c r="D8" s="1">
        <v>46029.886342592596</v>
      </c>
      <c r="E8">
        <v>765.03</v>
      </c>
      <c r="F8">
        <v>22.49</v>
      </c>
      <c r="G8">
        <v>742.54</v>
      </c>
      <c r="H8" t="s">
        <v>25</v>
      </c>
      <c r="I8" t="s">
        <v>3048</v>
      </c>
      <c r="J8" t="s">
        <v>3036</v>
      </c>
      <c r="K8">
        <v>765.03</v>
      </c>
    </row>
    <row r="9" spans="1:11" x14ac:dyDescent="0.25">
      <c r="A9" t="s">
        <v>3049</v>
      </c>
      <c r="B9" t="s">
        <v>45</v>
      </c>
      <c r="C9" t="s">
        <v>3034</v>
      </c>
      <c r="D9" s="1">
        <v>46031.000196759262</v>
      </c>
      <c r="E9">
        <v>2425.3200000000002</v>
      </c>
      <c r="F9">
        <v>70.63</v>
      </c>
      <c r="G9">
        <v>2354.69</v>
      </c>
      <c r="H9" t="s">
        <v>25</v>
      </c>
      <c r="I9" t="s">
        <v>3050</v>
      </c>
      <c r="J9" t="s">
        <v>3036</v>
      </c>
      <c r="K9">
        <v>2425.3200000000002</v>
      </c>
    </row>
    <row r="10" spans="1:11" x14ac:dyDescent="0.25">
      <c r="A10" t="s">
        <v>3051</v>
      </c>
      <c r="B10" t="s">
        <v>48</v>
      </c>
      <c r="C10" t="s">
        <v>3034</v>
      </c>
      <c r="D10" s="1">
        <v>46032.093761574077</v>
      </c>
      <c r="E10">
        <v>335.41</v>
      </c>
      <c r="F10">
        <v>10.029999999999999</v>
      </c>
      <c r="G10">
        <v>325.38</v>
      </c>
      <c r="H10" t="s">
        <v>25</v>
      </c>
      <c r="I10" t="s">
        <v>3052</v>
      </c>
      <c r="J10" t="s">
        <v>3036</v>
      </c>
      <c r="K10">
        <v>335.41</v>
      </c>
    </row>
    <row r="11" spans="1:11" x14ac:dyDescent="0.25">
      <c r="A11" t="s">
        <v>3053</v>
      </c>
      <c r="B11" t="s">
        <v>51</v>
      </c>
      <c r="C11" t="s">
        <v>3034</v>
      </c>
      <c r="D11" s="1">
        <v>46033.179328703707</v>
      </c>
      <c r="E11">
        <v>2485.5</v>
      </c>
      <c r="F11">
        <v>72.38</v>
      </c>
      <c r="G11">
        <v>2413.12</v>
      </c>
      <c r="H11" t="s">
        <v>52</v>
      </c>
      <c r="I11" t="s">
        <v>3054</v>
      </c>
      <c r="J11" t="s">
        <v>3036</v>
      </c>
      <c r="K11">
        <v>2485.5</v>
      </c>
    </row>
    <row r="12" spans="1:11" x14ac:dyDescent="0.25">
      <c r="A12" t="s">
        <v>3055</v>
      </c>
      <c r="B12" t="s">
        <v>55</v>
      </c>
      <c r="C12" t="s">
        <v>3034</v>
      </c>
      <c r="D12" s="1">
        <v>46033.270011574074</v>
      </c>
      <c r="E12">
        <v>2445.44</v>
      </c>
      <c r="F12">
        <v>71.22</v>
      </c>
      <c r="G12">
        <v>2374.2199999999998</v>
      </c>
      <c r="H12" t="s">
        <v>19</v>
      </c>
      <c r="I12" t="s">
        <v>3056</v>
      </c>
      <c r="J12" t="s">
        <v>3036</v>
      </c>
      <c r="K12">
        <v>2445.44</v>
      </c>
    </row>
    <row r="13" spans="1:11" x14ac:dyDescent="0.25">
      <c r="A13" t="s">
        <v>3057</v>
      </c>
      <c r="B13" t="s">
        <v>58</v>
      </c>
      <c r="C13" t="s">
        <v>3034</v>
      </c>
      <c r="D13" s="1">
        <v>46034.366805555554</v>
      </c>
      <c r="E13">
        <v>2081.4299999999998</v>
      </c>
      <c r="F13">
        <v>61.03</v>
      </c>
      <c r="G13">
        <v>2020.4</v>
      </c>
      <c r="H13" t="s">
        <v>25</v>
      </c>
      <c r="I13" t="s">
        <v>3058</v>
      </c>
      <c r="J13" t="s">
        <v>3036</v>
      </c>
      <c r="K13">
        <v>2081.4299999999998</v>
      </c>
    </row>
    <row r="14" spans="1:11" x14ac:dyDescent="0.25">
      <c r="A14" t="s">
        <v>3059</v>
      </c>
      <c r="B14" t="s">
        <v>61</v>
      </c>
      <c r="C14" t="s">
        <v>3034</v>
      </c>
      <c r="D14" s="1">
        <v>46035.441423611112</v>
      </c>
      <c r="E14">
        <v>913.23</v>
      </c>
      <c r="F14">
        <v>26.78</v>
      </c>
      <c r="G14">
        <v>886.45</v>
      </c>
      <c r="H14" t="s">
        <v>25</v>
      </c>
      <c r="I14" t="s">
        <v>3060</v>
      </c>
      <c r="J14" t="s">
        <v>3036</v>
      </c>
      <c r="K14">
        <v>913.23</v>
      </c>
    </row>
    <row r="15" spans="1:11" x14ac:dyDescent="0.25">
      <c r="A15" t="s">
        <v>3061</v>
      </c>
      <c r="B15" t="s">
        <v>64</v>
      </c>
      <c r="C15" t="s">
        <v>3034</v>
      </c>
      <c r="D15" s="1">
        <v>46036.525011574071</v>
      </c>
      <c r="E15">
        <v>337.01</v>
      </c>
      <c r="F15">
        <v>10.07</v>
      </c>
      <c r="G15">
        <v>326.94</v>
      </c>
      <c r="H15" t="s">
        <v>25</v>
      </c>
      <c r="I15" t="s">
        <v>3062</v>
      </c>
      <c r="J15" t="s">
        <v>3036</v>
      </c>
      <c r="K15">
        <v>337.01</v>
      </c>
    </row>
    <row r="16" spans="1:11" x14ac:dyDescent="0.25">
      <c r="A16" t="s">
        <v>3063</v>
      </c>
      <c r="B16" t="s">
        <v>67</v>
      </c>
      <c r="C16" t="s">
        <v>3034</v>
      </c>
      <c r="D16" s="1">
        <v>46023.637615740743</v>
      </c>
      <c r="E16">
        <v>2300.7199999999998</v>
      </c>
      <c r="F16">
        <v>67.02</v>
      </c>
      <c r="G16">
        <v>2233.6999999999998</v>
      </c>
      <c r="H16" t="s">
        <v>25</v>
      </c>
      <c r="I16" t="s">
        <v>3064</v>
      </c>
      <c r="J16" t="s">
        <v>3036</v>
      </c>
      <c r="K16">
        <v>2300.7199999999998</v>
      </c>
    </row>
    <row r="17" spans="1:11" x14ac:dyDescent="0.25">
      <c r="A17" t="s">
        <v>3065</v>
      </c>
      <c r="B17" t="s">
        <v>73</v>
      </c>
      <c r="C17" t="s">
        <v>3034</v>
      </c>
      <c r="D17" s="1">
        <v>46025.799791666665</v>
      </c>
      <c r="E17">
        <v>761.14</v>
      </c>
      <c r="F17">
        <v>22.37</v>
      </c>
      <c r="G17">
        <v>738.77</v>
      </c>
      <c r="H17" t="s">
        <v>25</v>
      </c>
      <c r="I17" t="s">
        <v>3040</v>
      </c>
      <c r="J17" t="s">
        <v>3036</v>
      </c>
      <c r="K17">
        <v>761.14</v>
      </c>
    </row>
    <row r="18" spans="1:11" x14ac:dyDescent="0.25">
      <c r="A18" t="s">
        <v>3066</v>
      </c>
      <c r="B18" t="s">
        <v>76</v>
      </c>
      <c r="C18" t="s">
        <v>3034</v>
      </c>
      <c r="D18" s="1">
        <v>46026.925729166665</v>
      </c>
      <c r="E18">
        <v>1163.21</v>
      </c>
      <c r="F18">
        <v>34.03</v>
      </c>
      <c r="G18">
        <v>1129.18</v>
      </c>
      <c r="H18" t="s">
        <v>25</v>
      </c>
      <c r="I18" t="s">
        <v>3042</v>
      </c>
      <c r="J18" t="s">
        <v>3036</v>
      </c>
      <c r="K18">
        <v>1163.21</v>
      </c>
    </row>
    <row r="19" spans="1:11" x14ac:dyDescent="0.25">
      <c r="A19" t="s">
        <v>3067</v>
      </c>
      <c r="B19" t="s">
        <v>79</v>
      </c>
      <c r="C19" t="s">
        <v>3034</v>
      </c>
      <c r="D19" s="1">
        <v>46028.015706018516</v>
      </c>
      <c r="E19">
        <v>1073.8</v>
      </c>
      <c r="F19">
        <v>31.44</v>
      </c>
      <c r="G19">
        <v>1042.3599999999999</v>
      </c>
      <c r="H19" t="s">
        <v>25</v>
      </c>
      <c r="I19" t="s">
        <v>3068</v>
      </c>
      <c r="J19" t="s">
        <v>3036</v>
      </c>
      <c r="K19">
        <v>1073.8</v>
      </c>
    </row>
    <row r="20" spans="1:11" x14ac:dyDescent="0.25">
      <c r="A20" t="s">
        <v>3069</v>
      </c>
      <c r="B20" t="s">
        <v>82</v>
      </c>
      <c r="C20" t="s">
        <v>3034</v>
      </c>
      <c r="D20" s="1">
        <v>46029.083124999997</v>
      </c>
      <c r="E20">
        <v>48.73</v>
      </c>
      <c r="F20">
        <v>1.71</v>
      </c>
      <c r="G20">
        <v>47.02</v>
      </c>
      <c r="H20" t="s">
        <v>52</v>
      </c>
      <c r="I20" t="s">
        <v>3070</v>
      </c>
      <c r="J20" t="s">
        <v>3036</v>
      </c>
      <c r="K20">
        <v>48.73</v>
      </c>
    </row>
    <row r="21" spans="1:11" x14ac:dyDescent="0.25">
      <c r="A21" t="s">
        <v>3071</v>
      </c>
      <c r="B21" t="s">
        <v>85</v>
      </c>
      <c r="C21" t="s">
        <v>3034</v>
      </c>
      <c r="D21" s="1">
        <v>46030.168599537035</v>
      </c>
      <c r="E21">
        <v>729.25</v>
      </c>
      <c r="F21">
        <v>21.45</v>
      </c>
      <c r="G21">
        <v>707.8</v>
      </c>
      <c r="H21" t="s">
        <v>19</v>
      </c>
      <c r="I21" t="s">
        <v>3072</v>
      </c>
      <c r="J21" t="s">
        <v>3036</v>
      </c>
      <c r="K21">
        <v>729.25</v>
      </c>
    </row>
    <row r="22" spans="1:11" x14ac:dyDescent="0.25">
      <c r="A22" t="s">
        <v>3073</v>
      </c>
      <c r="B22" t="s">
        <v>88</v>
      </c>
      <c r="C22" t="s">
        <v>3034</v>
      </c>
      <c r="D22" s="1">
        <v>46030.255578703705</v>
      </c>
      <c r="E22">
        <v>1387.06</v>
      </c>
      <c r="F22">
        <v>40.520000000000003</v>
      </c>
      <c r="G22">
        <v>1346.54</v>
      </c>
      <c r="H22" t="s">
        <v>25</v>
      </c>
      <c r="I22" t="s">
        <v>3050</v>
      </c>
      <c r="J22" t="s">
        <v>3036</v>
      </c>
      <c r="K22">
        <v>1387.06</v>
      </c>
    </row>
    <row r="23" spans="1:11" x14ac:dyDescent="0.25">
      <c r="A23" t="s">
        <v>3074</v>
      </c>
      <c r="B23" t="s">
        <v>91</v>
      </c>
      <c r="C23" t="s">
        <v>3034</v>
      </c>
      <c r="D23" s="1">
        <v>46031.347939814812</v>
      </c>
      <c r="E23">
        <v>1437.16</v>
      </c>
      <c r="F23">
        <v>41.98</v>
      </c>
      <c r="G23">
        <v>1395.18</v>
      </c>
      <c r="H23" t="s">
        <v>25</v>
      </c>
      <c r="I23" t="s">
        <v>3052</v>
      </c>
      <c r="J23" t="s">
        <v>3036</v>
      </c>
      <c r="K23">
        <v>1437.16</v>
      </c>
    </row>
    <row r="24" spans="1:11" x14ac:dyDescent="0.25">
      <c r="A24" t="s">
        <v>3075</v>
      </c>
      <c r="B24" t="s">
        <v>91</v>
      </c>
      <c r="C24" t="s">
        <v>3076</v>
      </c>
      <c r="D24" s="1">
        <v>46032.340995370374</v>
      </c>
      <c r="E24">
        <v>-718.58</v>
      </c>
      <c r="F24">
        <v>0</v>
      </c>
      <c r="G24">
        <v>-718.58</v>
      </c>
      <c r="H24" t="s">
        <v>25</v>
      </c>
      <c r="I24" t="s">
        <v>3077</v>
      </c>
      <c r="J24" t="s">
        <v>3036</v>
      </c>
      <c r="K24">
        <v>-718.58</v>
      </c>
    </row>
    <row r="25" spans="1:11" x14ac:dyDescent="0.25">
      <c r="A25" t="s">
        <v>3078</v>
      </c>
      <c r="B25" t="s">
        <v>95</v>
      </c>
      <c r="C25" t="s">
        <v>3034</v>
      </c>
      <c r="D25" s="1">
        <v>46032.463923611111</v>
      </c>
      <c r="E25">
        <v>1268.9000000000001</v>
      </c>
      <c r="F25">
        <v>37.1</v>
      </c>
      <c r="G25">
        <v>1231.8</v>
      </c>
      <c r="H25" t="s">
        <v>25</v>
      </c>
      <c r="I25" t="s">
        <v>3079</v>
      </c>
      <c r="J25" t="s">
        <v>3036</v>
      </c>
      <c r="K25">
        <v>1268.9000000000001</v>
      </c>
    </row>
    <row r="26" spans="1:11" x14ac:dyDescent="0.25">
      <c r="A26" t="s">
        <v>3080</v>
      </c>
      <c r="B26" t="s">
        <v>98</v>
      </c>
      <c r="C26" t="s">
        <v>3034</v>
      </c>
      <c r="D26" s="1">
        <v>46033.543310185189</v>
      </c>
      <c r="E26">
        <v>1602.31</v>
      </c>
      <c r="F26">
        <v>46.77</v>
      </c>
      <c r="G26">
        <v>1555.54</v>
      </c>
      <c r="H26" t="s">
        <v>25</v>
      </c>
      <c r="I26" t="s">
        <v>3081</v>
      </c>
      <c r="J26" t="s">
        <v>3036</v>
      </c>
      <c r="K26">
        <v>1602.31</v>
      </c>
    </row>
    <row r="27" spans="1:11" x14ac:dyDescent="0.25">
      <c r="A27" t="s">
        <v>3082</v>
      </c>
      <c r="B27" t="s">
        <v>101</v>
      </c>
      <c r="C27" t="s">
        <v>3034</v>
      </c>
      <c r="D27" s="1">
        <v>46034.641412037039</v>
      </c>
      <c r="E27">
        <v>2124.09</v>
      </c>
      <c r="F27">
        <v>61.9</v>
      </c>
      <c r="G27">
        <v>2062.19</v>
      </c>
      <c r="H27" t="s">
        <v>25</v>
      </c>
      <c r="I27" t="s">
        <v>3058</v>
      </c>
      <c r="J27" t="s">
        <v>3036</v>
      </c>
      <c r="K27">
        <v>2124.09</v>
      </c>
    </row>
    <row r="28" spans="1:11" x14ac:dyDescent="0.25">
      <c r="A28" t="s">
        <v>3083</v>
      </c>
      <c r="B28" t="s">
        <v>104</v>
      </c>
      <c r="C28" t="s">
        <v>3034</v>
      </c>
      <c r="D28" s="1">
        <v>46035.725763888891</v>
      </c>
      <c r="E28">
        <v>2255.6799999999998</v>
      </c>
      <c r="F28">
        <v>65.709999999999994</v>
      </c>
      <c r="G28">
        <v>2189.9699999999998</v>
      </c>
      <c r="H28" t="s">
        <v>25</v>
      </c>
      <c r="I28" t="s">
        <v>3060</v>
      </c>
      <c r="J28" t="s">
        <v>3036</v>
      </c>
      <c r="K28">
        <v>2255.6799999999998</v>
      </c>
    </row>
    <row r="29" spans="1:11" x14ac:dyDescent="0.25">
      <c r="A29" t="s">
        <v>3084</v>
      </c>
      <c r="B29" t="s">
        <v>107</v>
      </c>
      <c r="C29" t="s">
        <v>3034</v>
      </c>
      <c r="D29" s="1">
        <v>46036.84065972222</v>
      </c>
      <c r="E29">
        <v>1215.6199999999999</v>
      </c>
      <c r="F29">
        <v>35.549999999999997</v>
      </c>
      <c r="G29">
        <v>1180.07</v>
      </c>
      <c r="H29" t="s">
        <v>25</v>
      </c>
      <c r="I29" t="s">
        <v>3062</v>
      </c>
      <c r="J29" t="s">
        <v>3036</v>
      </c>
      <c r="K29">
        <v>1215.6199999999999</v>
      </c>
    </row>
    <row r="30" spans="1:11" x14ac:dyDescent="0.25">
      <c r="A30" t="s">
        <v>3085</v>
      </c>
      <c r="B30" t="s">
        <v>107</v>
      </c>
      <c r="C30" t="s">
        <v>3076</v>
      </c>
      <c r="D30" s="1">
        <v>46037.833715277775</v>
      </c>
      <c r="E30">
        <v>-607.80999999999995</v>
      </c>
      <c r="F30">
        <v>0</v>
      </c>
      <c r="G30">
        <v>-607.80999999999995</v>
      </c>
      <c r="H30" t="s">
        <v>25</v>
      </c>
      <c r="I30" t="s">
        <v>3086</v>
      </c>
      <c r="J30" t="s">
        <v>3036</v>
      </c>
      <c r="K30">
        <v>-607.80999999999995</v>
      </c>
    </row>
    <row r="31" spans="1:11" x14ac:dyDescent="0.25">
      <c r="A31" t="s">
        <v>3087</v>
      </c>
      <c r="B31" t="s">
        <v>110</v>
      </c>
      <c r="C31" t="s">
        <v>3034</v>
      </c>
      <c r="D31" s="1">
        <v>46023.927407407406</v>
      </c>
      <c r="E31">
        <v>2232.77</v>
      </c>
      <c r="F31">
        <v>65.05</v>
      </c>
      <c r="G31">
        <v>2167.7199999999998</v>
      </c>
      <c r="H31" t="s">
        <v>25</v>
      </c>
      <c r="I31" t="s">
        <v>3064</v>
      </c>
      <c r="J31" t="s">
        <v>3036</v>
      </c>
      <c r="K31">
        <v>2232.77</v>
      </c>
    </row>
    <row r="32" spans="1:11" x14ac:dyDescent="0.25">
      <c r="A32" t="s">
        <v>3088</v>
      </c>
      <c r="B32" t="s">
        <v>113</v>
      </c>
      <c r="C32" t="s">
        <v>3034</v>
      </c>
      <c r="D32" s="1">
        <v>46024.997766203705</v>
      </c>
      <c r="E32">
        <v>1815.34</v>
      </c>
      <c r="F32">
        <v>52.94</v>
      </c>
      <c r="G32">
        <v>1762.4</v>
      </c>
      <c r="H32" t="s">
        <v>52</v>
      </c>
      <c r="I32" t="s">
        <v>3089</v>
      </c>
      <c r="J32" t="s">
        <v>3036</v>
      </c>
      <c r="K32">
        <v>1815.34</v>
      </c>
    </row>
    <row r="33" spans="1:11" x14ac:dyDescent="0.25">
      <c r="A33" t="s">
        <v>3090</v>
      </c>
      <c r="B33" t="s">
        <v>116</v>
      </c>
      <c r="C33" t="s">
        <v>3034</v>
      </c>
      <c r="D33" s="1">
        <v>46026.086342592593</v>
      </c>
      <c r="E33">
        <v>571.97</v>
      </c>
      <c r="F33">
        <v>16.89</v>
      </c>
      <c r="G33">
        <v>555.08000000000004</v>
      </c>
      <c r="H33" t="s">
        <v>25</v>
      </c>
      <c r="I33" t="s">
        <v>3091</v>
      </c>
      <c r="J33" t="s">
        <v>3036</v>
      </c>
      <c r="K33">
        <v>571.97</v>
      </c>
    </row>
    <row r="34" spans="1:11" x14ac:dyDescent="0.25">
      <c r="A34" t="s">
        <v>3092</v>
      </c>
      <c r="B34" t="s">
        <v>119</v>
      </c>
      <c r="C34" t="s">
        <v>3034</v>
      </c>
      <c r="D34" s="1">
        <v>46027.173576388886</v>
      </c>
      <c r="E34">
        <v>1173.1300000000001</v>
      </c>
      <c r="F34">
        <v>34.32</v>
      </c>
      <c r="G34">
        <v>1138.81</v>
      </c>
      <c r="H34" t="s">
        <v>25</v>
      </c>
      <c r="I34" t="s">
        <v>3042</v>
      </c>
      <c r="J34" t="s">
        <v>3036</v>
      </c>
      <c r="K34">
        <v>1173.1300000000001</v>
      </c>
    </row>
    <row r="35" spans="1:11" x14ac:dyDescent="0.25">
      <c r="A35" t="s">
        <v>3093</v>
      </c>
      <c r="B35" t="s">
        <v>122</v>
      </c>
      <c r="C35" t="s">
        <v>3034</v>
      </c>
      <c r="D35" s="1">
        <v>46027.264907407407</v>
      </c>
      <c r="E35">
        <v>1959.72</v>
      </c>
      <c r="F35">
        <v>57.13</v>
      </c>
      <c r="G35">
        <v>1902.59</v>
      </c>
      <c r="H35" t="s">
        <v>25</v>
      </c>
      <c r="I35" t="s">
        <v>3068</v>
      </c>
      <c r="J35" t="s">
        <v>3036</v>
      </c>
      <c r="K35">
        <v>1959.72</v>
      </c>
    </row>
    <row r="36" spans="1:11" x14ac:dyDescent="0.25">
      <c r="A36" t="s">
        <v>3094</v>
      </c>
      <c r="B36" t="s">
        <v>125</v>
      </c>
      <c r="C36" t="s">
        <v>3034</v>
      </c>
      <c r="D36" s="1">
        <v>46028.368437500001</v>
      </c>
      <c r="E36">
        <v>1682.53</v>
      </c>
      <c r="F36">
        <v>49.09</v>
      </c>
      <c r="G36">
        <v>1633.44</v>
      </c>
      <c r="H36" t="s">
        <v>25</v>
      </c>
      <c r="I36" t="s">
        <v>3046</v>
      </c>
      <c r="J36" t="s">
        <v>3036</v>
      </c>
      <c r="K36">
        <v>1682.53</v>
      </c>
    </row>
    <row r="37" spans="1:11" x14ac:dyDescent="0.25">
      <c r="A37" t="s">
        <v>3095</v>
      </c>
      <c r="B37" t="s">
        <v>128</v>
      </c>
      <c r="C37" t="s">
        <v>3034</v>
      </c>
      <c r="D37" s="1">
        <v>46029.474259259259</v>
      </c>
      <c r="E37">
        <v>440.56</v>
      </c>
      <c r="F37">
        <v>13.08</v>
      </c>
      <c r="G37">
        <v>427.48</v>
      </c>
      <c r="H37" t="s">
        <v>25</v>
      </c>
      <c r="I37" t="s">
        <v>3096</v>
      </c>
      <c r="J37" t="s">
        <v>3036</v>
      </c>
      <c r="K37">
        <v>440.56</v>
      </c>
    </row>
    <row r="38" spans="1:11" x14ac:dyDescent="0.25">
      <c r="A38" t="s">
        <v>3097</v>
      </c>
      <c r="B38" t="s">
        <v>131</v>
      </c>
      <c r="C38" t="s">
        <v>3034</v>
      </c>
      <c r="D38" s="1">
        <v>46030.536770833336</v>
      </c>
      <c r="E38">
        <v>1204.1199999999999</v>
      </c>
      <c r="F38">
        <v>35.22</v>
      </c>
      <c r="G38">
        <v>1168.9000000000001</v>
      </c>
      <c r="H38" t="s">
        <v>25</v>
      </c>
      <c r="I38" t="s">
        <v>3050</v>
      </c>
      <c r="J38" t="s">
        <v>3036</v>
      </c>
      <c r="K38">
        <v>1204.1199999999999</v>
      </c>
    </row>
    <row r="39" spans="1:11" x14ac:dyDescent="0.25">
      <c r="A39" t="s">
        <v>3098</v>
      </c>
      <c r="B39" t="s">
        <v>134</v>
      </c>
      <c r="C39" t="s">
        <v>3034</v>
      </c>
      <c r="D39" s="1">
        <v>46031.663715277777</v>
      </c>
      <c r="E39">
        <v>1174.22</v>
      </c>
      <c r="F39">
        <v>34.35</v>
      </c>
      <c r="G39">
        <v>1139.8699999999999</v>
      </c>
      <c r="H39" t="s">
        <v>25</v>
      </c>
      <c r="I39" t="s">
        <v>3052</v>
      </c>
      <c r="J39" t="s">
        <v>3036</v>
      </c>
      <c r="K39">
        <v>1174.22</v>
      </c>
    </row>
    <row r="40" spans="1:11" x14ac:dyDescent="0.25">
      <c r="A40" t="s">
        <v>3099</v>
      </c>
      <c r="B40" t="s">
        <v>137</v>
      </c>
      <c r="C40" t="s">
        <v>3034</v>
      </c>
      <c r="D40" s="1">
        <v>46032.753425925926</v>
      </c>
      <c r="E40">
        <v>1871.76</v>
      </c>
      <c r="F40">
        <v>54.58</v>
      </c>
      <c r="G40">
        <v>1817.18</v>
      </c>
      <c r="H40" t="s">
        <v>25</v>
      </c>
      <c r="I40" t="s">
        <v>3079</v>
      </c>
      <c r="J40" t="s">
        <v>3036</v>
      </c>
      <c r="K40">
        <v>1871.76</v>
      </c>
    </row>
    <row r="41" spans="1:11" x14ac:dyDescent="0.25">
      <c r="A41" t="s">
        <v>3100</v>
      </c>
      <c r="B41" t="s">
        <v>140</v>
      </c>
      <c r="C41" t="s">
        <v>3034</v>
      </c>
      <c r="D41" s="1">
        <v>46033.813518518517</v>
      </c>
      <c r="E41">
        <v>722</v>
      </c>
      <c r="F41">
        <v>21.24</v>
      </c>
      <c r="G41">
        <v>700.76</v>
      </c>
      <c r="H41" t="s">
        <v>25</v>
      </c>
      <c r="I41" t="s">
        <v>3081</v>
      </c>
      <c r="J41" t="s">
        <v>3036</v>
      </c>
      <c r="K41">
        <v>722</v>
      </c>
    </row>
    <row r="42" spans="1:11" x14ac:dyDescent="0.25">
      <c r="A42" t="s">
        <v>3101</v>
      </c>
      <c r="B42" t="s">
        <v>143</v>
      </c>
      <c r="C42" t="s">
        <v>3034</v>
      </c>
      <c r="D42" s="1">
        <v>46034.937465277777</v>
      </c>
      <c r="E42">
        <v>445.09</v>
      </c>
      <c r="F42">
        <v>13.21</v>
      </c>
      <c r="G42">
        <v>431.88</v>
      </c>
      <c r="H42" t="s">
        <v>52</v>
      </c>
      <c r="I42" t="s">
        <v>3102</v>
      </c>
      <c r="J42" t="s">
        <v>3036</v>
      </c>
      <c r="K42">
        <v>445.09</v>
      </c>
    </row>
    <row r="43" spans="1:11" x14ac:dyDescent="0.25">
      <c r="A43" t="s">
        <v>3103</v>
      </c>
      <c r="B43" t="s">
        <v>146</v>
      </c>
      <c r="C43" t="s">
        <v>3034</v>
      </c>
      <c r="D43" s="1">
        <v>46036.00172453704</v>
      </c>
      <c r="E43">
        <v>2333.15</v>
      </c>
      <c r="F43">
        <v>67.959999999999994</v>
      </c>
      <c r="G43">
        <v>2265.19</v>
      </c>
      <c r="H43" t="s">
        <v>25</v>
      </c>
      <c r="I43" t="s">
        <v>3104</v>
      </c>
      <c r="J43" t="s">
        <v>3036</v>
      </c>
      <c r="K43">
        <v>2333.15</v>
      </c>
    </row>
    <row r="44" spans="1:11" x14ac:dyDescent="0.25">
      <c r="A44" t="s">
        <v>3105</v>
      </c>
      <c r="B44" t="s">
        <v>149</v>
      </c>
      <c r="C44" t="s">
        <v>3034</v>
      </c>
      <c r="D44" s="1">
        <v>46037.092303240737</v>
      </c>
      <c r="E44">
        <v>802.72</v>
      </c>
      <c r="F44">
        <v>23.58</v>
      </c>
      <c r="G44">
        <v>779.14</v>
      </c>
      <c r="H44" t="s">
        <v>25</v>
      </c>
      <c r="I44" t="s">
        <v>3062</v>
      </c>
      <c r="J44" t="s">
        <v>3036</v>
      </c>
      <c r="K44">
        <v>802.72</v>
      </c>
    </row>
    <row r="45" spans="1:11" x14ac:dyDescent="0.25">
      <c r="A45" t="s">
        <v>3105</v>
      </c>
      <c r="B45" t="s">
        <v>149</v>
      </c>
      <c r="C45" t="s">
        <v>3034</v>
      </c>
      <c r="D45" s="1">
        <v>46037.092303240737</v>
      </c>
      <c r="E45">
        <v>802.72</v>
      </c>
      <c r="F45">
        <v>23.58</v>
      </c>
      <c r="G45">
        <v>779.14</v>
      </c>
      <c r="H45" t="s">
        <v>25</v>
      </c>
      <c r="I45" t="s">
        <v>3062</v>
      </c>
      <c r="J45" t="s">
        <v>3036</v>
      </c>
      <c r="K45">
        <v>802.72</v>
      </c>
    </row>
    <row r="46" spans="1:11" x14ac:dyDescent="0.25">
      <c r="A46" t="s">
        <v>3106</v>
      </c>
      <c r="B46" t="s">
        <v>152</v>
      </c>
      <c r="C46" t="s">
        <v>3034</v>
      </c>
      <c r="D46" s="1">
        <v>46024.206689814811</v>
      </c>
      <c r="E46">
        <v>596.11</v>
      </c>
      <c r="F46">
        <v>17.59</v>
      </c>
      <c r="G46">
        <v>578.52</v>
      </c>
      <c r="H46" t="s">
        <v>25</v>
      </c>
      <c r="I46" t="s">
        <v>3064</v>
      </c>
      <c r="J46" t="s">
        <v>3036</v>
      </c>
      <c r="K46">
        <v>596.11</v>
      </c>
    </row>
    <row r="47" spans="1:11" x14ac:dyDescent="0.25">
      <c r="A47" t="s">
        <v>3107</v>
      </c>
      <c r="B47" t="s">
        <v>155</v>
      </c>
      <c r="C47" t="s">
        <v>3034</v>
      </c>
      <c r="D47" s="1">
        <v>46024.293495370373</v>
      </c>
      <c r="E47">
        <v>888.02</v>
      </c>
      <c r="F47">
        <v>26.05</v>
      </c>
      <c r="G47">
        <v>861.97</v>
      </c>
      <c r="H47" t="s">
        <v>25</v>
      </c>
      <c r="I47" t="s">
        <v>3038</v>
      </c>
      <c r="J47" t="s">
        <v>3036</v>
      </c>
      <c r="K47">
        <v>888.02</v>
      </c>
    </row>
    <row r="48" spans="1:11" x14ac:dyDescent="0.25">
      <c r="A48" t="s">
        <v>3108</v>
      </c>
      <c r="B48" t="s">
        <v>158</v>
      </c>
      <c r="C48" t="s">
        <v>3034</v>
      </c>
      <c r="D48" s="1">
        <v>46025.393888888888</v>
      </c>
      <c r="E48">
        <v>308.61</v>
      </c>
      <c r="F48">
        <v>9.25</v>
      </c>
      <c r="G48">
        <v>299.36</v>
      </c>
      <c r="H48" t="s">
        <v>25</v>
      </c>
      <c r="I48" t="s">
        <v>3040</v>
      </c>
      <c r="J48" t="s">
        <v>3036</v>
      </c>
      <c r="K48">
        <v>308.61</v>
      </c>
    </row>
    <row r="49" spans="1:11" x14ac:dyDescent="0.25">
      <c r="A49" t="s">
        <v>3109</v>
      </c>
      <c r="B49" t="s">
        <v>161</v>
      </c>
      <c r="C49" t="s">
        <v>3034</v>
      </c>
      <c r="D49" s="1">
        <v>46026.45820601852</v>
      </c>
      <c r="E49">
        <v>1365.15</v>
      </c>
      <c r="F49">
        <v>39.89</v>
      </c>
      <c r="G49">
        <v>1325.26</v>
      </c>
      <c r="H49" t="s">
        <v>52</v>
      </c>
      <c r="I49" t="s">
        <v>3110</v>
      </c>
      <c r="J49" t="s">
        <v>3036</v>
      </c>
      <c r="K49">
        <v>1365.15</v>
      </c>
    </row>
    <row r="50" spans="1:11" x14ac:dyDescent="0.25">
      <c r="A50" t="s">
        <v>3111</v>
      </c>
      <c r="B50" t="s">
        <v>164</v>
      </c>
      <c r="C50" t="s">
        <v>3034</v>
      </c>
      <c r="D50" s="1">
        <v>46027.581030092595</v>
      </c>
      <c r="E50">
        <v>2191.81</v>
      </c>
      <c r="F50">
        <v>63.86</v>
      </c>
      <c r="G50">
        <v>2127.9499999999998</v>
      </c>
      <c r="H50" t="s">
        <v>25</v>
      </c>
      <c r="I50" t="s">
        <v>3068</v>
      </c>
      <c r="J50" t="s">
        <v>3036</v>
      </c>
      <c r="K50">
        <v>2191.81</v>
      </c>
    </row>
    <row r="51" spans="1:11" x14ac:dyDescent="0.25">
      <c r="A51" t="s">
        <v>3112</v>
      </c>
      <c r="B51" t="s">
        <v>167</v>
      </c>
      <c r="C51" t="s">
        <v>3034</v>
      </c>
      <c r="D51" s="1">
        <v>46028.671597222223</v>
      </c>
      <c r="E51">
        <v>460.95</v>
      </c>
      <c r="F51">
        <v>13.67</v>
      </c>
      <c r="G51">
        <v>447.28</v>
      </c>
      <c r="H51" t="s">
        <v>25</v>
      </c>
      <c r="I51" t="s">
        <v>3046</v>
      </c>
      <c r="J51" t="s">
        <v>3036</v>
      </c>
      <c r="K51">
        <v>460.95</v>
      </c>
    </row>
    <row r="52" spans="1:11" x14ac:dyDescent="0.25">
      <c r="A52" t="s">
        <v>3113</v>
      </c>
      <c r="B52" t="s">
        <v>170</v>
      </c>
      <c r="C52" t="s">
        <v>3034</v>
      </c>
      <c r="D52" s="1">
        <v>46029.744317129633</v>
      </c>
      <c r="E52">
        <v>1040.18</v>
      </c>
      <c r="F52">
        <v>30.47</v>
      </c>
      <c r="G52">
        <v>1009.71</v>
      </c>
      <c r="H52" t="s">
        <v>25</v>
      </c>
      <c r="I52" t="s">
        <v>3048</v>
      </c>
      <c r="J52" t="s">
        <v>3036</v>
      </c>
      <c r="K52">
        <v>1040.18</v>
      </c>
    </row>
    <row r="53" spans="1:11" x14ac:dyDescent="0.25">
      <c r="A53" t="s">
        <v>3114</v>
      </c>
      <c r="B53" t="s">
        <v>173</v>
      </c>
      <c r="C53" t="s">
        <v>3034</v>
      </c>
      <c r="D53" s="1">
        <v>46030.842893518522</v>
      </c>
      <c r="E53">
        <v>89.08</v>
      </c>
      <c r="F53">
        <v>2.88</v>
      </c>
      <c r="G53">
        <v>86.2</v>
      </c>
      <c r="H53" t="s">
        <v>52</v>
      </c>
      <c r="I53" t="s">
        <v>3115</v>
      </c>
      <c r="J53" t="s">
        <v>3036</v>
      </c>
      <c r="K53">
        <v>89.08</v>
      </c>
    </row>
    <row r="54" spans="1:11" x14ac:dyDescent="0.25">
      <c r="A54" t="s">
        <v>3116</v>
      </c>
      <c r="B54" t="s">
        <v>176</v>
      </c>
      <c r="C54" t="s">
        <v>3034</v>
      </c>
      <c r="D54" s="1">
        <v>46031.936249999999</v>
      </c>
      <c r="E54">
        <v>1615.84</v>
      </c>
      <c r="F54">
        <v>47.16</v>
      </c>
      <c r="G54">
        <v>1568.68</v>
      </c>
      <c r="H54" t="s">
        <v>19</v>
      </c>
      <c r="I54" t="s">
        <v>3117</v>
      </c>
      <c r="J54" t="s">
        <v>3036</v>
      </c>
      <c r="K54">
        <v>1615.84</v>
      </c>
    </row>
    <row r="55" spans="1:11" x14ac:dyDescent="0.25">
      <c r="A55" t="s">
        <v>3118</v>
      </c>
      <c r="B55" t="s">
        <v>179</v>
      </c>
      <c r="C55" t="s">
        <v>3034</v>
      </c>
      <c r="D55" s="1">
        <v>46033.040706018517</v>
      </c>
      <c r="E55">
        <v>212.38</v>
      </c>
      <c r="F55">
        <v>6.46</v>
      </c>
      <c r="G55">
        <v>205.92</v>
      </c>
      <c r="H55" t="s">
        <v>25</v>
      </c>
      <c r="I55" t="s">
        <v>3079</v>
      </c>
      <c r="J55" t="s">
        <v>3036</v>
      </c>
      <c r="K55">
        <v>212.38</v>
      </c>
    </row>
    <row r="56" spans="1:11" x14ac:dyDescent="0.25">
      <c r="A56" t="s">
        <v>3119</v>
      </c>
      <c r="B56" t="s">
        <v>182</v>
      </c>
      <c r="C56" t="s">
        <v>3034</v>
      </c>
      <c r="D56" s="1">
        <v>46034.101412037038</v>
      </c>
      <c r="E56">
        <v>2297.9699999999998</v>
      </c>
      <c r="F56">
        <v>66.94</v>
      </c>
      <c r="G56">
        <v>2231.0300000000002</v>
      </c>
      <c r="H56" t="s">
        <v>25</v>
      </c>
      <c r="I56" t="s">
        <v>3081</v>
      </c>
      <c r="J56" t="s">
        <v>3036</v>
      </c>
      <c r="K56">
        <v>2297.9699999999998</v>
      </c>
    </row>
    <row r="57" spans="1:11" x14ac:dyDescent="0.25">
      <c r="A57" t="s">
        <v>3120</v>
      </c>
      <c r="B57" t="s">
        <v>185</v>
      </c>
      <c r="C57" t="s">
        <v>3034</v>
      </c>
      <c r="D57" s="1">
        <v>46035.223587962966</v>
      </c>
      <c r="E57">
        <v>1077.69</v>
      </c>
      <c r="F57">
        <v>31.55</v>
      </c>
      <c r="G57">
        <v>1046.1400000000001</v>
      </c>
      <c r="H57" t="s">
        <v>25</v>
      </c>
      <c r="I57" t="s">
        <v>3058</v>
      </c>
      <c r="J57" t="s">
        <v>3036</v>
      </c>
      <c r="K57">
        <v>1077.69</v>
      </c>
    </row>
    <row r="58" spans="1:11" x14ac:dyDescent="0.25">
      <c r="A58" t="s">
        <v>3121</v>
      </c>
      <c r="B58" t="s">
        <v>188</v>
      </c>
      <c r="C58" t="s">
        <v>3034</v>
      </c>
      <c r="D58" s="1">
        <v>46035.310034722221</v>
      </c>
      <c r="E58">
        <v>1653.82</v>
      </c>
      <c r="F58">
        <v>48.26</v>
      </c>
      <c r="G58">
        <v>1605.56</v>
      </c>
      <c r="H58" t="s">
        <v>25</v>
      </c>
      <c r="I58" t="s">
        <v>3060</v>
      </c>
      <c r="J58" t="s">
        <v>3036</v>
      </c>
      <c r="K58">
        <v>1653.82</v>
      </c>
    </row>
    <row r="59" spans="1:11" x14ac:dyDescent="0.25">
      <c r="A59" t="s">
        <v>3122</v>
      </c>
      <c r="B59" t="s">
        <v>191</v>
      </c>
      <c r="C59" t="s">
        <v>3034</v>
      </c>
      <c r="D59" s="1">
        <v>46036.399664351855</v>
      </c>
      <c r="E59">
        <v>1581.67</v>
      </c>
      <c r="F59">
        <v>46.17</v>
      </c>
      <c r="G59">
        <v>1535.5</v>
      </c>
      <c r="H59" t="s">
        <v>25</v>
      </c>
      <c r="I59" t="s">
        <v>3062</v>
      </c>
      <c r="J59" t="s">
        <v>3036</v>
      </c>
      <c r="K59">
        <v>1581.67</v>
      </c>
    </row>
    <row r="60" spans="1:11" x14ac:dyDescent="0.25">
      <c r="A60" t="s">
        <v>3123</v>
      </c>
      <c r="B60" t="s">
        <v>194</v>
      </c>
      <c r="C60" t="s">
        <v>3034</v>
      </c>
      <c r="D60" s="1">
        <v>46023.491724537038</v>
      </c>
      <c r="E60">
        <v>277.33</v>
      </c>
      <c r="F60">
        <v>8.34</v>
      </c>
      <c r="G60">
        <v>268.99</v>
      </c>
      <c r="H60" t="s">
        <v>25</v>
      </c>
      <c r="I60" t="s">
        <v>3124</v>
      </c>
      <c r="J60" t="s">
        <v>3036</v>
      </c>
      <c r="K60">
        <v>277.33</v>
      </c>
    </row>
    <row r="61" spans="1:11" x14ac:dyDescent="0.25">
      <c r="A61" t="s">
        <v>3125</v>
      </c>
      <c r="B61" t="s">
        <v>197</v>
      </c>
      <c r="C61" t="s">
        <v>3034</v>
      </c>
      <c r="D61" s="1">
        <v>46024.591435185182</v>
      </c>
      <c r="E61">
        <v>1903.21</v>
      </c>
      <c r="F61">
        <v>55.49</v>
      </c>
      <c r="G61">
        <v>1847.72</v>
      </c>
      <c r="H61" t="s">
        <v>25</v>
      </c>
      <c r="I61" t="s">
        <v>3038</v>
      </c>
      <c r="J61" t="s">
        <v>3036</v>
      </c>
      <c r="K61">
        <v>1903.21</v>
      </c>
    </row>
    <row r="62" spans="1:11" x14ac:dyDescent="0.25">
      <c r="A62" t="s">
        <v>3126</v>
      </c>
      <c r="B62" t="s">
        <v>200</v>
      </c>
      <c r="C62" t="s">
        <v>3034</v>
      </c>
      <c r="D62" s="1">
        <v>46025.660995370374</v>
      </c>
      <c r="E62">
        <v>2495.8000000000002</v>
      </c>
      <c r="F62">
        <v>72.680000000000007</v>
      </c>
      <c r="G62">
        <v>2423.12</v>
      </c>
      <c r="H62" t="s">
        <v>25</v>
      </c>
      <c r="I62" t="s">
        <v>3040</v>
      </c>
      <c r="J62" t="s">
        <v>3036</v>
      </c>
      <c r="K62">
        <v>2495.8000000000002</v>
      </c>
    </row>
    <row r="63" spans="1:11" x14ac:dyDescent="0.25">
      <c r="A63" t="s">
        <v>3127</v>
      </c>
      <c r="B63" t="s">
        <v>203</v>
      </c>
      <c r="C63" t="s">
        <v>3034</v>
      </c>
      <c r="D63" s="1">
        <v>46026.765428240738</v>
      </c>
      <c r="E63">
        <v>714.24</v>
      </c>
      <c r="F63">
        <v>21.01</v>
      </c>
      <c r="G63">
        <v>693.23</v>
      </c>
      <c r="H63" t="s">
        <v>52</v>
      </c>
      <c r="I63" t="s">
        <v>3128</v>
      </c>
      <c r="J63" t="s">
        <v>3036</v>
      </c>
      <c r="K63">
        <v>714.24</v>
      </c>
    </row>
    <row r="64" spans="1:11" x14ac:dyDescent="0.25">
      <c r="A64" t="s">
        <v>3129</v>
      </c>
      <c r="B64" t="s">
        <v>206</v>
      </c>
      <c r="C64" t="s">
        <v>3034</v>
      </c>
      <c r="D64" s="1">
        <v>46027.856458333335</v>
      </c>
      <c r="E64">
        <v>1271.68</v>
      </c>
      <c r="F64">
        <v>37.18</v>
      </c>
      <c r="G64">
        <v>1234.5</v>
      </c>
      <c r="H64" t="s">
        <v>19</v>
      </c>
      <c r="I64" t="s">
        <v>3130</v>
      </c>
      <c r="J64" t="s">
        <v>3036</v>
      </c>
      <c r="K64">
        <v>1271.68</v>
      </c>
    </row>
    <row r="65" spans="1:11" x14ac:dyDescent="0.25">
      <c r="A65" t="s">
        <v>3131</v>
      </c>
      <c r="B65" t="s">
        <v>209</v>
      </c>
      <c r="C65" t="s">
        <v>3034</v>
      </c>
      <c r="D65" s="1">
        <v>46028.949918981481</v>
      </c>
      <c r="E65">
        <v>1839.72</v>
      </c>
      <c r="F65">
        <v>53.65</v>
      </c>
      <c r="G65">
        <v>1786.07</v>
      </c>
      <c r="H65" t="s">
        <v>25</v>
      </c>
      <c r="I65" t="s">
        <v>3046</v>
      </c>
      <c r="J65" t="s">
        <v>3036</v>
      </c>
      <c r="K65">
        <v>1839.72</v>
      </c>
    </row>
    <row r="66" spans="1:11" x14ac:dyDescent="0.25">
      <c r="A66" t="s">
        <v>3132</v>
      </c>
      <c r="B66" t="s">
        <v>212</v>
      </c>
      <c r="C66" t="s">
        <v>3034</v>
      </c>
      <c r="D66" s="1">
        <v>46030.051759259259</v>
      </c>
      <c r="E66">
        <v>2472.3200000000002</v>
      </c>
      <c r="F66">
        <v>72</v>
      </c>
      <c r="G66">
        <v>2400.3200000000002</v>
      </c>
      <c r="H66" t="s">
        <v>25</v>
      </c>
      <c r="I66" t="s">
        <v>3048</v>
      </c>
      <c r="J66" t="s">
        <v>3036</v>
      </c>
      <c r="K66">
        <v>2472.3200000000002</v>
      </c>
    </row>
    <row r="67" spans="1:11" x14ac:dyDescent="0.25">
      <c r="A67" t="s">
        <v>3133</v>
      </c>
      <c r="B67" t="s">
        <v>215</v>
      </c>
      <c r="C67" t="s">
        <v>3034</v>
      </c>
      <c r="D67" s="1">
        <v>46031.141898148147</v>
      </c>
      <c r="E67">
        <v>133</v>
      </c>
      <c r="F67">
        <v>4.16</v>
      </c>
      <c r="G67">
        <v>128.84</v>
      </c>
      <c r="H67" t="s">
        <v>25</v>
      </c>
      <c r="I67" t="s">
        <v>3050</v>
      </c>
      <c r="J67" t="s">
        <v>3036</v>
      </c>
      <c r="K67">
        <v>133</v>
      </c>
    </row>
    <row r="68" spans="1:11" x14ac:dyDescent="0.25">
      <c r="A68" t="s">
        <v>3134</v>
      </c>
      <c r="B68" t="s">
        <v>218</v>
      </c>
      <c r="C68" t="s">
        <v>3034</v>
      </c>
      <c r="D68" s="1">
        <v>46032.207430555558</v>
      </c>
      <c r="E68">
        <v>1473.4</v>
      </c>
      <c r="F68">
        <v>43.03</v>
      </c>
      <c r="G68">
        <v>1430.37</v>
      </c>
      <c r="H68" t="s">
        <v>25</v>
      </c>
      <c r="I68" t="s">
        <v>3052</v>
      </c>
      <c r="J68" t="s">
        <v>3036</v>
      </c>
      <c r="K68">
        <v>1473.4</v>
      </c>
    </row>
    <row r="69" spans="1:11" x14ac:dyDescent="0.25">
      <c r="A69" t="s">
        <v>3135</v>
      </c>
      <c r="B69" t="s">
        <v>221</v>
      </c>
      <c r="C69" t="s">
        <v>3034</v>
      </c>
      <c r="D69" s="1">
        <v>46032.318842592591</v>
      </c>
      <c r="E69">
        <v>1256.1199999999999</v>
      </c>
      <c r="F69">
        <v>36.729999999999997</v>
      </c>
      <c r="G69">
        <v>1219.3900000000001</v>
      </c>
      <c r="H69" t="s">
        <v>25</v>
      </c>
      <c r="I69" t="s">
        <v>3079</v>
      </c>
      <c r="J69" t="s">
        <v>3036</v>
      </c>
      <c r="K69">
        <v>1256.1199999999999</v>
      </c>
    </row>
    <row r="70" spans="1:11" x14ac:dyDescent="0.25">
      <c r="A70" t="s">
        <v>3136</v>
      </c>
      <c r="B70" t="s">
        <v>224</v>
      </c>
      <c r="C70" t="s">
        <v>3034</v>
      </c>
      <c r="D70" s="1">
        <v>46033.403969907406</v>
      </c>
      <c r="E70">
        <v>99.91</v>
      </c>
      <c r="F70">
        <v>3.2</v>
      </c>
      <c r="G70">
        <v>96.71</v>
      </c>
      <c r="H70" t="s">
        <v>25</v>
      </c>
      <c r="I70" t="s">
        <v>3081</v>
      </c>
      <c r="J70" t="s">
        <v>3036</v>
      </c>
      <c r="K70">
        <v>99.91</v>
      </c>
    </row>
    <row r="71" spans="1:11" x14ac:dyDescent="0.25">
      <c r="A71" t="s">
        <v>3137</v>
      </c>
      <c r="B71" t="s">
        <v>227</v>
      </c>
      <c r="C71" t="s">
        <v>3034</v>
      </c>
      <c r="D71" s="1">
        <v>46034.477997685186</v>
      </c>
      <c r="E71">
        <v>770.25</v>
      </c>
      <c r="F71">
        <v>22.64</v>
      </c>
      <c r="G71">
        <v>747.61</v>
      </c>
      <c r="H71" t="s">
        <v>25</v>
      </c>
      <c r="I71" t="s">
        <v>3058</v>
      </c>
      <c r="J71" t="s">
        <v>3036</v>
      </c>
      <c r="K71">
        <v>770.25</v>
      </c>
    </row>
    <row r="72" spans="1:11" x14ac:dyDescent="0.25">
      <c r="A72" t="s">
        <v>3138</v>
      </c>
      <c r="B72" t="s">
        <v>230</v>
      </c>
      <c r="C72" t="s">
        <v>3034</v>
      </c>
      <c r="D72" s="1">
        <v>46035.598263888889</v>
      </c>
      <c r="E72">
        <v>532.47</v>
      </c>
      <c r="F72">
        <v>15.74</v>
      </c>
      <c r="G72">
        <v>516.73</v>
      </c>
      <c r="H72" t="s">
        <v>25</v>
      </c>
      <c r="I72" t="s">
        <v>3060</v>
      </c>
      <c r="J72" t="s">
        <v>3036</v>
      </c>
      <c r="K72">
        <v>532.47</v>
      </c>
    </row>
    <row r="73" spans="1:11" x14ac:dyDescent="0.25">
      <c r="A73" t="s">
        <v>3139</v>
      </c>
      <c r="B73" t="s">
        <v>233</v>
      </c>
      <c r="C73" t="s">
        <v>3034</v>
      </c>
      <c r="D73" s="1">
        <v>46036.681759259256</v>
      </c>
      <c r="E73">
        <v>378.23</v>
      </c>
      <c r="F73">
        <v>11.27</v>
      </c>
      <c r="G73">
        <v>366.96</v>
      </c>
      <c r="H73" t="s">
        <v>52</v>
      </c>
      <c r="I73" t="s">
        <v>3140</v>
      </c>
      <c r="J73" t="s">
        <v>3036</v>
      </c>
      <c r="K73">
        <v>378.23</v>
      </c>
    </row>
    <row r="74" spans="1:11" x14ac:dyDescent="0.25">
      <c r="A74" t="s">
        <v>3141</v>
      </c>
      <c r="B74" t="s">
        <v>236</v>
      </c>
      <c r="C74" t="s">
        <v>3034</v>
      </c>
      <c r="D74" s="1">
        <v>46023.781504629631</v>
      </c>
      <c r="E74">
        <v>132.62</v>
      </c>
      <c r="F74">
        <v>4.1500000000000004</v>
      </c>
      <c r="G74">
        <v>128.47</v>
      </c>
      <c r="H74" t="s">
        <v>19</v>
      </c>
      <c r="I74" t="s">
        <v>3035</v>
      </c>
      <c r="J74" t="s">
        <v>3036</v>
      </c>
      <c r="K74">
        <v>132.62</v>
      </c>
    </row>
    <row r="75" spans="1:11" x14ac:dyDescent="0.25">
      <c r="A75" t="s">
        <v>3142</v>
      </c>
      <c r="B75" t="s">
        <v>239</v>
      </c>
      <c r="C75" t="s">
        <v>3034</v>
      </c>
      <c r="D75" s="1">
        <v>46024.873819444445</v>
      </c>
      <c r="E75">
        <v>625.41999999999996</v>
      </c>
      <c r="F75">
        <v>18.440000000000001</v>
      </c>
      <c r="G75">
        <v>606.98</v>
      </c>
      <c r="H75" t="s">
        <v>52</v>
      </c>
      <c r="I75" t="s">
        <v>3143</v>
      </c>
      <c r="J75" t="s">
        <v>3036</v>
      </c>
      <c r="K75">
        <v>625.41999999999996</v>
      </c>
    </row>
    <row r="76" spans="1:11" x14ac:dyDescent="0.25">
      <c r="A76" t="s">
        <v>3144</v>
      </c>
      <c r="B76" t="s">
        <v>242</v>
      </c>
      <c r="C76" t="s">
        <v>3034</v>
      </c>
      <c r="D76" s="1">
        <v>46025.964907407404</v>
      </c>
      <c r="E76">
        <v>1889.05</v>
      </c>
      <c r="F76">
        <v>55.08</v>
      </c>
      <c r="G76">
        <v>1833.97</v>
      </c>
      <c r="H76" t="s">
        <v>25</v>
      </c>
      <c r="I76" t="s">
        <v>3040</v>
      </c>
      <c r="J76" t="s">
        <v>3036</v>
      </c>
      <c r="K76">
        <v>1889.05</v>
      </c>
    </row>
    <row r="77" spans="1:11" x14ac:dyDescent="0.25">
      <c r="A77" t="s">
        <v>3145</v>
      </c>
      <c r="B77" t="s">
        <v>245</v>
      </c>
      <c r="C77" t="s">
        <v>3034</v>
      </c>
      <c r="D77" s="1">
        <v>46027.031087962961</v>
      </c>
      <c r="E77">
        <v>538.35</v>
      </c>
      <c r="F77">
        <v>15.91</v>
      </c>
      <c r="G77">
        <v>522.44000000000005</v>
      </c>
      <c r="H77" t="s">
        <v>25</v>
      </c>
      <c r="I77" t="s">
        <v>3042</v>
      </c>
      <c r="J77" t="s">
        <v>3036</v>
      </c>
      <c r="K77">
        <v>538.35</v>
      </c>
    </row>
    <row r="78" spans="1:11" x14ac:dyDescent="0.25">
      <c r="A78" t="s">
        <v>3146</v>
      </c>
      <c r="B78" t="s">
        <v>248</v>
      </c>
      <c r="C78" t="s">
        <v>3034</v>
      </c>
      <c r="D78" s="1">
        <v>46028.114432870374</v>
      </c>
      <c r="E78">
        <v>370.45</v>
      </c>
      <c r="F78">
        <v>11.04</v>
      </c>
      <c r="G78">
        <v>359.41</v>
      </c>
      <c r="H78" t="s">
        <v>25</v>
      </c>
      <c r="I78" t="s">
        <v>3068</v>
      </c>
      <c r="J78" t="s">
        <v>3036</v>
      </c>
      <c r="K78">
        <v>370.45</v>
      </c>
    </row>
    <row r="79" spans="1:11" x14ac:dyDescent="0.25">
      <c r="A79" t="s">
        <v>3147</v>
      </c>
      <c r="B79" t="s">
        <v>251</v>
      </c>
      <c r="C79" t="s">
        <v>3034</v>
      </c>
      <c r="D79" s="1">
        <v>46029.211701388886</v>
      </c>
      <c r="E79">
        <v>119.49</v>
      </c>
      <c r="F79">
        <v>3.77</v>
      </c>
      <c r="G79">
        <v>115.72</v>
      </c>
      <c r="H79" t="s">
        <v>25</v>
      </c>
      <c r="I79" t="s">
        <v>3046</v>
      </c>
      <c r="J79" t="s">
        <v>3036</v>
      </c>
      <c r="K79">
        <v>119.49</v>
      </c>
    </row>
    <row r="80" spans="1:11" x14ac:dyDescent="0.25">
      <c r="A80" t="s">
        <v>3148</v>
      </c>
      <c r="B80" t="s">
        <v>254</v>
      </c>
      <c r="C80" t="s">
        <v>3034</v>
      </c>
      <c r="D80" s="1">
        <v>46029.319351851853</v>
      </c>
      <c r="E80">
        <v>1805.83</v>
      </c>
      <c r="F80">
        <v>52.67</v>
      </c>
      <c r="G80">
        <v>1753.16</v>
      </c>
      <c r="H80" t="s">
        <v>25</v>
      </c>
      <c r="I80" t="s">
        <v>3048</v>
      </c>
      <c r="J80" t="s">
        <v>3036</v>
      </c>
      <c r="K80">
        <v>1805.83</v>
      </c>
    </row>
    <row r="81" spans="1:11" x14ac:dyDescent="0.25">
      <c r="A81" t="s">
        <v>3149</v>
      </c>
      <c r="B81" t="s">
        <v>257</v>
      </c>
      <c r="C81" t="s">
        <v>3034</v>
      </c>
      <c r="D81" s="1">
        <v>46030.415069444447</v>
      </c>
      <c r="E81">
        <v>970.87</v>
      </c>
      <c r="F81">
        <v>28.46</v>
      </c>
      <c r="G81">
        <v>942.41</v>
      </c>
      <c r="H81" t="s">
        <v>25</v>
      </c>
      <c r="I81" t="s">
        <v>3050</v>
      </c>
      <c r="J81" t="s">
        <v>3036</v>
      </c>
      <c r="K81">
        <v>970.87</v>
      </c>
    </row>
    <row r="82" spans="1:11" x14ac:dyDescent="0.25">
      <c r="A82" t="s">
        <v>3150</v>
      </c>
      <c r="B82" t="s">
        <v>260</v>
      </c>
      <c r="C82" t="s">
        <v>3034</v>
      </c>
      <c r="D82" s="1">
        <v>46031.479456018518</v>
      </c>
      <c r="E82">
        <v>317.72000000000003</v>
      </c>
      <c r="F82">
        <v>9.51</v>
      </c>
      <c r="G82">
        <v>308.20999999999998</v>
      </c>
      <c r="H82" t="s">
        <v>25</v>
      </c>
      <c r="I82" t="s">
        <v>3052</v>
      </c>
      <c r="J82" t="s">
        <v>3036</v>
      </c>
      <c r="K82">
        <v>317.72000000000003</v>
      </c>
    </row>
    <row r="83" spans="1:11" x14ac:dyDescent="0.25">
      <c r="A83" t="s">
        <v>3150</v>
      </c>
      <c r="B83" t="s">
        <v>260</v>
      </c>
      <c r="C83" t="s">
        <v>3034</v>
      </c>
      <c r="D83" s="1">
        <v>46031.479456018518</v>
      </c>
      <c r="E83">
        <v>317.72000000000003</v>
      </c>
      <c r="F83">
        <v>9.51</v>
      </c>
      <c r="G83">
        <v>308.20999999999998</v>
      </c>
      <c r="H83" t="s">
        <v>25</v>
      </c>
      <c r="I83" t="s">
        <v>3052</v>
      </c>
      <c r="J83" t="s">
        <v>3036</v>
      </c>
      <c r="K83">
        <v>317.72000000000003</v>
      </c>
    </row>
    <row r="84" spans="1:11" x14ac:dyDescent="0.25">
      <c r="A84" t="s">
        <v>3151</v>
      </c>
      <c r="B84" t="s">
        <v>263</v>
      </c>
      <c r="C84" t="s">
        <v>3034</v>
      </c>
      <c r="D84" s="1">
        <v>46032.607847222222</v>
      </c>
      <c r="E84">
        <v>418.48</v>
      </c>
      <c r="F84">
        <v>12.44</v>
      </c>
      <c r="G84">
        <v>406.04</v>
      </c>
      <c r="H84" t="s">
        <v>52</v>
      </c>
      <c r="I84" t="s">
        <v>3054</v>
      </c>
      <c r="J84" t="s">
        <v>3036</v>
      </c>
      <c r="K84">
        <v>418.48</v>
      </c>
    </row>
    <row r="85" spans="1:11" x14ac:dyDescent="0.25">
      <c r="A85" t="s">
        <v>3152</v>
      </c>
      <c r="B85" t="s">
        <v>266</v>
      </c>
      <c r="C85" t="s">
        <v>3034</v>
      </c>
      <c r="D85" s="1">
        <v>46033.682013888887</v>
      </c>
      <c r="E85">
        <v>1853.19</v>
      </c>
      <c r="F85">
        <v>54.04</v>
      </c>
      <c r="G85">
        <v>1799.15</v>
      </c>
      <c r="H85" t="s">
        <v>19</v>
      </c>
      <c r="I85" t="s">
        <v>3056</v>
      </c>
      <c r="J85" t="s">
        <v>3036</v>
      </c>
      <c r="K85">
        <v>1853.19</v>
      </c>
    </row>
    <row r="86" spans="1:11" x14ac:dyDescent="0.25">
      <c r="A86" t="s">
        <v>3153</v>
      </c>
      <c r="B86" t="s">
        <v>272</v>
      </c>
      <c r="C86" t="s">
        <v>3034</v>
      </c>
      <c r="D86" s="1">
        <v>46035.854097222225</v>
      </c>
      <c r="E86">
        <v>1566.81</v>
      </c>
      <c r="F86">
        <v>45.74</v>
      </c>
      <c r="G86">
        <v>1521.07</v>
      </c>
      <c r="H86" t="s">
        <v>25</v>
      </c>
      <c r="I86" t="s">
        <v>3060</v>
      </c>
      <c r="J86" t="s">
        <v>3036</v>
      </c>
      <c r="K86">
        <v>1566.81</v>
      </c>
    </row>
    <row r="87" spans="1:11" x14ac:dyDescent="0.25">
      <c r="A87" t="s">
        <v>3154</v>
      </c>
      <c r="B87" t="s">
        <v>275</v>
      </c>
      <c r="C87" t="s">
        <v>3034</v>
      </c>
      <c r="D87" s="1">
        <v>46036.953113425923</v>
      </c>
      <c r="E87">
        <v>1437.79</v>
      </c>
      <c r="F87">
        <v>42</v>
      </c>
      <c r="G87">
        <v>1395.79</v>
      </c>
      <c r="H87" t="s">
        <v>25</v>
      </c>
      <c r="I87" t="s">
        <v>3062</v>
      </c>
      <c r="J87" t="s">
        <v>3036</v>
      </c>
      <c r="K87">
        <v>1437.79</v>
      </c>
    </row>
    <row r="88" spans="1:11" x14ac:dyDescent="0.25">
      <c r="A88" t="s">
        <v>3155</v>
      </c>
      <c r="B88" t="s">
        <v>278</v>
      </c>
      <c r="C88" t="s">
        <v>3034</v>
      </c>
      <c r="D88" s="1">
        <v>46024.058449074073</v>
      </c>
      <c r="E88">
        <v>1706.24</v>
      </c>
      <c r="F88">
        <v>49.78</v>
      </c>
      <c r="G88">
        <v>1656.46</v>
      </c>
      <c r="H88" t="s">
        <v>25</v>
      </c>
      <c r="I88" t="s">
        <v>3064</v>
      </c>
      <c r="J88" t="s">
        <v>3036</v>
      </c>
      <c r="K88">
        <v>1706.24</v>
      </c>
    </row>
    <row r="89" spans="1:11" x14ac:dyDescent="0.25">
      <c r="A89" t="s">
        <v>3156</v>
      </c>
      <c r="B89" t="s">
        <v>281</v>
      </c>
      <c r="C89" t="s">
        <v>3034</v>
      </c>
      <c r="D89" s="1">
        <v>46025.140729166669</v>
      </c>
      <c r="E89">
        <v>2382.2399999999998</v>
      </c>
      <c r="F89">
        <v>69.38</v>
      </c>
      <c r="G89">
        <v>2312.86</v>
      </c>
      <c r="H89" t="s">
        <v>25</v>
      </c>
      <c r="I89" t="s">
        <v>3038</v>
      </c>
      <c r="J89" t="s">
        <v>3036</v>
      </c>
      <c r="K89">
        <v>2382.2399999999998</v>
      </c>
    </row>
    <row r="90" spans="1:11" x14ac:dyDescent="0.25">
      <c r="A90" t="s">
        <v>3157</v>
      </c>
      <c r="B90" t="s">
        <v>284</v>
      </c>
      <c r="C90" t="s">
        <v>3034</v>
      </c>
      <c r="D90" s="1">
        <v>46025.247071759259</v>
      </c>
      <c r="E90">
        <v>467.12</v>
      </c>
      <c r="F90">
        <v>13.85</v>
      </c>
      <c r="G90">
        <v>453.27</v>
      </c>
      <c r="H90" t="s">
        <v>25</v>
      </c>
      <c r="I90" t="s">
        <v>3040</v>
      </c>
      <c r="J90" t="s">
        <v>3036</v>
      </c>
      <c r="K90">
        <v>467.12</v>
      </c>
    </row>
    <row r="91" spans="1:11" x14ac:dyDescent="0.25">
      <c r="A91" t="s">
        <v>3158</v>
      </c>
      <c r="B91" t="s">
        <v>287</v>
      </c>
      <c r="C91" t="s">
        <v>3034</v>
      </c>
      <c r="D91" s="1">
        <v>46026.31422453704</v>
      </c>
      <c r="E91">
        <v>1359.12</v>
      </c>
      <c r="F91">
        <v>39.71</v>
      </c>
      <c r="G91">
        <v>1319.41</v>
      </c>
      <c r="H91" t="s">
        <v>25</v>
      </c>
      <c r="I91" t="s">
        <v>3042</v>
      </c>
      <c r="J91" t="s">
        <v>3036</v>
      </c>
      <c r="K91">
        <v>1359.12</v>
      </c>
    </row>
    <row r="92" spans="1:11" x14ac:dyDescent="0.25">
      <c r="A92" t="s">
        <v>3159</v>
      </c>
      <c r="B92" t="s">
        <v>290</v>
      </c>
      <c r="C92" t="s">
        <v>3034</v>
      </c>
      <c r="D92" s="1">
        <v>46027.415914351855</v>
      </c>
      <c r="E92">
        <v>616.07000000000005</v>
      </c>
      <c r="F92">
        <v>18.170000000000002</v>
      </c>
      <c r="G92">
        <v>597.9</v>
      </c>
      <c r="H92" t="s">
        <v>25</v>
      </c>
      <c r="I92" t="s">
        <v>3068</v>
      </c>
      <c r="J92" t="s">
        <v>3036</v>
      </c>
      <c r="K92">
        <v>616.07000000000005</v>
      </c>
    </row>
    <row r="93" spans="1:11" x14ac:dyDescent="0.25">
      <c r="A93" t="s">
        <v>3160</v>
      </c>
      <c r="B93" t="s">
        <v>293</v>
      </c>
      <c r="C93" t="s">
        <v>3034</v>
      </c>
      <c r="D93" s="1">
        <v>46028.50885416667</v>
      </c>
      <c r="E93">
        <v>2369.81</v>
      </c>
      <c r="F93">
        <v>69.02</v>
      </c>
      <c r="G93">
        <v>2300.79</v>
      </c>
      <c r="H93" t="s">
        <v>52</v>
      </c>
      <c r="I93" t="s">
        <v>3070</v>
      </c>
      <c r="J93" t="s">
        <v>3036</v>
      </c>
      <c r="K93">
        <v>2369.81</v>
      </c>
    </row>
    <row r="94" spans="1:11" x14ac:dyDescent="0.25">
      <c r="A94" t="s">
        <v>3161</v>
      </c>
      <c r="B94" t="s">
        <v>296</v>
      </c>
      <c r="C94" t="s">
        <v>3034</v>
      </c>
      <c r="D94" s="1">
        <v>46029.602314814816</v>
      </c>
      <c r="E94">
        <v>1918.27</v>
      </c>
      <c r="F94">
        <v>55.93</v>
      </c>
      <c r="G94">
        <v>1862.34</v>
      </c>
      <c r="H94" t="s">
        <v>19</v>
      </c>
      <c r="I94" t="s">
        <v>3072</v>
      </c>
      <c r="J94" t="s">
        <v>3036</v>
      </c>
      <c r="K94">
        <v>1918.27</v>
      </c>
    </row>
    <row r="95" spans="1:11" x14ac:dyDescent="0.25">
      <c r="A95" t="s">
        <v>3162</v>
      </c>
      <c r="B95" t="s">
        <v>299</v>
      </c>
      <c r="C95" t="s">
        <v>3034</v>
      </c>
      <c r="D95" s="1">
        <v>46030.669606481482</v>
      </c>
      <c r="E95">
        <v>291.83</v>
      </c>
      <c r="F95">
        <v>8.76</v>
      </c>
      <c r="G95">
        <v>283.07</v>
      </c>
      <c r="H95" t="s">
        <v>25</v>
      </c>
      <c r="I95" t="s">
        <v>3050</v>
      </c>
      <c r="J95" t="s">
        <v>3036</v>
      </c>
      <c r="K95">
        <v>291.83</v>
      </c>
    </row>
    <row r="96" spans="1:11" x14ac:dyDescent="0.25">
      <c r="A96" t="s">
        <v>3163</v>
      </c>
      <c r="B96" t="s">
        <v>302</v>
      </c>
      <c r="C96" t="s">
        <v>3034</v>
      </c>
      <c r="D96" s="1">
        <v>46031.761747685188</v>
      </c>
      <c r="E96">
        <v>219.41</v>
      </c>
      <c r="F96">
        <v>6.66</v>
      </c>
      <c r="G96">
        <v>212.75</v>
      </c>
      <c r="H96" t="s">
        <v>25</v>
      </c>
      <c r="I96" t="s">
        <v>3164</v>
      </c>
      <c r="J96" t="s">
        <v>3036</v>
      </c>
      <c r="K96">
        <v>219.41</v>
      </c>
    </row>
    <row r="97" spans="1:11" x14ac:dyDescent="0.25">
      <c r="A97" t="s">
        <v>3165</v>
      </c>
      <c r="B97" t="s">
        <v>308</v>
      </c>
      <c r="C97" t="s">
        <v>3034</v>
      </c>
      <c r="D97" s="1">
        <v>46033.951620370368</v>
      </c>
      <c r="E97">
        <v>1608.12</v>
      </c>
      <c r="F97">
        <v>46.94</v>
      </c>
      <c r="G97">
        <v>1561.18</v>
      </c>
      <c r="H97" t="s">
        <v>25</v>
      </c>
      <c r="I97" t="s">
        <v>3081</v>
      </c>
      <c r="J97" t="s">
        <v>3036</v>
      </c>
      <c r="K97">
        <v>1608.12</v>
      </c>
    </row>
    <row r="98" spans="1:11" x14ac:dyDescent="0.25">
      <c r="A98" t="s">
        <v>3166</v>
      </c>
      <c r="B98" t="s">
        <v>311</v>
      </c>
      <c r="C98" t="s">
        <v>3034</v>
      </c>
      <c r="D98" s="1">
        <v>46035.059583333335</v>
      </c>
      <c r="E98">
        <v>1065.94</v>
      </c>
      <c r="F98">
        <v>31.21</v>
      </c>
      <c r="G98">
        <v>1034.73</v>
      </c>
      <c r="H98" t="s">
        <v>25</v>
      </c>
      <c r="I98" t="s">
        <v>3058</v>
      </c>
      <c r="J98" t="s">
        <v>3036</v>
      </c>
      <c r="K98">
        <v>1065.94</v>
      </c>
    </row>
    <row r="99" spans="1:11" x14ac:dyDescent="0.25">
      <c r="A99" t="s">
        <v>3167</v>
      </c>
      <c r="B99" t="s">
        <v>314</v>
      </c>
      <c r="C99" t="s">
        <v>3034</v>
      </c>
      <c r="D99" s="1">
        <v>46036.130254629628</v>
      </c>
      <c r="E99">
        <v>1337.96</v>
      </c>
      <c r="F99">
        <v>39.1</v>
      </c>
      <c r="G99">
        <v>1298.8599999999999</v>
      </c>
      <c r="H99" t="s">
        <v>25</v>
      </c>
      <c r="I99" t="s">
        <v>3060</v>
      </c>
      <c r="J99" t="s">
        <v>3036</v>
      </c>
      <c r="K99">
        <v>1337.96</v>
      </c>
    </row>
    <row r="100" spans="1:11" x14ac:dyDescent="0.25">
      <c r="A100" t="s">
        <v>3168</v>
      </c>
      <c r="B100" t="s">
        <v>317</v>
      </c>
      <c r="C100" t="s">
        <v>3034</v>
      </c>
      <c r="D100" s="1">
        <v>46036.236307870371</v>
      </c>
      <c r="E100">
        <v>141.66999999999999</v>
      </c>
      <c r="F100">
        <v>4.41</v>
      </c>
      <c r="G100">
        <v>137.26</v>
      </c>
      <c r="H100" t="s">
        <v>25</v>
      </c>
      <c r="I100" t="s">
        <v>3169</v>
      </c>
      <c r="J100" t="s">
        <v>3036</v>
      </c>
      <c r="K100">
        <v>141.66999999999999</v>
      </c>
    </row>
    <row r="101" spans="1:11" x14ac:dyDescent="0.25">
      <c r="A101" t="s">
        <v>3170</v>
      </c>
      <c r="B101" t="s">
        <v>320</v>
      </c>
      <c r="C101" t="s">
        <v>3034</v>
      </c>
      <c r="D101" s="1">
        <v>46023.330428240741</v>
      </c>
      <c r="E101">
        <v>2255.06</v>
      </c>
      <c r="F101">
        <v>65.7</v>
      </c>
      <c r="G101">
        <v>2189.36</v>
      </c>
      <c r="H101" t="s">
        <v>25</v>
      </c>
      <c r="I101" t="s">
        <v>3064</v>
      </c>
      <c r="J101" t="s">
        <v>3036</v>
      </c>
      <c r="K101">
        <v>2255.06</v>
      </c>
    </row>
    <row r="102" spans="1:11" x14ac:dyDescent="0.25">
      <c r="A102" t="s">
        <v>3171</v>
      </c>
      <c r="B102" t="s">
        <v>323</v>
      </c>
      <c r="C102" t="s">
        <v>3034</v>
      </c>
      <c r="D102" s="1">
        <v>46024.40284722222</v>
      </c>
      <c r="E102">
        <v>2258.3200000000002</v>
      </c>
      <c r="F102">
        <v>65.790000000000006</v>
      </c>
      <c r="G102">
        <v>2192.5300000000002</v>
      </c>
      <c r="H102" t="s">
        <v>52</v>
      </c>
      <c r="I102" t="s">
        <v>3172</v>
      </c>
      <c r="J102" t="s">
        <v>3036</v>
      </c>
      <c r="K102">
        <v>2258.3200000000002</v>
      </c>
    </row>
    <row r="103" spans="1:11" x14ac:dyDescent="0.25">
      <c r="A103" t="s">
        <v>3173</v>
      </c>
      <c r="B103" t="s">
        <v>326</v>
      </c>
      <c r="C103" t="s">
        <v>3034</v>
      </c>
      <c r="D103" s="1">
        <v>46025.533622685187</v>
      </c>
      <c r="E103">
        <v>1533.65</v>
      </c>
      <c r="F103">
        <v>44.78</v>
      </c>
      <c r="G103">
        <v>1488.87</v>
      </c>
      <c r="H103" t="s">
        <v>19</v>
      </c>
      <c r="I103" t="s">
        <v>3174</v>
      </c>
      <c r="J103" t="s">
        <v>3036</v>
      </c>
      <c r="K103">
        <v>1533.65</v>
      </c>
    </row>
    <row r="104" spans="1:11" x14ac:dyDescent="0.25">
      <c r="A104" t="s">
        <v>3175</v>
      </c>
      <c r="B104" t="s">
        <v>329</v>
      </c>
      <c r="C104" t="s">
        <v>3034</v>
      </c>
      <c r="D104" s="1">
        <v>46026.613425925927</v>
      </c>
      <c r="E104">
        <v>1165.1300000000001</v>
      </c>
      <c r="F104">
        <v>34.090000000000003</v>
      </c>
      <c r="G104">
        <v>1131.04</v>
      </c>
      <c r="H104" t="s">
        <v>25</v>
      </c>
      <c r="I104" t="s">
        <v>3042</v>
      </c>
      <c r="J104" t="s">
        <v>3036</v>
      </c>
      <c r="K104">
        <v>1165.1300000000001</v>
      </c>
    </row>
    <row r="105" spans="1:11" x14ac:dyDescent="0.25">
      <c r="A105" t="s">
        <v>3176</v>
      </c>
      <c r="B105" t="s">
        <v>332</v>
      </c>
      <c r="C105" t="s">
        <v>3034</v>
      </c>
      <c r="D105" s="1">
        <v>46027.685567129629</v>
      </c>
      <c r="E105">
        <v>617.96</v>
      </c>
      <c r="F105">
        <v>18.22</v>
      </c>
      <c r="G105">
        <v>599.74</v>
      </c>
      <c r="H105" t="s">
        <v>25</v>
      </c>
      <c r="I105" t="s">
        <v>3068</v>
      </c>
      <c r="J105" t="s">
        <v>3036</v>
      </c>
      <c r="K105">
        <v>617.96</v>
      </c>
    </row>
    <row r="106" spans="1:11" x14ac:dyDescent="0.25">
      <c r="A106" t="s">
        <v>3177</v>
      </c>
      <c r="B106" t="s">
        <v>335</v>
      </c>
      <c r="C106" t="s">
        <v>3034</v>
      </c>
      <c r="D106" s="1">
        <v>46028.794641203705</v>
      </c>
      <c r="E106">
        <v>442.26</v>
      </c>
      <c r="F106">
        <v>13.13</v>
      </c>
      <c r="G106">
        <v>429.13</v>
      </c>
      <c r="H106" t="s">
        <v>25</v>
      </c>
      <c r="I106" t="s">
        <v>3046</v>
      </c>
      <c r="J106" t="s">
        <v>3036</v>
      </c>
      <c r="K106">
        <v>442.26</v>
      </c>
    </row>
    <row r="107" spans="1:11" x14ac:dyDescent="0.25">
      <c r="A107" t="s">
        <v>3178</v>
      </c>
      <c r="B107" t="s">
        <v>338</v>
      </c>
      <c r="C107" t="s">
        <v>3034</v>
      </c>
      <c r="D107" s="1">
        <v>46029.869027777779</v>
      </c>
      <c r="E107">
        <v>429.04</v>
      </c>
      <c r="F107">
        <v>12.74</v>
      </c>
      <c r="G107">
        <v>416.3</v>
      </c>
      <c r="H107" t="s">
        <v>25</v>
      </c>
      <c r="I107" t="s">
        <v>3048</v>
      </c>
      <c r="J107" t="s">
        <v>3036</v>
      </c>
      <c r="K107">
        <v>429.04</v>
      </c>
    </row>
    <row r="108" spans="1:11" x14ac:dyDescent="0.25">
      <c r="A108" t="s">
        <v>3179</v>
      </c>
      <c r="B108" t="s">
        <v>341</v>
      </c>
      <c r="C108" t="s">
        <v>3034</v>
      </c>
      <c r="D108" s="1">
        <v>46030.984791666669</v>
      </c>
      <c r="E108">
        <v>1388.02</v>
      </c>
      <c r="F108">
        <v>40.549999999999997</v>
      </c>
      <c r="G108">
        <v>1347.47</v>
      </c>
      <c r="H108" t="s">
        <v>25</v>
      </c>
      <c r="I108" t="s">
        <v>3050</v>
      </c>
      <c r="J108" t="s">
        <v>3036</v>
      </c>
      <c r="K108">
        <v>1388.02</v>
      </c>
    </row>
    <row r="109" spans="1:11" x14ac:dyDescent="0.25">
      <c r="A109" t="s">
        <v>3180</v>
      </c>
      <c r="B109" t="s">
        <v>344</v>
      </c>
      <c r="C109" t="s">
        <v>3034</v>
      </c>
      <c r="D109" s="1">
        <v>46032.078819444447</v>
      </c>
      <c r="E109">
        <v>1436.9</v>
      </c>
      <c r="F109">
        <v>41.97</v>
      </c>
      <c r="G109">
        <v>1394.93</v>
      </c>
      <c r="H109" t="s">
        <v>25</v>
      </c>
      <c r="I109" t="s">
        <v>3052</v>
      </c>
      <c r="J109" t="s">
        <v>3036</v>
      </c>
      <c r="K109">
        <v>1436.9</v>
      </c>
    </row>
    <row r="110" spans="1:11" x14ac:dyDescent="0.25">
      <c r="A110" t="s">
        <v>3181</v>
      </c>
      <c r="B110" t="s">
        <v>347</v>
      </c>
      <c r="C110" t="s">
        <v>3034</v>
      </c>
      <c r="D110" s="1">
        <v>46033.157870370371</v>
      </c>
      <c r="E110">
        <v>296.95</v>
      </c>
      <c r="F110">
        <v>8.91</v>
      </c>
      <c r="G110">
        <v>288.04000000000002</v>
      </c>
      <c r="H110" t="s">
        <v>25</v>
      </c>
      <c r="I110" t="s">
        <v>3079</v>
      </c>
      <c r="J110" t="s">
        <v>3036</v>
      </c>
      <c r="K110">
        <v>296.95</v>
      </c>
    </row>
    <row r="111" spans="1:11" x14ac:dyDescent="0.25">
      <c r="A111" t="s">
        <v>3182</v>
      </c>
      <c r="B111" t="s">
        <v>350</v>
      </c>
      <c r="C111" t="s">
        <v>3034</v>
      </c>
      <c r="D111" s="1">
        <v>46033.253854166665</v>
      </c>
      <c r="E111">
        <v>253.02</v>
      </c>
      <c r="F111">
        <v>7.64</v>
      </c>
      <c r="G111">
        <v>245.38</v>
      </c>
      <c r="H111" t="s">
        <v>25</v>
      </c>
      <c r="I111" t="s">
        <v>3081</v>
      </c>
      <c r="J111" t="s">
        <v>3036</v>
      </c>
      <c r="K111">
        <v>253.02</v>
      </c>
    </row>
    <row r="112" spans="1:11" x14ac:dyDescent="0.25">
      <c r="A112" t="s">
        <v>3183</v>
      </c>
      <c r="B112" t="s">
        <v>353</v>
      </c>
      <c r="C112" t="s">
        <v>3034</v>
      </c>
      <c r="D112" s="1">
        <v>46034.33148148148</v>
      </c>
      <c r="E112">
        <v>790.35</v>
      </c>
      <c r="F112">
        <v>23.22</v>
      </c>
      <c r="G112">
        <v>767.13</v>
      </c>
      <c r="H112" t="s">
        <v>52</v>
      </c>
      <c r="I112" t="s">
        <v>3184</v>
      </c>
      <c r="J112" t="s">
        <v>3036</v>
      </c>
      <c r="K112">
        <v>790.35</v>
      </c>
    </row>
    <row r="113" spans="1:11" x14ac:dyDescent="0.25">
      <c r="A113" t="s">
        <v>3185</v>
      </c>
      <c r="B113" t="s">
        <v>356</v>
      </c>
      <c r="C113" t="s">
        <v>3034</v>
      </c>
      <c r="D113" s="1">
        <v>46035.429409722223</v>
      </c>
      <c r="E113">
        <v>610.09</v>
      </c>
      <c r="F113">
        <v>17.989999999999998</v>
      </c>
      <c r="G113">
        <v>592.1</v>
      </c>
      <c r="H113" t="s">
        <v>19</v>
      </c>
      <c r="I113" t="s">
        <v>3186</v>
      </c>
      <c r="J113" t="s">
        <v>3036</v>
      </c>
      <c r="K113">
        <v>610.09</v>
      </c>
    </row>
    <row r="114" spans="1:11" x14ac:dyDescent="0.25">
      <c r="A114" t="s">
        <v>3187</v>
      </c>
      <c r="B114" t="s">
        <v>359</v>
      </c>
      <c r="C114" t="s">
        <v>3034</v>
      </c>
      <c r="D114" s="1">
        <v>46036.53638888889</v>
      </c>
      <c r="E114">
        <v>1139.8699999999999</v>
      </c>
      <c r="F114">
        <v>33.36</v>
      </c>
      <c r="G114">
        <v>1106.51</v>
      </c>
      <c r="H114" t="s">
        <v>25</v>
      </c>
      <c r="I114" t="s">
        <v>3062</v>
      </c>
      <c r="J114" t="s">
        <v>3036</v>
      </c>
      <c r="K114">
        <v>1139.8699999999999</v>
      </c>
    </row>
    <row r="115" spans="1:11" x14ac:dyDescent="0.25">
      <c r="A115" t="s">
        <v>3188</v>
      </c>
      <c r="B115" t="s">
        <v>362</v>
      </c>
      <c r="C115" t="s">
        <v>3034</v>
      </c>
      <c r="D115" s="1">
        <v>46023.616122685184</v>
      </c>
      <c r="E115">
        <v>1026.48</v>
      </c>
      <c r="F115">
        <v>30.07</v>
      </c>
      <c r="G115">
        <v>996.41</v>
      </c>
      <c r="H115" t="s">
        <v>25</v>
      </c>
      <c r="I115" t="s">
        <v>3064</v>
      </c>
      <c r="J115" t="s">
        <v>3036</v>
      </c>
      <c r="K115">
        <v>1026.48</v>
      </c>
    </row>
    <row r="116" spans="1:11" x14ac:dyDescent="0.25">
      <c r="A116" t="s">
        <v>3189</v>
      </c>
      <c r="B116" t="s">
        <v>365</v>
      </c>
      <c r="C116" t="s">
        <v>3034</v>
      </c>
      <c r="D116" s="1">
        <v>46024.694108796299</v>
      </c>
      <c r="E116">
        <v>2481.2800000000002</v>
      </c>
      <c r="F116">
        <v>72.260000000000005</v>
      </c>
      <c r="G116">
        <v>2409.02</v>
      </c>
      <c r="H116" t="s">
        <v>25</v>
      </c>
      <c r="I116" t="s">
        <v>3038</v>
      </c>
      <c r="J116" t="s">
        <v>3036</v>
      </c>
      <c r="K116">
        <v>2481.2800000000002</v>
      </c>
    </row>
    <row r="117" spans="1:11" x14ac:dyDescent="0.25">
      <c r="A117" t="s">
        <v>3190</v>
      </c>
      <c r="B117" t="s">
        <v>368</v>
      </c>
      <c r="C117" t="s">
        <v>3034</v>
      </c>
      <c r="D117" s="1">
        <v>46025.809513888889</v>
      </c>
      <c r="E117">
        <v>213</v>
      </c>
      <c r="F117">
        <v>6.48</v>
      </c>
      <c r="G117">
        <v>206.52</v>
      </c>
      <c r="H117" t="s">
        <v>25</v>
      </c>
      <c r="I117" t="s">
        <v>3040</v>
      </c>
      <c r="J117" t="s">
        <v>3036</v>
      </c>
      <c r="K117">
        <v>213</v>
      </c>
    </row>
    <row r="118" spans="1:11" x14ac:dyDescent="0.25">
      <c r="A118" t="s">
        <v>3191</v>
      </c>
      <c r="B118" t="s">
        <v>371</v>
      </c>
      <c r="C118" t="s">
        <v>3034</v>
      </c>
      <c r="D118" s="1">
        <v>46026.875578703701</v>
      </c>
      <c r="E118">
        <v>1262.99</v>
      </c>
      <c r="F118">
        <v>36.93</v>
      </c>
      <c r="G118">
        <v>1226.06</v>
      </c>
      <c r="H118" t="s">
        <v>25</v>
      </c>
      <c r="I118" t="s">
        <v>3042</v>
      </c>
      <c r="J118" t="s">
        <v>3036</v>
      </c>
      <c r="K118">
        <v>1262.99</v>
      </c>
    </row>
    <row r="119" spans="1:11" x14ac:dyDescent="0.25">
      <c r="A119" t="s">
        <v>3192</v>
      </c>
      <c r="B119" t="s">
        <v>374</v>
      </c>
      <c r="C119" t="s">
        <v>3034</v>
      </c>
      <c r="D119" s="1">
        <v>46027.983090277776</v>
      </c>
      <c r="E119">
        <v>913.34</v>
      </c>
      <c r="F119">
        <v>26.79</v>
      </c>
      <c r="G119">
        <v>886.55</v>
      </c>
      <c r="H119" t="s">
        <v>25</v>
      </c>
      <c r="I119" t="s">
        <v>3068</v>
      </c>
      <c r="J119" t="s">
        <v>3036</v>
      </c>
      <c r="K119">
        <v>913.34</v>
      </c>
    </row>
    <row r="120" spans="1:11" x14ac:dyDescent="0.25">
      <c r="A120" t="s">
        <v>3193</v>
      </c>
      <c r="B120" t="s">
        <v>377</v>
      </c>
      <c r="C120" t="s">
        <v>3034</v>
      </c>
      <c r="D120" s="1">
        <v>46029.090173611112</v>
      </c>
      <c r="E120">
        <v>435.03</v>
      </c>
      <c r="F120">
        <v>12.92</v>
      </c>
      <c r="G120">
        <v>422.11</v>
      </c>
      <c r="H120" t="s">
        <v>25</v>
      </c>
      <c r="I120" t="s">
        <v>3046</v>
      </c>
      <c r="J120" t="s">
        <v>3036</v>
      </c>
      <c r="K120">
        <v>435.03</v>
      </c>
    </row>
    <row r="121" spans="1:11" x14ac:dyDescent="0.25">
      <c r="A121" t="s">
        <v>3194</v>
      </c>
      <c r="B121" t="s">
        <v>380</v>
      </c>
      <c r="C121" t="s">
        <v>3034</v>
      </c>
      <c r="D121" s="1">
        <v>46030.166168981479</v>
      </c>
      <c r="E121">
        <v>2354.6799999999998</v>
      </c>
      <c r="F121">
        <v>68.59</v>
      </c>
      <c r="G121">
        <v>2286.09</v>
      </c>
      <c r="H121" t="s">
        <v>25</v>
      </c>
      <c r="I121" t="s">
        <v>3048</v>
      </c>
      <c r="J121" t="s">
        <v>3036</v>
      </c>
      <c r="K121">
        <v>2354.6799999999998</v>
      </c>
    </row>
    <row r="122" spans="1:11" x14ac:dyDescent="0.25">
      <c r="A122" t="s">
        <v>3195</v>
      </c>
      <c r="B122" t="s">
        <v>383</v>
      </c>
      <c r="C122" t="s">
        <v>3034</v>
      </c>
      <c r="D122" s="1">
        <v>46030.237268518518</v>
      </c>
      <c r="E122">
        <v>1548.83</v>
      </c>
      <c r="F122">
        <v>45.22</v>
      </c>
      <c r="G122">
        <v>1503.61</v>
      </c>
      <c r="H122" t="s">
        <v>52</v>
      </c>
      <c r="I122" t="s">
        <v>3115</v>
      </c>
      <c r="J122" t="s">
        <v>3036</v>
      </c>
      <c r="K122">
        <v>1548.83</v>
      </c>
    </row>
    <row r="123" spans="1:11" x14ac:dyDescent="0.25">
      <c r="A123" t="s">
        <v>3196</v>
      </c>
      <c r="B123" t="s">
        <v>383</v>
      </c>
      <c r="C123" t="s">
        <v>3076</v>
      </c>
      <c r="D123" s="1">
        <v>46031.230324074073</v>
      </c>
      <c r="E123">
        <v>-774.42</v>
      </c>
      <c r="F123">
        <v>0</v>
      </c>
      <c r="G123">
        <v>-774.42</v>
      </c>
      <c r="H123" t="s">
        <v>52</v>
      </c>
      <c r="I123" t="s">
        <v>3197</v>
      </c>
      <c r="J123" t="s">
        <v>3036</v>
      </c>
      <c r="K123">
        <v>-774.42</v>
      </c>
    </row>
    <row r="124" spans="1:11" x14ac:dyDescent="0.25">
      <c r="A124" t="s">
        <v>3198</v>
      </c>
      <c r="B124" t="s">
        <v>386</v>
      </c>
      <c r="C124" t="s">
        <v>3034</v>
      </c>
      <c r="D124" s="1">
        <v>46031.367048611108</v>
      </c>
      <c r="E124">
        <v>1232.52</v>
      </c>
      <c r="F124">
        <v>36.04</v>
      </c>
      <c r="G124">
        <v>1196.48</v>
      </c>
      <c r="H124" t="s">
        <v>19</v>
      </c>
      <c r="I124" t="s">
        <v>3117</v>
      </c>
      <c r="J124" t="s">
        <v>3036</v>
      </c>
      <c r="K124">
        <v>1232.52</v>
      </c>
    </row>
    <row r="125" spans="1:11" x14ac:dyDescent="0.25">
      <c r="A125" t="s">
        <v>3199</v>
      </c>
      <c r="B125" t="s">
        <v>389</v>
      </c>
      <c r="C125" t="s">
        <v>3034</v>
      </c>
      <c r="D125" s="1">
        <v>46032.45590277778</v>
      </c>
      <c r="E125">
        <v>1204.08</v>
      </c>
      <c r="F125">
        <v>35.22</v>
      </c>
      <c r="G125">
        <v>1168.8599999999999</v>
      </c>
      <c r="H125" t="s">
        <v>25</v>
      </c>
      <c r="I125" t="s">
        <v>3079</v>
      </c>
      <c r="J125" t="s">
        <v>3036</v>
      </c>
      <c r="K125">
        <v>1204.08</v>
      </c>
    </row>
    <row r="126" spans="1:11" x14ac:dyDescent="0.25">
      <c r="A126" t="s">
        <v>3200</v>
      </c>
      <c r="B126" t="s">
        <v>392</v>
      </c>
      <c r="C126" t="s">
        <v>3034</v>
      </c>
      <c r="D126" s="1">
        <v>46033.510983796295</v>
      </c>
      <c r="E126">
        <v>1571.94</v>
      </c>
      <c r="F126">
        <v>45.89</v>
      </c>
      <c r="G126">
        <v>1526.05</v>
      </c>
      <c r="H126" t="s">
        <v>25</v>
      </c>
      <c r="I126" t="s">
        <v>3081</v>
      </c>
      <c r="J126" t="s">
        <v>3036</v>
      </c>
      <c r="K126">
        <v>1571.94</v>
      </c>
    </row>
    <row r="127" spans="1:11" x14ac:dyDescent="0.25">
      <c r="A127" t="s">
        <v>3201</v>
      </c>
      <c r="B127" t="s">
        <v>395</v>
      </c>
      <c r="C127" t="s">
        <v>3034</v>
      </c>
      <c r="D127" s="1">
        <v>46034.619849537034</v>
      </c>
      <c r="E127">
        <v>902</v>
      </c>
      <c r="F127">
        <v>26.46</v>
      </c>
      <c r="G127">
        <v>875.54</v>
      </c>
      <c r="H127" t="s">
        <v>25</v>
      </c>
      <c r="I127" t="s">
        <v>3058</v>
      </c>
      <c r="J127" t="s">
        <v>3036</v>
      </c>
      <c r="K127">
        <v>902</v>
      </c>
    </row>
    <row r="128" spans="1:11" x14ac:dyDescent="0.25">
      <c r="A128" t="s">
        <v>3202</v>
      </c>
      <c r="B128" t="s">
        <v>398</v>
      </c>
      <c r="C128" t="s">
        <v>3034</v>
      </c>
      <c r="D128" s="1">
        <v>46035.722372685188</v>
      </c>
      <c r="E128">
        <v>1684.38</v>
      </c>
      <c r="F128">
        <v>49.15</v>
      </c>
      <c r="G128">
        <v>1635.23</v>
      </c>
      <c r="H128" t="s">
        <v>25</v>
      </c>
      <c r="I128" t="s">
        <v>3060</v>
      </c>
      <c r="J128" t="s">
        <v>3036</v>
      </c>
      <c r="K128">
        <v>1684.38</v>
      </c>
    </row>
    <row r="129" spans="1:11" x14ac:dyDescent="0.25">
      <c r="A129" t="s">
        <v>3203</v>
      </c>
      <c r="B129" t="s">
        <v>401</v>
      </c>
      <c r="C129" t="s">
        <v>3034</v>
      </c>
      <c r="D129" s="1">
        <v>46036.791759259257</v>
      </c>
      <c r="E129">
        <v>1071.68</v>
      </c>
      <c r="F129">
        <v>31.38</v>
      </c>
      <c r="G129">
        <v>1040.3</v>
      </c>
      <c r="H129" t="s">
        <v>25</v>
      </c>
      <c r="I129" t="s">
        <v>3062</v>
      </c>
      <c r="J129" t="s">
        <v>3036</v>
      </c>
      <c r="K129">
        <v>1071.68</v>
      </c>
    </row>
    <row r="130" spans="1:11" x14ac:dyDescent="0.25">
      <c r="A130" t="s">
        <v>3204</v>
      </c>
      <c r="B130" t="s">
        <v>404</v>
      </c>
      <c r="C130" t="s">
        <v>3034</v>
      </c>
      <c r="D130" s="1">
        <v>46023.888981481483</v>
      </c>
      <c r="E130">
        <v>2424.6799999999998</v>
      </c>
      <c r="F130">
        <v>70.62</v>
      </c>
      <c r="G130">
        <v>2354.06</v>
      </c>
      <c r="H130" t="s">
        <v>25</v>
      </c>
      <c r="I130" t="s">
        <v>3064</v>
      </c>
      <c r="J130" t="s">
        <v>3036</v>
      </c>
      <c r="K130">
        <v>2424.6799999999998</v>
      </c>
    </row>
    <row r="131" spans="1:11" x14ac:dyDescent="0.25">
      <c r="A131" t="s">
        <v>3205</v>
      </c>
      <c r="B131" t="s">
        <v>407</v>
      </c>
      <c r="C131" t="s">
        <v>3034</v>
      </c>
      <c r="D131" s="1">
        <v>46024.988043981481</v>
      </c>
      <c r="E131">
        <v>613.62</v>
      </c>
      <c r="F131">
        <v>18.09</v>
      </c>
      <c r="G131">
        <v>595.53</v>
      </c>
      <c r="H131" t="s">
        <v>25</v>
      </c>
      <c r="I131" t="s">
        <v>3038</v>
      </c>
      <c r="J131" t="s">
        <v>3036</v>
      </c>
      <c r="K131">
        <v>613.62</v>
      </c>
    </row>
    <row r="132" spans="1:11" x14ac:dyDescent="0.25">
      <c r="A132" t="s">
        <v>3206</v>
      </c>
      <c r="B132" t="s">
        <v>410</v>
      </c>
      <c r="C132" t="s">
        <v>3034</v>
      </c>
      <c r="D132" s="1">
        <v>46026.060162037036</v>
      </c>
      <c r="E132">
        <v>673.44</v>
      </c>
      <c r="F132">
        <v>19.829999999999998</v>
      </c>
      <c r="G132">
        <v>653.61</v>
      </c>
      <c r="H132" t="s">
        <v>25</v>
      </c>
      <c r="I132" t="s">
        <v>3040</v>
      </c>
      <c r="J132" t="s">
        <v>3036</v>
      </c>
      <c r="K132">
        <v>673.44</v>
      </c>
    </row>
    <row r="133" spans="1:11" x14ac:dyDescent="0.25">
      <c r="A133" t="s">
        <v>3207</v>
      </c>
      <c r="B133" t="s">
        <v>413</v>
      </c>
      <c r="C133" t="s">
        <v>3034</v>
      </c>
      <c r="D133" s="1">
        <v>46027.172060185185</v>
      </c>
      <c r="E133">
        <v>541.45000000000005</v>
      </c>
      <c r="F133">
        <v>16</v>
      </c>
      <c r="G133">
        <v>525.45000000000005</v>
      </c>
      <c r="H133" t="s">
        <v>52</v>
      </c>
      <c r="I133" t="s">
        <v>3128</v>
      </c>
      <c r="J133" t="s">
        <v>3036</v>
      </c>
      <c r="K133">
        <v>541.45000000000005</v>
      </c>
    </row>
    <row r="134" spans="1:11" x14ac:dyDescent="0.25">
      <c r="A134" t="s">
        <v>3208</v>
      </c>
      <c r="B134" t="s">
        <v>416</v>
      </c>
      <c r="C134" t="s">
        <v>3034</v>
      </c>
      <c r="D134" s="1">
        <v>46027.251921296294</v>
      </c>
      <c r="E134">
        <v>2113.13</v>
      </c>
      <c r="F134">
        <v>61.58</v>
      </c>
      <c r="G134">
        <v>2051.5500000000002</v>
      </c>
      <c r="H134" t="s">
        <v>19</v>
      </c>
      <c r="I134" t="s">
        <v>3130</v>
      </c>
      <c r="J134" t="s">
        <v>3036</v>
      </c>
      <c r="K134">
        <v>2113.13</v>
      </c>
    </row>
    <row r="135" spans="1:11" x14ac:dyDescent="0.25">
      <c r="A135" t="s">
        <v>3209</v>
      </c>
      <c r="B135" t="s">
        <v>419</v>
      </c>
      <c r="C135" t="s">
        <v>3034</v>
      </c>
      <c r="D135" s="1">
        <v>46028.362870370373</v>
      </c>
      <c r="E135">
        <v>1088.03</v>
      </c>
      <c r="F135">
        <v>31.85</v>
      </c>
      <c r="G135">
        <v>1056.18</v>
      </c>
      <c r="H135" t="s">
        <v>25</v>
      </c>
      <c r="I135" t="s">
        <v>3046</v>
      </c>
      <c r="J135" t="s">
        <v>3036</v>
      </c>
      <c r="K135">
        <v>1088.03</v>
      </c>
    </row>
    <row r="136" spans="1:11" x14ac:dyDescent="0.25">
      <c r="A136" t="s">
        <v>3210</v>
      </c>
      <c r="B136" t="s">
        <v>422</v>
      </c>
      <c r="C136" t="s">
        <v>3034</v>
      </c>
      <c r="D136" s="1">
        <v>46029.463946759257</v>
      </c>
      <c r="E136">
        <v>324.87</v>
      </c>
      <c r="F136">
        <v>9.7200000000000006</v>
      </c>
      <c r="G136">
        <v>315.14999999999998</v>
      </c>
      <c r="H136" t="s">
        <v>25</v>
      </c>
      <c r="I136" t="s">
        <v>3048</v>
      </c>
      <c r="J136" t="s">
        <v>3036</v>
      </c>
      <c r="K136">
        <v>324.87</v>
      </c>
    </row>
    <row r="137" spans="1:11" x14ac:dyDescent="0.25">
      <c r="A137" t="s">
        <v>3211</v>
      </c>
      <c r="B137" t="s">
        <v>425</v>
      </c>
      <c r="C137" t="s">
        <v>3034</v>
      </c>
      <c r="D137" s="1">
        <v>46030.555868055555</v>
      </c>
      <c r="E137">
        <v>745.15</v>
      </c>
      <c r="F137">
        <v>21.91</v>
      </c>
      <c r="G137">
        <v>723.24</v>
      </c>
      <c r="H137" t="s">
        <v>25</v>
      </c>
      <c r="I137" t="s">
        <v>3050</v>
      </c>
      <c r="J137" t="s">
        <v>3036</v>
      </c>
      <c r="K137">
        <v>745.15</v>
      </c>
    </row>
    <row r="138" spans="1:11" x14ac:dyDescent="0.25">
      <c r="A138" t="s">
        <v>3212</v>
      </c>
      <c r="B138" t="s">
        <v>428</v>
      </c>
      <c r="C138" t="s">
        <v>3034</v>
      </c>
      <c r="D138" s="1">
        <v>46031.626331018517</v>
      </c>
      <c r="E138">
        <v>631.87</v>
      </c>
      <c r="F138">
        <v>18.62</v>
      </c>
      <c r="G138">
        <v>613.25</v>
      </c>
      <c r="H138" t="s">
        <v>25</v>
      </c>
      <c r="I138" t="s">
        <v>3052</v>
      </c>
      <c r="J138" t="s">
        <v>3036</v>
      </c>
      <c r="K138">
        <v>631.87</v>
      </c>
    </row>
    <row r="139" spans="1:11" x14ac:dyDescent="0.25">
      <c r="A139" t="s">
        <v>3213</v>
      </c>
      <c r="B139" t="s">
        <v>428</v>
      </c>
      <c r="C139" t="s">
        <v>3076</v>
      </c>
      <c r="D139" s="1">
        <v>46032.619386574072</v>
      </c>
      <c r="E139">
        <v>-631.87</v>
      </c>
      <c r="F139">
        <v>0</v>
      </c>
      <c r="G139">
        <v>-631.87</v>
      </c>
      <c r="H139" t="s">
        <v>25</v>
      </c>
      <c r="I139" t="s">
        <v>3214</v>
      </c>
      <c r="J139" t="s">
        <v>3036</v>
      </c>
      <c r="K139">
        <v>-631.87</v>
      </c>
    </row>
    <row r="140" spans="1:11" x14ac:dyDescent="0.25">
      <c r="A140" t="s">
        <v>3215</v>
      </c>
      <c r="B140" t="s">
        <v>432</v>
      </c>
      <c r="C140" t="s">
        <v>3034</v>
      </c>
      <c r="D140" s="1">
        <v>46032.725671296299</v>
      </c>
      <c r="E140">
        <v>2069.58</v>
      </c>
      <c r="F140">
        <v>60.32</v>
      </c>
      <c r="G140">
        <v>2009.26</v>
      </c>
      <c r="H140" t="s">
        <v>25</v>
      </c>
      <c r="I140" t="s">
        <v>3079</v>
      </c>
      <c r="J140" t="s">
        <v>3036</v>
      </c>
      <c r="K140">
        <v>2069.58</v>
      </c>
    </row>
    <row r="141" spans="1:11" x14ac:dyDescent="0.25">
      <c r="A141" t="s">
        <v>3216</v>
      </c>
      <c r="B141" t="s">
        <v>435</v>
      </c>
      <c r="C141" t="s">
        <v>3034</v>
      </c>
      <c r="D141" s="1">
        <v>46033.818726851852</v>
      </c>
      <c r="E141">
        <v>1268.04</v>
      </c>
      <c r="F141">
        <v>37.07</v>
      </c>
      <c r="G141">
        <v>1230.97</v>
      </c>
      <c r="H141" t="s">
        <v>25</v>
      </c>
      <c r="I141" t="s">
        <v>3081</v>
      </c>
      <c r="J141" t="s">
        <v>3036</v>
      </c>
      <c r="K141">
        <v>1268.04</v>
      </c>
    </row>
    <row r="142" spans="1:11" x14ac:dyDescent="0.25">
      <c r="A142" t="s">
        <v>3217</v>
      </c>
      <c r="B142" t="s">
        <v>438</v>
      </c>
      <c r="C142" t="s">
        <v>3034</v>
      </c>
      <c r="D142" s="1">
        <v>46034.910115740742</v>
      </c>
      <c r="E142">
        <v>733.11</v>
      </c>
      <c r="F142">
        <v>21.56</v>
      </c>
      <c r="G142">
        <v>711.55</v>
      </c>
      <c r="H142" t="s">
        <v>25</v>
      </c>
      <c r="I142" t="s">
        <v>3058</v>
      </c>
      <c r="J142" t="s">
        <v>3036</v>
      </c>
      <c r="K142">
        <v>733.11</v>
      </c>
    </row>
    <row r="143" spans="1:11" x14ac:dyDescent="0.25">
      <c r="A143" t="s">
        <v>3218</v>
      </c>
      <c r="B143" t="s">
        <v>441</v>
      </c>
      <c r="C143" t="s">
        <v>3034</v>
      </c>
      <c r="D143" s="1">
        <v>46035.989317129628</v>
      </c>
      <c r="E143">
        <v>376.32</v>
      </c>
      <c r="F143">
        <v>11.21</v>
      </c>
      <c r="G143">
        <v>365.11</v>
      </c>
      <c r="H143" t="s">
        <v>25</v>
      </c>
      <c r="I143" t="s">
        <v>3060</v>
      </c>
      <c r="J143" t="s">
        <v>3036</v>
      </c>
      <c r="K143">
        <v>376.32</v>
      </c>
    </row>
    <row r="144" spans="1:11" x14ac:dyDescent="0.25">
      <c r="A144" t="s">
        <v>3219</v>
      </c>
      <c r="B144" t="s">
        <v>444</v>
      </c>
      <c r="C144" t="s">
        <v>3034</v>
      </c>
      <c r="D144" s="1">
        <v>46037.069004629629</v>
      </c>
      <c r="E144">
        <v>1384.34</v>
      </c>
      <c r="F144">
        <v>40.450000000000003</v>
      </c>
      <c r="G144">
        <v>1343.89</v>
      </c>
      <c r="H144" t="s">
        <v>52</v>
      </c>
      <c r="I144" t="s">
        <v>3140</v>
      </c>
      <c r="J144" t="s">
        <v>3036</v>
      </c>
      <c r="K144">
        <v>1384.34</v>
      </c>
    </row>
    <row r="145" spans="1:11" x14ac:dyDescent="0.25">
      <c r="A145" t="s">
        <v>3220</v>
      </c>
      <c r="B145" t="s">
        <v>447</v>
      </c>
      <c r="C145" t="s">
        <v>3034</v>
      </c>
      <c r="D145" s="1">
        <v>46024.16333333333</v>
      </c>
      <c r="E145">
        <v>56.53</v>
      </c>
      <c r="F145">
        <v>2.31</v>
      </c>
      <c r="G145">
        <v>54.22</v>
      </c>
      <c r="H145" t="s">
        <v>19</v>
      </c>
      <c r="I145" t="s">
        <v>3035</v>
      </c>
      <c r="J145" t="s">
        <v>3036</v>
      </c>
      <c r="K145">
        <v>56.53</v>
      </c>
    </row>
    <row r="146" spans="1:11" x14ac:dyDescent="0.25">
      <c r="A146" t="s">
        <v>3221</v>
      </c>
      <c r="B146" t="s">
        <v>450</v>
      </c>
      <c r="C146" t="s">
        <v>3034</v>
      </c>
      <c r="D146" s="1">
        <v>46024.273981481485</v>
      </c>
      <c r="E146">
        <v>1571.63</v>
      </c>
      <c r="F146">
        <v>45.88</v>
      </c>
      <c r="G146">
        <v>1525.75</v>
      </c>
      <c r="H146" t="s">
        <v>25</v>
      </c>
      <c r="I146" t="s">
        <v>3038</v>
      </c>
      <c r="J146" t="s">
        <v>3036</v>
      </c>
      <c r="K146">
        <v>1571.63</v>
      </c>
    </row>
    <row r="147" spans="1:11" x14ac:dyDescent="0.25">
      <c r="A147" t="s">
        <v>3222</v>
      </c>
      <c r="B147" t="s">
        <v>453</v>
      </c>
      <c r="C147" t="s">
        <v>3034</v>
      </c>
      <c r="D147" s="1">
        <v>46025.382141203707</v>
      </c>
      <c r="E147">
        <v>456.93</v>
      </c>
      <c r="F147">
        <v>13.55</v>
      </c>
      <c r="G147">
        <v>443.38</v>
      </c>
      <c r="H147" t="s">
        <v>25</v>
      </c>
      <c r="I147" t="s">
        <v>3040</v>
      </c>
      <c r="J147" t="s">
        <v>3036</v>
      </c>
      <c r="K147">
        <v>456.93</v>
      </c>
    </row>
    <row r="148" spans="1:11" x14ac:dyDescent="0.25">
      <c r="A148" t="s">
        <v>3223</v>
      </c>
      <c r="B148" t="s">
        <v>456</v>
      </c>
      <c r="C148" t="s">
        <v>3034</v>
      </c>
      <c r="D148" s="1">
        <v>46026.444872685184</v>
      </c>
      <c r="E148">
        <v>1788.4</v>
      </c>
      <c r="F148">
        <v>52.16</v>
      </c>
      <c r="G148">
        <v>1736.24</v>
      </c>
      <c r="H148" t="s">
        <v>25</v>
      </c>
      <c r="I148" t="s">
        <v>3042</v>
      </c>
      <c r="J148" t="s">
        <v>3036</v>
      </c>
      <c r="K148">
        <v>1788.4</v>
      </c>
    </row>
    <row r="149" spans="1:11" x14ac:dyDescent="0.25">
      <c r="A149" t="s">
        <v>3224</v>
      </c>
      <c r="B149" t="s">
        <v>459</v>
      </c>
      <c r="C149" t="s">
        <v>3034</v>
      </c>
      <c r="D149" s="1">
        <v>46027.563136574077</v>
      </c>
      <c r="E149">
        <v>318.39</v>
      </c>
      <c r="F149">
        <v>9.5299999999999994</v>
      </c>
      <c r="G149">
        <v>308.86</v>
      </c>
      <c r="H149" t="s">
        <v>25</v>
      </c>
      <c r="I149" t="s">
        <v>3068</v>
      </c>
      <c r="J149" t="s">
        <v>3036</v>
      </c>
      <c r="K149">
        <v>318.39</v>
      </c>
    </row>
    <row r="150" spans="1:11" x14ac:dyDescent="0.25">
      <c r="A150" t="s">
        <v>3225</v>
      </c>
      <c r="B150" t="s">
        <v>462</v>
      </c>
      <c r="C150" t="s">
        <v>3034</v>
      </c>
      <c r="D150" s="1">
        <v>46028.64130787037</v>
      </c>
      <c r="E150">
        <v>1472.02</v>
      </c>
      <c r="F150">
        <v>42.99</v>
      </c>
      <c r="G150">
        <v>1429.03</v>
      </c>
      <c r="H150" t="s">
        <v>25</v>
      </c>
      <c r="I150" t="s">
        <v>3046</v>
      </c>
      <c r="J150" t="s">
        <v>3036</v>
      </c>
      <c r="K150">
        <v>1472.02</v>
      </c>
    </row>
    <row r="151" spans="1:11" x14ac:dyDescent="0.25">
      <c r="A151" t="s">
        <v>3226</v>
      </c>
      <c r="B151" t="s">
        <v>462</v>
      </c>
      <c r="C151" t="s">
        <v>3076</v>
      </c>
      <c r="D151" s="1">
        <v>46029.634363425925</v>
      </c>
      <c r="E151">
        <v>-1472.02</v>
      </c>
      <c r="F151">
        <v>0</v>
      </c>
      <c r="G151">
        <v>-1472.02</v>
      </c>
      <c r="H151" t="s">
        <v>25</v>
      </c>
      <c r="I151" t="s">
        <v>3227</v>
      </c>
      <c r="J151" t="s">
        <v>3036</v>
      </c>
      <c r="K151">
        <v>-1472.02</v>
      </c>
    </row>
    <row r="152" spans="1:11" x14ac:dyDescent="0.25">
      <c r="A152" t="s">
        <v>3228</v>
      </c>
      <c r="B152" t="s">
        <v>465</v>
      </c>
      <c r="C152" t="s">
        <v>3034</v>
      </c>
      <c r="D152" s="1">
        <v>46029.727719907409</v>
      </c>
      <c r="E152">
        <v>1304.6600000000001</v>
      </c>
      <c r="F152">
        <v>38.14</v>
      </c>
      <c r="G152">
        <v>1266.52</v>
      </c>
      <c r="H152" t="s">
        <v>25</v>
      </c>
      <c r="I152" t="s">
        <v>3048</v>
      </c>
      <c r="J152" t="s">
        <v>3036</v>
      </c>
      <c r="K152">
        <v>1304.6600000000001</v>
      </c>
    </row>
    <row r="153" spans="1:11" x14ac:dyDescent="0.25">
      <c r="A153" t="s">
        <v>3229</v>
      </c>
      <c r="B153" t="s">
        <v>468</v>
      </c>
      <c r="C153" t="s">
        <v>3034</v>
      </c>
      <c r="D153" s="1">
        <v>46030.816261574073</v>
      </c>
      <c r="E153">
        <v>1711.02</v>
      </c>
      <c r="F153">
        <v>49.92</v>
      </c>
      <c r="G153">
        <v>1661.1</v>
      </c>
      <c r="H153" t="s">
        <v>25</v>
      </c>
      <c r="I153" t="s">
        <v>3050</v>
      </c>
      <c r="J153" t="s">
        <v>3036</v>
      </c>
      <c r="K153">
        <v>1711.02</v>
      </c>
    </row>
    <row r="154" spans="1:11" x14ac:dyDescent="0.25">
      <c r="A154" t="s">
        <v>3230</v>
      </c>
      <c r="B154" t="s">
        <v>471</v>
      </c>
      <c r="C154" t="s">
        <v>3034</v>
      </c>
      <c r="D154" s="1">
        <v>46031.91196759259</v>
      </c>
      <c r="E154">
        <v>1122.5899999999999</v>
      </c>
      <c r="F154">
        <v>32.86</v>
      </c>
      <c r="G154">
        <v>1089.73</v>
      </c>
      <c r="H154" t="s">
        <v>25</v>
      </c>
      <c r="I154" t="s">
        <v>3052</v>
      </c>
      <c r="J154" t="s">
        <v>3036</v>
      </c>
      <c r="K154">
        <v>1122.5899999999999</v>
      </c>
    </row>
    <row r="155" spans="1:11" x14ac:dyDescent="0.25">
      <c r="A155" t="s">
        <v>3231</v>
      </c>
      <c r="B155" t="s">
        <v>474</v>
      </c>
      <c r="C155" t="s">
        <v>3034</v>
      </c>
      <c r="D155" s="1">
        <v>46033.013865740744</v>
      </c>
      <c r="E155">
        <v>808.53</v>
      </c>
      <c r="F155">
        <v>23.75</v>
      </c>
      <c r="G155">
        <v>784.78</v>
      </c>
      <c r="H155" t="s">
        <v>52</v>
      </c>
      <c r="I155" t="s">
        <v>3054</v>
      </c>
      <c r="J155" t="s">
        <v>3036</v>
      </c>
      <c r="K155">
        <v>808.53</v>
      </c>
    </row>
    <row r="156" spans="1:11" x14ac:dyDescent="0.25">
      <c r="A156" t="s">
        <v>3232</v>
      </c>
      <c r="B156" t="s">
        <v>477</v>
      </c>
      <c r="C156" t="s">
        <v>3034</v>
      </c>
      <c r="D156" s="1">
        <v>46034.090798611112</v>
      </c>
      <c r="E156">
        <v>1210.43</v>
      </c>
      <c r="F156">
        <v>35.4</v>
      </c>
      <c r="G156">
        <v>1175.03</v>
      </c>
      <c r="H156" t="s">
        <v>19</v>
      </c>
      <c r="I156" t="s">
        <v>3056</v>
      </c>
      <c r="J156" t="s">
        <v>3036</v>
      </c>
      <c r="K156">
        <v>1210.43</v>
      </c>
    </row>
    <row r="157" spans="1:11" x14ac:dyDescent="0.25">
      <c r="A157" t="s">
        <v>3233</v>
      </c>
      <c r="B157" t="s">
        <v>480</v>
      </c>
      <c r="C157" t="s">
        <v>3034</v>
      </c>
      <c r="D157" s="1">
        <v>46035.202847222223</v>
      </c>
      <c r="E157">
        <v>1797.62</v>
      </c>
      <c r="F157">
        <v>52.43</v>
      </c>
      <c r="G157">
        <v>1745.19</v>
      </c>
      <c r="H157" t="s">
        <v>25</v>
      </c>
      <c r="I157" t="s">
        <v>3058</v>
      </c>
      <c r="J157" t="s">
        <v>3036</v>
      </c>
      <c r="K157">
        <v>1797.62</v>
      </c>
    </row>
    <row r="158" spans="1:11" x14ac:dyDescent="0.25">
      <c r="A158" t="s">
        <v>3234</v>
      </c>
      <c r="B158" t="s">
        <v>483</v>
      </c>
      <c r="C158" t="s">
        <v>3034</v>
      </c>
      <c r="D158" s="1">
        <v>46035.265081018515</v>
      </c>
      <c r="E158">
        <v>2021.47</v>
      </c>
      <c r="F158">
        <v>58.92</v>
      </c>
      <c r="G158">
        <v>1962.55</v>
      </c>
      <c r="H158" t="s">
        <v>25</v>
      </c>
      <c r="I158" t="s">
        <v>3060</v>
      </c>
      <c r="J158" t="s">
        <v>3036</v>
      </c>
      <c r="K158">
        <v>2021.47</v>
      </c>
    </row>
    <row r="159" spans="1:11" x14ac:dyDescent="0.25">
      <c r="A159" t="s">
        <v>3235</v>
      </c>
      <c r="B159" t="s">
        <v>486</v>
      </c>
      <c r="C159" t="s">
        <v>3034</v>
      </c>
      <c r="D159" s="1">
        <v>46036.384733796294</v>
      </c>
      <c r="E159">
        <v>2166.52</v>
      </c>
      <c r="F159">
        <v>63.13</v>
      </c>
      <c r="G159">
        <v>2103.39</v>
      </c>
      <c r="H159" t="s">
        <v>25</v>
      </c>
      <c r="I159" t="s">
        <v>3062</v>
      </c>
      <c r="J159" t="s">
        <v>3036</v>
      </c>
      <c r="K159">
        <v>2166.52</v>
      </c>
    </row>
    <row r="160" spans="1:11" x14ac:dyDescent="0.25">
      <c r="A160" t="s">
        <v>3236</v>
      </c>
      <c r="B160" t="s">
        <v>489</v>
      </c>
      <c r="C160" t="s">
        <v>3034</v>
      </c>
      <c r="D160" s="1">
        <v>46023.453101851854</v>
      </c>
      <c r="E160">
        <v>575.04</v>
      </c>
      <c r="F160">
        <v>16.98</v>
      </c>
      <c r="G160">
        <v>558.05999999999995</v>
      </c>
      <c r="H160" t="s">
        <v>25</v>
      </c>
      <c r="I160" t="s">
        <v>3064</v>
      </c>
      <c r="J160" t="s">
        <v>3036</v>
      </c>
      <c r="K160">
        <v>575.04</v>
      </c>
    </row>
    <row r="161" spans="1:11" x14ac:dyDescent="0.25">
      <c r="A161" t="s">
        <v>3237</v>
      </c>
      <c r="B161" t="s">
        <v>492</v>
      </c>
      <c r="C161" t="s">
        <v>3034</v>
      </c>
      <c r="D161" s="1">
        <v>46024.559687499997</v>
      </c>
      <c r="E161">
        <v>1054.1500000000001</v>
      </c>
      <c r="F161">
        <v>30.87</v>
      </c>
      <c r="G161">
        <v>1023.28</v>
      </c>
      <c r="H161" t="s">
        <v>25</v>
      </c>
      <c r="I161" t="s">
        <v>3038</v>
      </c>
      <c r="J161" t="s">
        <v>3036</v>
      </c>
      <c r="K161">
        <v>1054.1500000000001</v>
      </c>
    </row>
    <row r="162" spans="1:11" x14ac:dyDescent="0.25">
      <c r="A162" t="s">
        <v>3238</v>
      </c>
      <c r="B162" t="s">
        <v>498</v>
      </c>
      <c r="C162" t="s">
        <v>3034</v>
      </c>
      <c r="D162" s="1">
        <v>46026.722442129627</v>
      </c>
      <c r="E162">
        <v>1756.56</v>
      </c>
      <c r="F162">
        <v>51.24</v>
      </c>
      <c r="G162">
        <v>1705.32</v>
      </c>
      <c r="H162" t="s">
        <v>25</v>
      </c>
      <c r="I162" t="s">
        <v>3042</v>
      </c>
      <c r="J162" t="s">
        <v>3036</v>
      </c>
      <c r="K162">
        <v>1756.56</v>
      </c>
    </row>
    <row r="163" spans="1:11" x14ac:dyDescent="0.25">
      <c r="A163" t="s">
        <v>3239</v>
      </c>
      <c r="B163" t="s">
        <v>501</v>
      </c>
      <c r="C163" t="s">
        <v>3034</v>
      </c>
      <c r="D163" s="1">
        <v>46027.85050925926</v>
      </c>
      <c r="E163">
        <v>354.84</v>
      </c>
      <c r="F163">
        <v>10.59</v>
      </c>
      <c r="G163">
        <v>344.25</v>
      </c>
      <c r="H163" t="s">
        <v>25</v>
      </c>
      <c r="I163" t="s">
        <v>3068</v>
      </c>
      <c r="J163" t="s">
        <v>3036</v>
      </c>
      <c r="K163">
        <v>354.84</v>
      </c>
    </row>
    <row r="164" spans="1:11" x14ac:dyDescent="0.25">
      <c r="A164" t="s">
        <v>3240</v>
      </c>
      <c r="B164" t="s">
        <v>504</v>
      </c>
      <c r="C164" t="s">
        <v>3034</v>
      </c>
      <c r="D164" s="1">
        <v>46028.942349537036</v>
      </c>
      <c r="E164">
        <v>2393.91</v>
      </c>
      <c r="F164">
        <v>69.72</v>
      </c>
      <c r="G164">
        <v>2324.19</v>
      </c>
      <c r="H164" t="s">
        <v>52</v>
      </c>
      <c r="I164" t="s">
        <v>3070</v>
      </c>
      <c r="J164" t="s">
        <v>3036</v>
      </c>
      <c r="K164">
        <v>2393.91</v>
      </c>
    </row>
    <row r="165" spans="1:11" x14ac:dyDescent="0.25">
      <c r="A165" t="s">
        <v>3241</v>
      </c>
      <c r="B165" t="s">
        <v>507</v>
      </c>
      <c r="C165" t="s">
        <v>3034</v>
      </c>
      <c r="D165" s="1">
        <v>46030.006145833337</v>
      </c>
      <c r="E165">
        <v>1265.67</v>
      </c>
      <c r="F165">
        <v>37</v>
      </c>
      <c r="G165">
        <v>1228.67</v>
      </c>
      <c r="H165" t="s">
        <v>19</v>
      </c>
      <c r="I165" t="s">
        <v>3072</v>
      </c>
      <c r="J165" t="s">
        <v>3036</v>
      </c>
      <c r="K165">
        <v>1265.67</v>
      </c>
    </row>
    <row r="166" spans="1:11" x14ac:dyDescent="0.25">
      <c r="A166" t="s">
        <v>3242</v>
      </c>
      <c r="B166" t="s">
        <v>510</v>
      </c>
      <c r="C166" t="s">
        <v>3034</v>
      </c>
      <c r="D166" s="1">
        <v>46031.114641203705</v>
      </c>
      <c r="E166">
        <v>1781.21</v>
      </c>
      <c r="F166">
        <v>51.96</v>
      </c>
      <c r="G166">
        <v>1729.25</v>
      </c>
      <c r="H166" t="s">
        <v>25</v>
      </c>
      <c r="I166" t="s">
        <v>3050</v>
      </c>
      <c r="J166" t="s">
        <v>3036</v>
      </c>
      <c r="K166">
        <v>1781.21</v>
      </c>
    </row>
    <row r="167" spans="1:11" x14ac:dyDescent="0.25">
      <c r="A167" t="s">
        <v>3243</v>
      </c>
      <c r="B167" t="s">
        <v>513</v>
      </c>
      <c r="C167" t="s">
        <v>3034</v>
      </c>
      <c r="D167" s="1">
        <v>46032.178391203706</v>
      </c>
      <c r="E167">
        <v>2188.0500000000002</v>
      </c>
      <c r="F167">
        <v>63.75</v>
      </c>
      <c r="G167">
        <v>2124.3000000000002</v>
      </c>
      <c r="H167" t="s">
        <v>25</v>
      </c>
      <c r="I167" t="s">
        <v>3052</v>
      </c>
      <c r="J167" t="s">
        <v>3036</v>
      </c>
      <c r="K167">
        <v>2188.0500000000002</v>
      </c>
    </row>
    <row r="168" spans="1:11" x14ac:dyDescent="0.25">
      <c r="A168" t="s">
        <v>3244</v>
      </c>
      <c r="B168" t="s">
        <v>516</v>
      </c>
      <c r="C168" t="s">
        <v>3034</v>
      </c>
      <c r="D168" s="1">
        <v>46032.28707175926</v>
      </c>
      <c r="E168">
        <v>1530.61</v>
      </c>
      <c r="F168">
        <v>44.69</v>
      </c>
      <c r="G168">
        <v>1485.92</v>
      </c>
      <c r="H168" t="s">
        <v>25</v>
      </c>
      <c r="I168" t="s">
        <v>3079</v>
      </c>
      <c r="J168" t="s">
        <v>3036</v>
      </c>
      <c r="K168">
        <v>1530.61</v>
      </c>
    </row>
    <row r="169" spans="1:11" x14ac:dyDescent="0.25">
      <c r="A169" t="s">
        <v>3245</v>
      </c>
      <c r="B169" t="s">
        <v>519</v>
      </c>
      <c r="C169" t="s">
        <v>3034</v>
      </c>
      <c r="D169" s="1">
        <v>46033.379340277781</v>
      </c>
      <c r="E169">
        <v>335.84</v>
      </c>
      <c r="F169">
        <v>10.039999999999999</v>
      </c>
      <c r="G169">
        <v>325.8</v>
      </c>
      <c r="H169" t="s">
        <v>25</v>
      </c>
      <c r="I169" t="s">
        <v>3081</v>
      </c>
      <c r="J169" t="s">
        <v>3036</v>
      </c>
      <c r="K169">
        <v>335.84</v>
      </c>
    </row>
    <row r="170" spans="1:11" x14ac:dyDescent="0.25">
      <c r="A170" t="s">
        <v>3245</v>
      </c>
      <c r="B170" t="s">
        <v>519</v>
      </c>
      <c r="C170" t="s">
        <v>3034</v>
      </c>
      <c r="D170" s="1">
        <v>46033.379340277781</v>
      </c>
      <c r="E170">
        <v>335.84</v>
      </c>
      <c r="F170">
        <v>10.039999999999999</v>
      </c>
      <c r="G170">
        <v>325.8</v>
      </c>
      <c r="H170" t="s">
        <v>25</v>
      </c>
      <c r="I170" t="s">
        <v>3081</v>
      </c>
      <c r="J170" t="s">
        <v>3036</v>
      </c>
      <c r="K170">
        <v>335.84</v>
      </c>
    </row>
    <row r="171" spans="1:11" x14ac:dyDescent="0.25">
      <c r="A171" t="s">
        <v>3246</v>
      </c>
      <c r="B171" t="s">
        <v>522</v>
      </c>
      <c r="C171" t="s">
        <v>3034</v>
      </c>
      <c r="D171" s="1">
        <v>46034.491759259261</v>
      </c>
      <c r="E171">
        <v>2427.5</v>
      </c>
      <c r="F171">
        <v>70.7</v>
      </c>
      <c r="G171">
        <v>2356.8000000000002</v>
      </c>
      <c r="H171" t="s">
        <v>25</v>
      </c>
      <c r="I171" t="s">
        <v>3058</v>
      </c>
      <c r="J171" t="s">
        <v>3036</v>
      </c>
      <c r="K171">
        <v>2427.5</v>
      </c>
    </row>
    <row r="172" spans="1:11" x14ac:dyDescent="0.25">
      <c r="A172" t="s">
        <v>3247</v>
      </c>
      <c r="B172" t="s">
        <v>525</v>
      </c>
      <c r="C172" t="s">
        <v>3034</v>
      </c>
      <c r="D172" s="1">
        <v>46035.557349537034</v>
      </c>
      <c r="E172">
        <v>971.48</v>
      </c>
      <c r="F172">
        <v>28.47</v>
      </c>
      <c r="G172">
        <v>943.01</v>
      </c>
      <c r="H172" t="s">
        <v>25</v>
      </c>
      <c r="I172" t="s">
        <v>3060</v>
      </c>
      <c r="J172" t="s">
        <v>3036</v>
      </c>
      <c r="K172">
        <v>971.48</v>
      </c>
    </row>
    <row r="173" spans="1:11" x14ac:dyDescent="0.25">
      <c r="A173" t="s">
        <v>3248</v>
      </c>
      <c r="B173" t="s">
        <v>525</v>
      </c>
      <c r="C173" t="s">
        <v>3034</v>
      </c>
      <c r="D173" s="1">
        <v>46035.55804398148</v>
      </c>
      <c r="E173">
        <v>971.48</v>
      </c>
      <c r="F173">
        <v>28.47</v>
      </c>
      <c r="G173">
        <v>943.01</v>
      </c>
      <c r="H173" t="s">
        <v>25</v>
      </c>
      <c r="I173" t="s">
        <v>3060</v>
      </c>
      <c r="J173" t="s">
        <v>3036</v>
      </c>
      <c r="K173">
        <v>971.48</v>
      </c>
    </row>
    <row r="174" spans="1:11" x14ac:dyDescent="0.25">
      <c r="A174" t="s">
        <v>3249</v>
      </c>
      <c r="B174" t="s">
        <v>528</v>
      </c>
      <c r="C174" t="s">
        <v>3034</v>
      </c>
      <c r="D174" s="1">
        <v>46036.674143518518</v>
      </c>
      <c r="E174">
        <v>1106.7</v>
      </c>
      <c r="F174">
        <v>32.39</v>
      </c>
      <c r="G174">
        <v>1074.31</v>
      </c>
      <c r="H174" t="s">
        <v>25</v>
      </c>
      <c r="I174" t="s">
        <v>3062</v>
      </c>
      <c r="J174" t="s">
        <v>3036</v>
      </c>
      <c r="K174">
        <v>1106.7</v>
      </c>
    </row>
    <row r="175" spans="1:11" x14ac:dyDescent="0.25">
      <c r="A175" t="s">
        <v>3250</v>
      </c>
      <c r="B175" t="s">
        <v>531</v>
      </c>
      <c r="C175" t="s">
        <v>3034</v>
      </c>
      <c r="D175" s="1">
        <v>46023.741585648146</v>
      </c>
      <c r="E175">
        <v>277.01</v>
      </c>
      <c r="F175">
        <v>8.33</v>
      </c>
      <c r="G175">
        <v>268.68</v>
      </c>
      <c r="H175" t="s">
        <v>25</v>
      </c>
      <c r="I175" t="s">
        <v>3064</v>
      </c>
      <c r="J175" t="s">
        <v>3036</v>
      </c>
      <c r="K175">
        <v>277.01</v>
      </c>
    </row>
    <row r="176" spans="1:11" x14ac:dyDescent="0.25">
      <c r="A176" t="s">
        <v>3250</v>
      </c>
      <c r="B176" t="s">
        <v>531</v>
      </c>
      <c r="C176" t="s">
        <v>3034</v>
      </c>
      <c r="D176" s="1">
        <v>46023.741585648146</v>
      </c>
      <c r="E176">
        <v>277.01</v>
      </c>
      <c r="F176">
        <v>8.33</v>
      </c>
      <c r="G176">
        <v>268.68</v>
      </c>
      <c r="H176" t="s">
        <v>25</v>
      </c>
      <c r="I176" t="s">
        <v>3064</v>
      </c>
      <c r="J176" t="s">
        <v>3036</v>
      </c>
      <c r="K176">
        <v>277.01</v>
      </c>
    </row>
    <row r="177" spans="1:11" x14ac:dyDescent="0.25">
      <c r="A177" t="s">
        <v>3251</v>
      </c>
      <c r="B177" t="s">
        <v>534</v>
      </c>
      <c r="C177" t="s">
        <v>3034</v>
      </c>
      <c r="D177" s="1">
        <v>46024.851956018516</v>
      </c>
      <c r="E177">
        <v>586.04</v>
      </c>
      <c r="F177">
        <v>17.3</v>
      </c>
      <c r="G177">
        <v>568.74</v>
      </c>
      <c r="H177" t="s">
        <v>52</v>
      </c>
      <c r="I177" t="s">
        <v>3172</v>
      </c>
      <c r="J177" t="s">
        <v>3036</v>
      </c>
      <c r="K177">
        <v>586.04</v>
      </c>
    </row>
    <row r="178" spans="1:11" x14ac:dyDescent="0.25">
      <c r="A178" t="s">
        <v>3252</v>
      </c>
      <c r="B178" t="s">
        <v>534</v>
      </c>
      <c r="C178" t="s">
        <v>3076</v>
      </c>
      <c r="D178" s="1">
        <v>46025.845011574071</v>
      </c>
      <c r="E178">
        <v>-293.02</v>
      </c>
      <c r="F178">
        <v>0</v>
      </c>
      <c r="G178">
        <v>-293.02</v>
      </c>
      <c r="H178" t="s">
        <v>52</v>
      </c>
      <c r="I178" t="s">
        <v>3253</v>
      </c>
      <c r="J178" t="s">
        <v>3036</v>
      </c>
      <c r="K178">
        <v>-293.02</v>
      </c>
    </row>
    <row r="179" spans="1:11" x14ac:dyDescent="0.25">
      <c r="A179" t="s">
        <v>3254</v>
      </c>
      <c r="B179" t="s">
        <v>537</v>
      </c>
      <c r="C179" t="s">
        <v>3034</v>
      </c>
      <c r="D179" s="1">
        <v>46025.94935185185</v>
      </c>
      <c r="E179">
        <v>227.25</v>
      </c>
      <c r="F179">
        <v>6.89</v>
      </c>
      <c r="G179">
        <v>220.36</v>
      </c>
      <c r="H179" t="s">
        <v>19</v>
      </c>
      <c r="I179" t="s">
        <v>3174</v>
      </c>
      <c r="J179" t="s">
        <v>3036</v>
      </c>
      <c r="K179">
        <v>227.25</v>
      </c>
    </row>
    <row r="180" spans="1:11" x14ac:dyDescent="0.25">
      <c r="A180" t="s">
        <v>3255</v>
      </c>
      <c r="B180" t="s">
        <v>540</v>
      </c>
      <c r="C180" t="s">
        <v>3034</v>
      </c>
      <c r="D180" s="1">
        <v>46027.008090277777</v>
      </c>
      <c r="E180">
        <v>123.15</v>
      </c>
      <c r="F180">
        <v>3.87</v>
      </c>
      <c r="G180">
        <v>119.28</v>
      </c>
      <c r="H180" t="s">
        <v>25</v>
      </c>
      <c r="I180" t="s">
        <v>3042</v>
      </c>
      <c r="J180" t="s">
        <v>3036</v>
      </c>
      <c r="K180">
        <v>123.15</v>
      </c>
    </row>
    <row r="181" spans="1:11" x14ac:dyDescent="0.25">
      <c r="A181" t="s">
        <v>3256</v>
      </c>
      <c r="B181" t="s">
        <v>543</v>
      </c>
      <c r="C181" t="s">
        <v>3034</v>
      </c>
      <c r="D181" s="1">
        <v>46028.099062499998</v>
      </c>
      <c r="E181">
        <v>2116.92</v>
      </c>
      <c r="F181">
        <v>61.69</v>
      </c>
      <c r="G181">
        <v>2055.23</v>
      </c>
      <c r="H181" t="s">
        <v>25</v>
      </c>
      <c r="I181" t="s">
        <v>3068</v>
      </c>
      <c r="J181" t="s">
        <v>3036</v>
      </c>
      <c r="K181">
        <v>2116.92</v>
      </c>
    </row>
    <row r="182" spans="1:11" x14ac:dyDescent="0.25">
      <c r="A182" t="s">
        <v>3257</v>
      </c>
      <c r="B182" t="s">
        <v>546</v>
      </c>
      <c r="C182" t="s">
        <v>3034</v>
      </c>
      <c r="D182" s="1">
        <v>46029.206643518519</v>
      </c>
      <c r="E182">
        <v>1762.77</v>
      </c>
      <c r="F182">
        <v>51.42</v>
      </c>
      <c r="G182">
        <v>1711.35</v>
      </c>
      <c r="H182" t="s">
        <v>25</v>
      </c>
      <c r="I182" t="s">
        <v>3046</v>
      </c>
      <c r="J182" t="s">
        <v>3036</v>
      </c>
      <c r="K182">
        <v>1762.77</v>
      </c>
    </row>
    <row r="183" spans="1:11" x14ac:dyDescent="0.25">
      <c r="A183" t="s">
        <v>3258</v>
      </c>
      <c r="B183" t="s">
        <v>549</v>
      </c>
      <c r="C183" t="s">
        <v>3034</v>
      </c>
      <c r="D183" s="1">
        <v>46029.28565972222</v>
      </c>
      <c r="E183">
        <v>228.95</v>
      </c>
      <c r="F183">
        <v>6.94</v>
      </c>
      <c r="G183">
        <v>222.01</v>
      </c>
      <c r="H183" t="s">
        <v>25</v>
      </c>
      <c r="I183" t="s">
        <v>3048</v>
      </c>
      <c r="J183" t="s">
        <v>3036</v>
      </c>
      <c r="K183">
        <v>228.95</v>
      </c>
    </row>
    <row r="184" spans="1:11" x14ac:dyDescent="0.25">
      <c r="A184" t="s">
        <v>3258</v>
      </c>
      <c r="B184" t="s">
        <v>549</v>
      </c>
      <c r="C184" t="s">
        <v>3034</v>
      </c>
      <c r="D184" s="1">
        <v>46029.28565972222</v>
      </c>
      <c r="E184">
        <v>228.95</v>
      </c>
      <c r="F184">
        <v>6.94</v>
      </c>
      <c r="G184">
        <v>222.01</v>
      </c>
      <c r="H184" t="s">
        <v>25</v>
      </c>
      <c r="I184" t="s">
        <v>3048</v>
      </c>
      <c r="J184" t="s">
        <v>3036</v>
      </c>
      <c r="K184">
        <v>228.95</v>
      </c>
    </row>
    <row r="185" spans="1:11" x14ac:dyDescent="0.25">
      <c r="A185" t="s">
        <v>3259</v>
      </c>
      <c r="B185" t="s">
        <v>552</v>
      </c>
      <c r="C185" t="s">
        <v>3034</v>
      </c>
      <c r="D185" s="1">
        <v>46030.390914351854</v>
      </c>
      <c r="E185">
        <v>936.29</v>
      </c>
      <c r="F185">
        <v>27.82</v>
      </c>
      <c r="G185">
        <v>908.47</v>
      </c>
      <c r="H185" t="s">
        <v>25</v>
      </c>
      <c r="I185" t="s">
        <v>3050</v>
      </c>
      <c r="J185" t="s">
        <v>3036</v>
      </c>
      <c r="K185">
        <v>936.29</v>
      </c>
    </row>
    <row r="186" spans="1:11" x14ac:dyDescent="0.25">
      <c r="A186" t="s">
        <v>3260</v>
      </c>
      <c r="B186" t="s">
        <v>555</v>
      </c>
      <c r="C186" t="s">
        <v>3034</v>
      </c>
      <c r="D186" s="1">
        <v>46031.482037037036</v>
      </c>
      <c r="E186">
        <v>2409.42</v>
      </c>
      <c r="F186">
        <v>70.17</v>
      </c>
      <c r="G186">
        <v>2339.25</v>
      </c>
      <c r="H186" t="s">
        <v>25</v>
      </c>
      <c r="I186" t="s">
        <v>3052</v>
      </c>
      <c r="J186" t="s">
        <v>3036</v>
      </c>
      <c r="K186">
        <v>2409.42</v>
      </c>
    </row>
    <row r="187" spans="1:11" x14ac:dyDescent="0.25">
      <c r="A187" t="s">
        <v>3261</v>
      </c>
      <c r="B187" t="s">
        <v>558</v>
      </c>
      <c r="C187" t="s">
        <v>3034</v>
      </c>
      <c r="D187" s="1">
        <v>46032.552604166667</v>
      </c>
      <c r="E187">
        <v>846.48</v>
      </c>
      <c r="F187">
        <v>24.85</v>
      </c>
      <c r="G187">
        <v>821.63</v>
      </c>
      <c r="H187" t="s">
        <v>25</v>
      </c>
      <c r="I187" t="s">
        <v>3079</v>
      </c>
      <c r="J187" t="s">
        <v>3036</v>
      </c>
      <c r="K187">
        <v>846.48</v>
      </c>
    </row>
    <row r="188" spans="1:11" x14ac:dyDescent="0.25">
      <c r="A188" t="s">
        <v>3262</v>
      </c>
      <c r="B188" t="s">
        <v>561</v>
      </c>
      <c r="C188" t="s">
        <v>3034</v>
      </c>
      <c r="D188" s="1">
        <v>46033.651678240742</v>
      </c>
      <c r="E188">
        <v>1537.88</v>
      </c>
      <c r="F188">
        <v>44.9</v>
      </c>
      <c r="G188">
        <v>1492.98</v>
      </c>
      <c r="H188" t="s">
        <v>25</v>
      </c>
      <c r="I188" t="s">
        <v>3081</v>
      </c>
      <c r="J188" t="s">
        <v>3036</v>
      </c>
      <c r="K188">
        <v>1537.88</v>
      </c>
    </row>
    <row r="189" spans="1:11" x14ac:dyDescent="0.25">
      <c r="A189" t="s">
        <v>3263</v>
      </c>
      <c r="B189" t="s">
        <v>564</v>
      </c>
      <c r="C189" t="s">
        <v>3034</v>
      </c>
      <c r="D189" s="1">
        <v>46034.753391203703</v>
      </c>
      <c r="E189">
        <v>756.46</v>
      </c>
      <c r="F189">
        <v>22.24</v>
      </c>
      <c r="G189">
        <v>734.22</v>
      </c>
      <c r="H189" t="s">
        <v>52</v>
      </c>
      <c r="I189" t="s">
        <v>3102</v>
      </c>
      <c r="J189" t="s">
        <v>3036</v>
      </c>
      <c r="K189">
        <v>756.46</v>
      </c>
    </row>
    <row r="190" spans="1:11" x14ac:dyDescent="0.25">
      <c r="A190" t="s">
        <v>3264</v>
      </c>
      <c r="B190" t="s">
        <v>567</v>
      </c>
      <c r="C190" t="s">
        <v>3034</v>
      </c>
      <c r="D190" s="1">
        <v>46035.827245370368</v>
      </c>
      <c r="E190">
        <v>1404.28</v>
      </c>
      <c r="F190">
        <v>41.02</v>
      </c>
      <c r="G190">
        <v>1363.26</v>
      </c>
      <c r="H190" t="s">
        <v>19</v>
      </c>
      <c r="I190" t="s">
        <v>3186</v>
      </c>
      <c r="J190" t="s">
        <v>3036</v>
      </c>
      <c r="K190">
        <v>1404.28</v>
      </c>
    </row>
    <row r="191" spans="1:11" x14ac:dyDescent="0.25">
      <c r="A191" t="s">
        <v>3265</v>
      </c>
      <c r="B191" t="s">
        <v>570</v>
      </c>
      <c r="C191" t="s">
        <v>3034</v>
      </c>
      <c r="D191" s="1">
        <v>46036.923229166663</v>
      </c>
      <c r="E191">
        <v>990.93</v>
      </c>
      <c r="F191">
        <v>29.04</v>
      </c>
      <c r="G191">
        <v>961.89</v>
      </c>
      <c r="H191" t="s">
        <v>25</v>
      </c>
      <c r="I191" t="s">
        <v>3062</v>
      </c>
      <c r="J191" t="s">
        <v>3036</v>
      </c>
      <c r="K191">
        <v>990.93</v>
      </c>
    </row>
    <row r="192" spans="1:11" x14ac:dyDescent="0.25">
      <c r="A192" t="s">
        <v>3266</v>
      </c>
      <c r="B192" t="s">
        <v>573</v>
      </c>
      <c r="C192" t="s">
        <v>3034</v>
      </c>
      <c r="D192" s="1">
        <v>46024.012662037036</v>
      </c>
      <c r="E192">
        <v>1360.99</v>
      </c>
      <c r="F192">
        <v>39.770000000000003</v>
      </c>
      <c r="G192">
        <v>1321.22</v>
      </c>
      <c r="H192" t="s">
        <v>25</v>
      </c>
      <c r="I192" t="s">
        <v>3267</v>
      </c>
      <c r="J192" t="s">
        <v>3036</v>
      </c>
      <c r="K192">
        <v>1360.99</v>
      </c>
    </row>
    <row r="193" spans="1:11" x14ac:dyDescent="0.25">
      <c r="A193" t="s">
        <v>3268</v>
      </c>
      <c r="B193" t="s">
        <v>576</v>
      </c>
      <c r="C193" t="s">
        <v>3034</v>
      </c>
      <c r="D193" s="1">
        <v>46025.124918981484</v>
      </c>
      <c r="E193">
        <v>804.89</v>
      </c>
      <c r="F193">
        <v>23.64</v>
      </c>
      <c r="G193">
        <v>781.25</v>
      </c>
      <c r="H193" t="s">
        <v>25</v>
      </c>
      <c r="I193" t="s">
        <v>3038</v>
      </c>
      <c r="J193" t="s">
        <v>3036</v>
      </c>
      <c r="K193">
        <v>804.89</v>
      </c>
    </row>
    <row r="194" spans="1:11" x14ac:dyDescent="0.25">
      <c r="A194" t="s">
        <v>3269</v>
      </c>
      <c r="B194" t="s">
        <v>579</v>
      </c>
      <c r="C194" t="s">
        <v>3034</v>
      </c>
      <c r="D194" s="1">
        <v>46026.202824074076</v>
      </c>
      <c r="E194">
        <v>518.08000000000004</v>
      </c>
      <c r="F194">
        <v>15.32</v>
      </c>
      <c r="G194">
        <v>502.76</v>
      </c>
      <c r="H194" t="s">
        <v>25</v>
      </c>
      <c r="I194" t="s">
        <v>3040</v>
      </c>
      <c r="J194" t="s">
        <v>3036</v>
      </c>
      <c r="K194">
        <v>518.08000000000004</v>
      </c>
    </row>
    <row r="195" spans="1:11" x14ac:dyDescent="0.25">
      <c r="A195" t="s">
        <v>3270</v>
      </c>
      <c r="B195" t="s">
        <v>579</v>
      </c>
      <c r="C195" t="s">
        <v>3076</v>
      </c>
      <c r="D195" s="1">
        <v>46027.195879629631</v>
      </c>
      <c r="E195">
        <v>-518.08000000000004</v>
      </c>
      <c r="F195">
        <v>0</v>
      </c>
      <c r="G195">
        <v>-518.08000000000004</v>
      </c>
      <c r="H195" t="s">
        <v>25</v>
      </c>
      <c r="I195" t="s">
        <v>3271</v>
      </c>
      <c r="J195" t="s">
        <v>3036</v>
      </c>
      <c r="K195">
        <v>-518.08000000000004</v>
      </c>
    </row>
    <row r="196" spans="1:11" x14ac:dyDescent="0.25">
      <c r="A196" t="s">
        <v>3272</v>
      </c>
      <c r="B196" t="s">
        <v>582</v>
      </c>
      <c r="C196" t="s">
        <v>3034</v>
      </c>
      <c r="D196" s="1">
        <v>46026.309074074074</v>
      </c>
      <c r="E196">
        <v>2048.58</v>
      </c>
      <c r="F196">
        <v>59.71</v>
      </c>
      <c r="G196">
        <v>1988.87</v>
      </c>
      <c r="H196" t="s">
        <v>25</v>
      </c>
      <c r="I196" t="s">
        <v>3042</v>
      </c>
      <c r="J196" t="s">
        <v>3036</v>
      </c>
      <c r="K196">
        <v>2048.58</v>
      </c>
    </row>
    <row r="197" spans="1:11" x14ac:dyDescent="0.25">
      <c r="A197" t="s">
        <v>3273</v>
      </c>
      <c r="B197" t="s">
        <v>585</v>
      </c>
      <c r="C197" t="s">
        <v>3034</v>
      </c>
      <c r="D197" s="1">
        <v>46027.410115740742</v>
      </c>
      <c r="E197">
        <v>207.87</v>
      </c>
      <c r="F197">
        <v>6.33</v>
      </c>
      <c r="G197">
        <v>201.54</v>
      </c>
      <c r="H197" t="s">
        <v>25</v>
      </c>
      <c r="I197" t="s">
        <v>3068</v>
      </c>
      <c r="J197" t="s">
        <v>3036</v>
      </c>
      <c r="K197">
        <v>207.87</v>
      </c>
    </row>
    <row r="198" spans="1:11" x14ac:dyDescent="0.25">
      <c r="A198" t="s">
        <v>3274</v>
      </c>
      <c r="B198" t="s">
        <v>588</v>
      </c>
      <c r="C198" t="s">
        <v>3034</v>
      </c>
      <c r="D198" s="1">
        <v>46028.498900462961</v>
      </c>
      <c r="E198">
        <v>359.8</v>
      </c>
      <c r="F198">
        <v>10.73</v>
      </c>
      <c r="G198">
        <v>349.07</v>
      </c>
      <c r="H198" t="s">
        <v>25</v>
      </c>
      <c r="I198" t="s">
        <v>3046</v>
      </c>
      <c r="J198" t="s">
        <v>3036</v>
      </c>
      <c r="K198">
        <v>359.8</v>
      </c>
    </row>
    <row r="199" spans="1:11" x14ac:dyDescent="0.25">
      <c r="A199" t="s">
        <v>3275</v>
      </c>
      <c r="B199" t="s">
        <v>591</v>
      </c>
      <c r="C199" t="s">
        <v>3034</v>
      </c>
      <c r="D199" s="1">
        <v>46029.580694444441</v>
      </c>
      <c r="E199">
        <v>286.99</v>
      </c>
      <c r="F199">
        <v>8.6199999999999992</v>
      </c>
      <c r="G199">
        <v>278.37</v>
      </c>
      <c r="H199" t="s">
        <v>25</v>
      </c>
      <c r="I199" t="s">
        <v>3048</v>
      </c>
      <c r="J199" t="s">
        <v>3036</v>
      </c>
      <c r="K199">
        <v>286.99</v>
      </c>
    </row>
    <row r="200" spans="1:11" x14ac:dyDescent="0.25">
      <c r="A200" t="s">
        <v>3276</v>
      </c>
      <c r="B200" t="s">
        <v>594</v>
      </c>
      <c r="C200" t="s">
        <v>3034</v>
      </c>
      <c r="D200" s="1">
        <v>46030.651782407411</v>
      </c>
      <c r="E200">
        <v>878.65</v>
      </c>
      <c r="F200">
        <v>25.78</v>
      </c>
      <c r="G200">
        <v>852.87</v>
      </c>
      <c r="H200" t="s">
        <v>52</v>
      </c>
      <c r="I200" t="s">
        <v>3115</v>
      </c>
      <c r="J200" t="s">
        <v>3036</v>
      </c>
      <c r="K200">
        <v>878.65</v>
      </c>
    </row>
    <row r="201" spans="1:11" x14ac:dyDescent="0.25">
      <c r="A201" t="s">
        <v>3277</v>
      </c>
      <c r="B201" t="s">
        <v>594</v>
      </c>
      <c r="C201" t="s">
        <v>3076</v>
      </c>
      <c r="D201" s="1">
        <v>46031.644837962966</v>
      </c>
      <c r="E201">
        <v>-439.33</v>
      </c>
      <c r="F201">
        <v>0</v>
      </c>
      <c r="G201">
        <v>-439.33</v>
      </c>
      <c r="H201" t="s">
        <v>52</v>
      </c>
      <c r="I201" t="s">
        <v>3278</v>
      </c>
      <c r="J201" t="s">
        <v>3036</v>
      </c>
      <c r="K201">
        <v>-439.33</v>
      </c>
    </row>
    <row r="202" spans="1:11" x14ac:dyDescent="0.25">
      <c r="A202" t="s">
        <v>3279</v>
      </c>
      <c r="B202" t="s">
        <v>597</v>
      </c>
      <c r="C202" t="s">
        <v>3034</v>
      </c>
      <c r="D202" s="1">
        <v>46031.766226851854</v>
      </c>
      <c r="E202">
        <v>1254.72</v>
      </c>
      <c r="F202">
        <v>36.69</v>
      </c>
      <c r="G202">
        <v>1218.03</v>
      </c>
      <c r="H202" t="s">
        <v>19</v>
      </c>
      <c r="I202" t="s">
        <v>3117</v>
      </c>
      <c r="J202" t="s">
        <v>3036</v>
      </c>
      <c r="K202">
        <v>1254.72</v>
      </c>
    </row>
    <row r="203" spans="1:11" x14ac:dyDescent="0.25">
      <c r="A203" t="s">
        <v>3280</v>
      </c>
      <c r="B203" t="s">
        <v>600</v>
      </c>
      <c r="C203" t="s">
        <v>3034</v>
      </c>
      <c r="D203" s="1">
        <v>46032.84578703704</v>
      </c>
      <c r="E203">
        <v>1961.44</v>
      </c>
      <c r="F203">
        <v>57.18</v>
      </c>
      <c r="G203">
        <v>1904.26</v>
      </c>
      <c r="H203" t="s">
        <v>25</v>
      </c>
      <c r="I203" t="s">
        <v>3079</v>
      </c>
      <c r="J203" t="s">
        <v>3036</v>
      </c>
      <c r="K203">
        <v>1961.44</v>
      </c>
    </row>
    <row r="204" spans="1:11" x14ac:dyDescent="0.25">
      <c r="A204" t="s">
        <v>3281</v>
      </c>
      <c r="B204" t="s">
        <v>603</v>
      </c>
      <c r="C204" t="s">
        <v>3034</v>
      </c>
      <c r="D204" s="1">
        <v>46033.965509259258</v>
      </c>
      <c r="E204">
        <v>534.15</v>
      </c>
      <c r="F204">
        <v>15.79</v>
      </c>
      <c r="G204">
        <v>518.36</v>
      </c>
      <c r="H204" t="s">
        <v>25</v>
      </c>
      <c r="I204" t="s">
        <v>3282</v>
      </c>
      <c r="J204" t="s">
        <v>3036</v>
      </c>
      <c r="K204">
        <v>534.15</v>
      </c>
    </row>
    <row r="205" spans="1:11" x14ac:dyDescent="0.25">
      <c r="A205" t="s">
        <v>3283</v>
      </c>
      <c r="B205" t="s">
        <v>606</v>
      </c>
      <c r="C205" t="s">
        <v>3034</v>
      </c>
      <c r="D205" s="1">
        <v>46035.055324074077</v>
      </c>
      <c r="E205">
        <v>532.47</v>
      </c>
      <c r="F205">
        <v>15.74</v>
      </c>
      <c r="G205">
        <v>516.73</v>
      </c>
      <c r="H205" t="s">
        <v>25</v>
      </c>
      <c r="I205" t="s">
        <v>3058</v>
      </c>
      <c r="J205" t="s">
        <v>3036</v>
      </c>
      <c r="K205">
        <v>532.47</v>
      </c>
    </row>
    <row r="206" spans="1:11" x14ac:dyDescent="0.25">
      <c r="A206" t="s">
        <v>3284</v>
      </c>
      <c r="B206" t="s">
        <v>609</v>
      </c>
      <c r="C206" t="s">
        <v>3034</v>
      </c>
      <c r="D206" s="1">
        <v>46036.128877314812</v>
      </c>
      <c r="E206">
        <v>1548.97</v>
      </c>
      <c r="F206">
        <v>45.22</v>
      </c>
      <c r="G206">
        <v>1503.75</v>
      </c>
      <c r="H206" t="s">
        <v>25</v>
      </c>
      <c r="I206" t="s">
        <v>3060</v>
      </c>
      <c r="J206" t="s">
        <v>3036</v>
      </c>
      <c r="K206">
        <v>1548.97</v>
      </c>
    </row>
    <row r="207" spans="1:11" x14ac:dyDescent="0.25">
      <c r="A207" t="s">
        <v>3285</v>
      </c>
      <c r="B207" t="s">
        <v>612</v>
      </c>
      <c r="C207" t="s">
        <v>3034</v>
      </c>
      <c r="D207" s="1">
        <v>46037.201053240744</v>
      </c>
      <c r="E207">
        <v>1318.53</v>
      </c>
      <c r="F207">
        <v>38.54</v>
      </c>
      <c r="G207">
        <v>1279.99</v>
      </c>
      <c r="H207" t="s">
        <v>25</v>
      </c>
      <c r="I207" t="s">
        <v>3062</v>
      </c>
      <c r="J207" t="s">
        <v>3036</v>
      </c>
      <c r="K207">
        <v>1318.53</v>
      </c>
    </row>
    <row r="208" spans="1:11" x14ac:dyDescent="0.25">
      <c r="A208" t="s">
        <v>3285</v>
      </c>
      <c r="B208" t="s">
        <v>612</v>
      </c>
      <c r="C208" t="s">
        <v>3034</v>
      </c>
      <c r="D208" s="1">
        <v>46037.201053240744</v>
      </c>
      <c r="E208">
        <v>1318.53</v>
      </c>
      <c r="F208">
        <v>38.54</v>
      </c>
      <c r="G208">
        <v>1279.99</v>
      </c>
      <c r="H208" t="s">
        <v>25</v>
      </c>
      <c r="I208" t="s">
        <v>3062</v>
      </c>
      <c r="J208" t="s">
        <v>3036</v>
      </c>
      <c r="K208">
        <v>1318.53</v>
      </c>
    </row>
    <row r="209" spans="1:11" x14ac:dyDescent="0.25">
      <c r="A209" t="s">
        <v>3286</v>
      </c>
      <c r="B209" t="s">
        <v>615</v>
      </c>
      <c r="C209" t="s">
        <v>3034</v>
      </c>
      <c r="D209" s="1">
        <v>46023.306076388886</v>
      </c>
      <c r="E209">
        <v>1074.4000000000001</v>
      </c>
      <c r="F209">
        <v>31.46</v>
      </c>
      <c r="G209">
        <v>1042.94</v>
      </c>
      <c r="H209" t="s">
        <v>25</v>
      </c>
      <c r="I209" t="s">
        <v>3064</v>
      </c>
      <c r="J209" t="s">
        <v>3036</v>
      </c>
      <c r="K209">
        <v>1074.4000000000001</v>
      </c>
    </row>
    <row r="210" spans="1:11" x14ac:dyDescent="0.25">
      <c r="A210" t="s">
        <v>3287</v>
      </c>
      <c r="B210" t="s">
        <v>618</v>
      </c>
      <c r="C210" t="s">
        <v>3034</v>
      </c>
      <c r="D210" s="1">
        <v>46024.384710648148</v>
      </c>
      <c r="E210">
        <v>1036.1500000000001</v>
      </c>
      <c r="F210">
        <v>30.35</v>
      </c>
      <c r="G210">
        <v>1005.8</v>
      </c>
      <c r="H210" t="s">
        <v>25</v>
      </c>
      <c r="I210" t="s">
        <v>3038</v>
      </c>
      <c r="J210" t="s">
        <v>3036</v>
      </c>
      <c r="K210">
        <v>1036.1500000000001</v>
      </c>
    </row>
    <row r="211" spans="1:11" x14ac:dyDescent="0.25">
      <c r="A211" t="s">
        <v>3288</v>
      </c>
      <c r="B211" t="s">
        <v>621</v>
      </c>
      <c r="C211" t="s">
        <v>3034</v>
      </c>
      <c r="D211" s="1">
        <v>46025.511238425926</v>
      </c>
      <c r="E211">
        <v>837</v>
      </c>
      <c r="F211">
        <v>24.57</v>
      </c>
      <c r="G211">
        <v>812.43</v>
      </c>
      <c r="H211" t="s">
        <v>25</v>
      </c>
      <c r="I211" t="s">
        <v>3040</v>
      </c>
      <c r="J211" t="s">
        <v>3036</v>
      </c>
      <c r="K211">
        <v>837</v>
      </c>
    </row>
    <row r="212" spans="1:11" x14ac:dyDescent="0.25">
      <c r="A212" t="s">
        <v>3289</v>
      </c>
      <c r="B212" t="s">
        <v>624</v>
      </c>
      <c r="C212" t="s">
        <v>3034</v>
      </c>
      <c r="D212" s="1">
        <v>46026.597083333334</v>
      </c>
      <c r="E212">
        <v>2394.61</v>
      </c>
      <c r="F212">
        <v>69.739999999999995</v>
      </c>
      <c r="G212">
        <v>2324.87</v>
      </c>
      <c r="H212" t="s">
        <v>52</v>
      </c>
      <c r="I212" t="s">
        <v>3290</v>
      </c>
      <c r="J212" t="s">
        <v>3036</v>
      </c>
      <c r="K212">
        <v>2394.61</v>
      </c>
    </row>
    <row r="213" spans="1:11" x14ac:dyDescent="0.25">
      <c r="A213" t="s">
        <v>3291</v>
      </c>
      <c r="B213" t="s">
        <v>627</v>
      </c>
      <c r="C213" t="s">
        <v>3034</v>
      </c>
      <c r="D213" s="1">
        <v>46027.6721412037</v>
      </c>
      <c r="E213">
        <v>241.73</v>
      </c>
      <c r="F213">
        <v>7.31</v>
      </c>
      <c r="G213">
        <v>234.42</v>
      </c>
      <c r="H213" t="s">
        <v>19</v>
      </c>
      <c r="I213" t="s">
        <v>3130</v>
      </c>
      <c r="J213" t="s">
        <v>3036</v>
      </c>
      <c r="K213">
        <v>241.73</v>
      </c>
    </row>
    <row r="214" spans="1:11" x14ac:dyDescent="0.25">
      <c r="A214" t="s">
        <v>3292</v>
      </c>
      <c r="B214" t="s">
        <v>630</v>
      </c>
      <c r="C214" t="s">
        <v>3034</v>
      </c>
      <c r="D214" s="1">
        <v>46028.780775462961</v>
      </c>
      <c r="E214">
        <v>842.57</v>
      </c>
      <c r="F214">
        <v>24.73</v>
      </c>
      <c r="G214">
        <v>817.84</v>
      </c>
      <c r="H214" t="s">
        <v>25</v>
      </c>
      <c r="I214" t="s">
        <v>3293</v>
      </c>
      <c r="J214" t="s">
        <v>3036</v>
      </c>
      <c r="K214">
        <v>842.57</v>
      </c>
    </row>
    <row r="215" spans="1:11" x14ac:dyDescent="0.25">
      <c r="A215" t="s">
        <v>3294</v>
      </c>
      <c r="B215" t="s">
        <v>633</v>
      </c>
      <c r="C215" t="s">
        <v>3034</v>
      </c>
      <c r="D215" s="1">
        <v>46029.855613425927</v>
      </c>
      <c r="E215">
        <v>135.47</v>
      </c>
      <c r="F215">
        <v>4.2300000000000004</v>
      </c>
      <c r="G215">
        <v>131.24</v>
      </c>
      <c r="H215" t="s">
        <v>25</v>
      </c>
      <c r="I215" t="s">
        <v>3048</v>
      </c>
      <c r="J215" t="s">
        <v>3036</v>
      </c>
      <c r="K215">
        <v>135.47</v>
      </c>
    </row>
    <row r="216" spans="1:11" x14ac:dyDescent="0.25">
      <c r="A216" t="s">
        <v>3295</v>
      </c>
      <c r="B216" t="s">
        <v>636</v>
      </c>
      <c r="C216" t="s">
        <v>3034</v>
      </c>
      <c r="D216" s="1">
        <v>46030.972951388889</v>
      </c>
      <c r="E216">
        <v>1964.55</v>
      </c>
      <c r="F216">
        <v>57.27</v>
      </c>
      <c r="G216">
        <v>1907.28</v>
      </c>
      <c r="H216" t="s">
        <v>25</v>
      </c>
      <c r="I216" t="s">
        <v>3050</v>
      </c>
      <c r="J216" t="s">
        <v>3036</v>
      </c>
      <c r="K216">
        <v>1964.55</v>
      </c>
    </row>
    <row r="217" spans="1:11" x14ac:dyDescent="0.25">
      <c r="A217" t="s">
        <v>3296</v>
      </c>
      <c r="B217" t="s">
        <v>639</v>
      </c>
      <c r="C217" t="s">
        <v>3034</v>
      </c>
      <c r="D217" s="1">
        <v>46032.044756944444</v>
      </c>
      <c r="E217">
        <v>16.93</v>
      </c>
      <c r="F217">
        <v>0.79</v>
      </c>
      <c r="G217">
        <v>16.14</v>
      </c>
      <c r="H217" t="s">
        <v>25</v>
      </c>
      <c r="I217" t="s">
        <v>3052</v>
      </c>
      <c r="J217" t="s">
        <v>3036</v>
      </c>
      <c r="K217">
        <v>16.93</v>
      </c>
    </row>
    <row r="218" spans="1:11" x14ac:dyDescent="0.25">
      <c r="A218" t="s">
        <v>3297</v>
      </c>
      <c r="B218" t="s">
        <v>639</v>
      </c>
      <c r="C218" t="s">
        <v>3076</v>
      </c>
      <c r="D218" s="1">
        <v>46033.037812499999</v>
      </c>
      <c r="E218">
        <v>-16.93</v>
      </c>
      <c r="F218">
        <v>0</v>
      </c>
      <c r="G218">
        <v>-16.93</v>
      </c>
      <c r="H218" t="s">
        <v>25</v>
      </c>
      <c r="I218" t="s">
        <v>3298</v>
      </c>
      <c r="J218" t="s">
        <v>3036</v>
      </c>
      <c r="K218">
        <v>-16.93</v>
      </c>
    </row>
    <row r="219" spans="1:11" x14ac:dyDescent="0.25">
      <c r="A219" t="s">
        <v>3299</v>
      </c>
      <c r="B219" t="s">
        <v>642</v>
      </c>
      <c r="C219" t="s">
        <v>3034</v>
      </c>
      <c r="D219" s="1">
        <v>46033.117442129631</v>
      </c>
      <c r="E219">
        <v>968.57</v>
      </c>
      <c r="F219">
        <v>28.39</v>
      </c>
      <c r="G219">
        <v>940.18</v>
      </c>
      <c r="H219" t="s">
        <v>25</v>
      </c>
      <c r="I219" t="s">
        <v>3079</v>
      </c>
      <c r="J219" t="s">
        <v>3036</v>
      </c>
      <c r="K219">
        <v>968.57</v>
      </c>
    </row>
    <row r="220" spans="1:11" x14ac:dyDescent="0.25">
      <c r="A220" t="s">
        <v>3300</v>
      </c>
      <c r="B220" t="s">
        <v>645</v>
      </c>
      <c r="C220" t="s">
        <v>3034</v>
      </c>
      <c r="D220" s="1">
        <v>46034.227916666663</v>
      </c>
      <c r="E220">
        <v>1248.75</v>
      </c>
      <c r="F220">
        <v>36.51</v>
      </c>
      <c r="G220">
        <v>1212.24</v>
      </c>
      <c r="H220" t="s">
        <v>25</v>
      </c>
      <c r="I220" t="s">
        <v>3081</v>
      </c>
      <c r="J220" t="s">
        <v>3036</v>
      </c>
      <c r="K220">
        <v>1248.75</v>
      </c>
    </row>
    <row r="221" spans="1:11" x14ac:dyDescent="0.25">
      <c r="A221" t="s">
        <v>3301</v>
      </c>
      <c r="B221" t="s">
        <v>648</v>
      </c>
      <c r="C221" t="s">
        <v>3034</v>
      </c>
      <c r="D221" s="1">
        <v>46034.329259259262</v>
      </c>
      <c r="E221">
        <v>927.6</v>
      </c>
      <c r="F221">
        <v>27.2</v>
      </c>
      <c r="G221">
        <v>900.4</v>
      </c>
      <c r="H221" t="s">
        <v>25</v>
      </c>
      <c r="I221" t="s">
        <v>3058</v>
      </c>
      <c r="J221" t="s">
        <v>3036</v>
      </c>
      <c r="K221">
        <v>927.6</v>
      </c>
    </row>
    <row r="222" spans="1:11" x14ac:dyDescent="0.25">
      <c r="A222" t="s">
        <v>3302</v>
      </c>
      <c r="B222" t="s">
        <v>651</v>
      </c>
      <c r="C222" t="s">
        <v>3034</v>
      </c>
      <c r="D222" s="1">
        <v>46035.43072916667</v>
      </c>
      <c r="E222">
        <v>1670.52</v>
      </c>
      <c r="F222">
        <v>48.75</v>
      </c>
      <c r="G222">
        <v>1621.77</v>
      </c>
      <c r="H222" t="s">
        <v>25</v>
      </c>
      <c r="I222" t="s">
        <v>3060</v>
      </c>
      <c r="J222" t="s">
        <v>3036</v>
      </c>
      <c r="K222">
        <v>1670.52</v>
      </c>
    </row>
    <row r="223" spans="1:11" x14ac:dyDescent="0.25">
      <c r="A223" t="s">
        <v>3303</v>
      </c>
      <c r="B223" t="s">
        <v>654</v>
      </c>
      <c r="C223" t="s">
        <v>3034</v>
      </c>
      <c r="D223" s="1">
        <v>46036.522349537037</v>
      </c>
      <c r="E223">
        <v>1813.02</v>
      </c>
      <c r="F223">
        <v>52.88</v>
      </c>
      <c r="G223">
        <v>1760.14</v>
      </c>
      <c r="H223" t="s">
        <v>52</v>
      </c>
      <c r="I223" t="s">
        <v>3140</v>
      </c>
      <c r="J223" t="s">
        <v>3036</v>
      </c>
      <c r="K223">
        <v>1813.02</v>
      </c>
    </row>
    <row r="224" spans="1:11" x14ac:dyDescent="0.25">
      <c r="A224" t="s">
        <v>3304</v>
      </c>
      <c r="B224" t="s">
        <v>657</v>
      </c>
      <c r="C224" t="s">
        <v>3034</v>
      </c>
      <c r="D224" s="1">
        <v>46023.577696759261</v>
      </c>
      <c r="E224">
        <v>1005.75</v>
      </c>
      <c r="F224">
        <v>29.47</v>
      </c>
      <c r="G224">
        <v>976.28</v>
      </c>
      <c r="H224" t="s">
        <v>19</v>
      </c>
      <c r="I224" t="s">
        <v>3035</v>
      </c>
      <c r="J224" t="s">
        <v>3036</v>
      </c>
      <c r="K224">
        <v>1005.75</v>
      </c>
    </row>
    <row r="225" spans="1:11" x14ac:dyDescent="0.25">
      <c r="A225" t="s">
        <v>3305</v>
      </c>
      <c r="B225" t="s">
        <v>660</v>
      </c>
      <c r="C225" t="s">
        <v>3034</v>
      </c>
      <c r="D225" s="1">
        <v>46024.674571759257</v>
      </c>
      <c r="E225">
        <v>1945.1</v>
      </c>
      <c r="F225">
        <v>56.71</v>
      </c>
      <c r="G225">
        <v>1888.39</v>
      </c>
      <c r="H225" t="s">
        <v>25</v>
      </c>
      <c r="I225" t="s">
        <v>3038</v>
      </c>
      <c r="J225" t="s">
        <v>3036</v>
      </c>
      <c r="K225">
        <v>1945.1</v>
      </c>
    </row>
    <row r="226" spans="1:11" x14ac:dyDescent="0.25">
      <c r="A226" t="s">
        <v>3306</v>
      </c>
      <c r="B226" t="s">
        <v>663</v>
      </c>
      <c r="C226" t="s">
        <v>3034</v>
      </c>
      <c r="D226" s="1">
        <v>46025.799560185187</v>
      </c>
      <c r="E226">
        <v>1351.31</v>
      </c>
      <c r="F226">
        <v>39.49</v>
      </c>
      <c r="G226">
        <v>1311.82</v>
      </c>
      <c r="H226" t="s">
        <v>25</v>
      </c>
      <c r="I226" t="s">
        <v>3040</v>
      </c>
      <c r="J226" t="s">
        <v>3036</v>
      </c>
      <c r="K226">
        <v>1351.31</v>
      </c>
    </row>
    <row r="227" spans="1:11" x14ac:dyDescent="0.25">
      <c r="A227" t="s">
        <v>3307</v>
      </c>
      <c r="B227" t="s">
        <v>663</v>
      </c>
      <c r="C227" t="s">
        <v>3076</v>
      </c>
      <c r="D227" s="1">
        <v>46026.792615740742</v>
      </c>
      <c r="E227">
        <v>-1351.31</v>
      </c>
      <c r="F227">
        <v>0</v>
      </c>
      <c r="G227">
        <v>-1351.31</v>
      </c>
      <c r="H227" t="s">
        <v>25</v>
      </c>
      <c r="I227" t="s">
        <v>3308</v>
      </c>
      <c r="J227" t="s">
        <v>3036</v>
      </c>
      <c r="K227">
        <v>-1351.31</v>
      </c>
    </row>
    <row r="228" spans="1:11" x14ac:dyDescent="0.25">
      <c r="A228" t="s">
        <v>3309</v>
      </c>
      <c r="B228" t="s">
        <v>666</v>
      </c>
      <c r="C228" t="s">
        <v>3034</v>
      </c>
      <c r="D228" s="1">
        <v>46026.875810185185</v>
      </c>
      <c r="E228">
        <v>1909.84</v>
      </c>
      <c r="F228">
        <v>55.69</v>
      </c>
      <c r="G228">
        <v>1854.15</v>
      </c>
      <c r="H228" t="s">
        <v>25</v>
      </c>
      <c r="I228" t="s">
        <v>3042</v>
      </c>
      <c r="J228" t="s">
        <v>3036</v>
      </c>
      <c r="K228">
        <v>1909.84</v>
      </c>
    </row>
    <row r="229" spans="1:11" x14ac:dyDescent="0.25">
      <c r="A229" t="s">
        <v>3310</v>
      </c>
      <c r="B229" t="s">
        <v>669</v>
      </c>
      <c r="C229" t="s">
        <v>3034</v>
      </c>
      <c r="D229" s="1">
        <v>46027.960115740738</v>
      </c>
      <c r="E229">
        <v>2302.15</v>
      </c>
      <c r="F229">
        <v>67.06</v>
      </c>
      <c r="G229">
        <v>2235.09</v>
      </c>
      <c r="H229" t="s">
        <v>25</v>
      </c>
      <c r="I229" t="s">
        <v>3068</v>
      </c>
      <c r="J229" t="s">
        <v>3036</v>
      </c>
      <c r="K229">
        <v>2302.15</v>
      </c>
    </row>
    <row r="230" spans="1:11" x14ac:dyDescent="0.25">
      <c r="A230" t="s">
        <v>3311</v>
      </c>
      <c r="B230" t="s">
        <v>672</v>
      </c>
      <c r="C230" t="s">
        <v>3034</v>
      </c>
      <c r="D230" s="1">
        <v>46029.069097222222</v>
      </c>
      <c r="E230">
        <v>1161.3800000000001</v>
      </c>
      <c r="F230">
        <v>33.979999999999997</v>
      </c>
      <c r="G230">
        <v>1127.4000000000001</v>
      </c>
      <c r="H230" t="s">
        <v>25</v>
      </c>
      <c r="I230" t="s">
        <v>3046</v>
      </c>
      <c r="J230" t="s">
        <v>3036</v>
      </c>
      <c r="K230">
        <v>1161.3800000000001</v>
      </c>
    </row>
    <row r="231" spans="1:11" x14ac:dyDescent="0.25">
      <c r="A231" t="s">
        <v>3312</v>
      </c>
      <c r="B231" t="s">
        <v>675</v>
      </c>
      <c r="C231" t="s">
        <v>3034</v>
      </c>
      <c r="D231" s="1">
        <v>46030.133460648147</v>
      </c>
      <c r="E231">
        <v>2030.24</v>
      </c>
      <c r="F231">
        <v>59.18</v>
      </c>
      <c r="G231">
        <v>1971.06</v>
      </c>
      <c r="H231" t="s">
        <v>25</v>
      </c>
      <c r="I231" t="s">
        <v>3048</v>
      </c>
      <c r="J231" t="s">
        <v>3036</v>
      </c>
      <c r="K231">
        <v>2030.24</v>
      </c>
    </row>
    <row r="232" spans="1:11" x14ac:dyDescent="0.25">
      <c r="A232" t="s">
        <v>3313</v>
      </c>
      <c r="B232" t="s">
        <v>678</v>
      </c>
      <c r="C232" t="s">
        <v>3034</v>
      </c>
      <c r="D232" s="1">
        <v>46030.245625000003</v>
      </c>
      <c r="E232">
        <v>2262.42</v>
      </c>
      <c r="F232">
        <v>65.91</v>
      </c>
      <c r="G232">
        <v>2196.5100000000002</v>
      </c>
      <c r="H232" t="s">
        <v>25</v>
      </c>
      <c r="I232" t="s">
        <v>3050</v>
      </c>
      <c r="J232" t="s">
        <v>3036</v>
      </c>
      <c r="K232">
        <v>2262.42</v>
      </c>
    </row>
    <row r="233" spans="1:11" x14ac:dyDescent="0.25">
      <c r="A233" t="s">
        <v>3314</v>
      </c>
      <c r="B233" t="s">
        <v>681</v>
      </c>
      <c r="C233" t="s">
        <v>3034</v>
      </c>
      <c r="D233" s="1">
        <v>46031.318113425928</v>
      </c>
      <c r="E233">
        <v>1805.68</v>
      </c>
      <c r="F233">
        <v>52.66</v>
      </c>
      <c r="G233">
        <v>1753.02</v>
      </c>
      <c r="H233" t="s">
        <v>25</v>
      </c>
      <c r="I233" t="s">
        <v>3052</v>
      </c>
      <c r="J233" t="s">
        <v>3036</v>
      </c>
      <c r="K233">
        <v>1805.68</v>
      </c>
    </row>
    <row r="234" spans="1:11" x14ac:dyDescent="0.25">
      <c r="A234" t="s">
        <v>3315</v>
      </c>
      <c r="B234" t="s">
        <v>684</v>
      </c>
      <c r="C234" t="s">
        <v>3034</v>
      </c>
      <c r="D234" s="1">
        <v>46032.435995370368</v>
      </c>
      <c r="E234">
        <v>1168.05</v>
      </c>
      <c r="F234">
        <v>34.17</v>
      </c>
      <c r="G234">
        <v>1133.8800000000001</v>
      </c>
      <c r="H234" t="s">
        <v>52</v>
      </c>
      <c r="I234" t="s">
        <v>3054</v>
      </c>
      <c r="J234" t="s">
        <v>3036</v>
      </c>
      <c r="K234">
        <v>1168.05</v>
      </c>
    </row>
    <row r="235" spans="1:11" x14ac:dyDescent="0.25">
      <c r="A235" t="s">
        <v>3316</v>
      </c>
      <c r="B235" t="s">
        <v>687</v>
      </c>
      <c r="C235" t="s">
        <v>3034</v>
      </c>
      <c r="D235" s="1">
        <v>46033.502245370371</v>
      </c>
      <c r="E235">
        <v>1552.4</v>
      </c>
      <c r="F235">
        <v>45.32</v>
      </c>
      <c r="G235">
        <v>1507.08</v>
      </c>
      <c r="H235" t="s">
        <v>19</v>
      </c>
      <c r="I235" t="s">
        <v>3056</v>
      </c>
      <c r="J235" t="s">
        <v>3036</v>
      </c>
      <c r="K235">
        <v>1552.4</v>
      </c>
    </row>
    <row r="236" spans="1:11" x14ac:dyDescent="0.25">
      <c r="A236" t="s">
        <v>3317</v>
      </c>
      <c r="B236" t="s">
        <v>690</v>
      </c>
      <c r="C236" t="s">
        <v>3034</v>
      </c>
      <c r="D236" s="1">
        <v>46034.615891203706</v>
      </c>
      <c r="E236">
        <v>2162.27</v>
      </c>
      <c r="F236">
        <v>63.01</v>
      </c>
      <c r="G236">
        <v>2099.2600000000002</v>
      </c>
      <c r="H236" t="s">
        <v>25</v>
      </c>
      <c r="I236" t="s">
        <v>3058</v>
      </c>
      <c r="J236" t="s">
        <v>3036</v>
      </c>
      <c r="K236">
        <v>2162.27</v>
      </c>
    </row>
    <row r="237" spans="1:11" x14ac:dyDescent="0.25">
      <c r="A237" t="s">
        <v>3318</v>
      </c>
      <c r="B237" t="s">
        <v>693</v>
      </c>
      <c r="C237" t="s">
        <v>3034</v>
      </c>
      <c r="D237" s="1">
        <v>46035.713576388887</v>
      </c>
      <c r="E237">
        <v>467.89</v>
      </c>
      <c r="F237">
        <v>13.87</v>
      </c>
      <c r="G237">
        <v>454.02</v>
      </c>
      <c r="H237" t="s">
        <v>25</v>
      </c>
      <c r="I237" t="s">
        <v>3060</v>
      </c>
      <c r="J237" t="s">
        <v>3036</v>
      </c>
      <c r="K237">
        <v>467.89</v>
      </c>
    </row>
    <row r="238" spans="1:11" x14ac:dyDescent="0.25">
      <c r="A238" t="s">
        <v>3319</v>
      </c>
      <c r="B238" t="s">
        <v>696</v>
      </c>
      <c r="C238" t="s">
        <v>3034</v>
      </c>
      <c r="D238" s="1">
        <v>46036.786215277774</v>
      </c>
      <c r="E238">
        <v>127.66</v>
      </c>
      <c r="F238">
        <v>4</v>
      </c>
      <c r="G238">
        <v>123.66</v>
      </c>
      <c r="H238" t="s">
        <v>25</v>
      </c>
      <c r="I238" t="s">
        <v>3062</v>
      </c>
      <c r="J238" t="s">
        <v>3036</v>
      </c>
      <c r="K238">
        <v>127.66</v>
      </c>
    </row>
    <row r="239" spans="1:11" x14ac:dyDescent="0.25">
      <c r="A239" t="s">
        <v>3320</v>
      </c>
      <c r="B239" t="s">
        <v>696</v>
      </c>
      <c r="C239" t="s">
        <v>3076</v>
      </c>
      <c r="D239" s="1">
        <v>46037.779270833336</v>
      </c>
      <c r="E239">
        <v>-127.66</v>
      </c>
      <c r="F239">
        <v>0</v>
      </c>
      <c r="G239">
        <v>-127.66</v>
      </c>
      <c r="H239" t="s">
        <v>25</v>
      </c>
      <c r="I239" t="s">
        <v>3321</v>
      </c>
      <c r="J239" t="s">
        <v>3036</v>
      </c>
      <c r="K239">
        <v>-127.66</v>
      </c>
    </row>
    <row r="240" spans="1:11" x14ac:dyDescent="0.25">
      <c r="A240" t="s">
        <v>3322</v>
      </c>
      <c r="B240" t="s">
        <v>699</v>
      </c>
      <c r="C240" t="s">
        <v>3034</v>
      </c>
      <c r="D240" s="1">
        <v>46023.890567129631</v>
      </c>
      <c r="E240">
        <v>1487.55</v>
      </c>
      <c r="F240">
        <v>43.44</v>
      </c>
      <c r="G240">
        <v>1444.11</v>
      </c>
      <c r="H240" t="s">
        <v>25</v>
      </c>
      <c r="I240" t="s">
        <v>3064</v>
      </c>
      <c r="J240" t="s">
        <v>3036</v>
      </c>
      <c r="K240">
        <v>1487.55</v>
      </c>
    </row>
    <row r="241" spans="1:11" x14ac:dyDescent="0.25">
      <c r="A241" t="s">
        <v>3323</v>
      </c>
      <c r="B241" t="s">
        <v>702</v>
      </c>
      <c r="C241" t="s">
        <v>3034</v>
      </c>
      <c r="D241" s="1">
        <v>46024.952256944445</v>
      </c>
      <c r="E241">
        <v>1814.14</v>
      </c>
      <c r="F241">
        <v>52.91</v>
      </c>
      <c r="G241">
        <v>1761.23</v>
      </c>
      <c r="H241" t="s">
        <v>25</v>
      </c>
      <c r="I241" t="s">
        <v>3038</v>
      </c>
      <c r="J241" t="s">
        <v>3036</v>
      </c>
      <c r="K241">
        <v>1814.14</v>
      </c>
    </row>
    <row r="242" spans="1:11" x14ac:dyDescent="0.25">
      <c r="A242" t="s">
        <v>3324</v>
      </c>
      <c r="B242" t="s">
        <v>708</v>
      </c>
      <c r="C242" t="s">
        <v>3034</v>
      </c>
      <c r="D242" s="1">
        <v>46027.146770833337</v>
      </c>
      <c r="E242">
        <v>234.35</v>
      </c>
      <c r="F242">
        <v>7.1</v>
      </c>
      <c r="G242">
        <v>227.25</v>
      </c>
      <c r="H242" t="s">
        <v>25</v>
      </c>
      <c r="I242" t="s">
        <v>3042</v>
      </c>
      <c r="J242" t="s">
        <v>3036</v>
      </c>
      <c r="K242">
        <v>234.35</v>
      </c>
    </row>
    <row r="243" spans="1:11" x14ac:dyDescent="0.25">
      <c r="A243" t="s">
        <v>3325</v>
      </c>
      <c r="B243" t="s">
        <v>711</v>
      </c>
      <c r="C243" t="s">
        <v>3034</v>
      </c>
      <c r="D243" s="1">
        <v>46027.259201388886</v>
      </c>
      <c r="E243">
        <v>1782.22</v>
      </c>
      <c r="F243">
        <v>51.98</v>
      </c>
      <c r="G243">
        <v>1730.24</v>
      </c>
      <c r="H243" t="s">
        <v>25</v>
      </c>
      <c r="I243" t="s">
        <v>3068</v>
      </c>
      <c r="J243" t="s">
        <v>3036</v>
      </c>
      <c r="K243">
        <v>1782.22</v>
      </c>
    </row>
    <row r="244" spans="1:11" x14ac:dyDescent="0.25">
      <c r="A244" t="s">
        <v>3326</v>
      </c>
      <c r="B244" t="s">
        <v>714</v>
      </c>
      <c r="C244" t="s">
        <v>3034</v>
      </c>
      <c r="D244" s="1">
        <v>46028.354004629633</v>
      </c>
      <c r="E244">
        <v>1429.86</v>
      </c>
      <c r="F244">
        <v>41.77</v>
      </c>
      <c r="G244">
        <v>1388.09</v>
      </c>
      <c r="H244" t="s">
        <v>52</v>
      </c>
      <c r="I244" t="s">
        <v>3070</v>
      </c>
      <c r="J244" t="s">
        <v>3036</v>
      </c>
      <c r="K244">
        <v>1429.86</v>
      </c>
    </row>
    <row r="245" spans="1:11" x14ac:dyDescent="0.25">
      <c r="A245" t="s">
        <v>3327</v>
      </c>
      <c r="B245" t="s">
        <v>714</v>
      </c>
      <c r="C245" t="s">
        <v>3076</v>
      </c>
      <c r="D245" s="1">
        <v>46029.347060185188</v>
      </c>
      <c r="E245">
        <v>-714.93</v>
      </c>
      <c r="F245">
        <v>0</v>
      </c>
      <c r="G245">
        <v>-714.93</v>
      </c>
      <c r="H245" t="s">
        <v>52</v>
      </c>
      <c r="I245" t="s">
        <v>3328</v>
      </c>
      <c r="J245" t="s">
        <v>3036</v>
      </c>
      <c r="K245">
        <v>-714.93</v>
      </c>
    </row>
    <row r="246" spans="1:11" x14ac:dyDescent="0.25">
      <c r="A246" t="s">
        <v>3329</v>
      </c>
      <c r="B246" t="s">
        <v>717</v>
      </c>
      <c r="C246" t="s">
        <v>3034</v>
      </c>
      <c r="D246" s="1">
        <v>46029.418495370373</v>
      </c>
      <c r="E246">
        <v>794.68</v>
      </c>
      <c r="F246">
        <v>23.35</v>
      </c>
      <c r="G246">
        <v>771.33</v>
      </c>
      <c r="H246" t="s">
        <v>19</v>
      </c>
      <c r="I246" t="s">
        <v>3072</v>
      </c>
      <c r="J246" t="s">
        <v>3036</v>
      </c>
      <c r="K246">
        <v>794.68</v>
      </c>
    </row>
    <row r="247" spans="1:11" x14ac:dyDescent="0.25">
      <c r="A247" t="s">
        <v>3330</v>
      </c>
      <c r="B247" t="s">
        <v>720</v>
      </c>
      <c r="C247" t="s">
        <v>3034</v>
      </c>
      <c r="D247" s="1">
        <v>46030.516099537039</v>
      </c>
      <c r="E247">
        <v>990.74</v>
      </c>
      <c r="F247">
        <v>29.03</v>
      </c>
      <c r="G247">
        <v>961.71</v>
      </c>
      <c r="H247" t="s">
        <v>25</v>
      </c>
      <c r="I247" t="s">
        <v>3050</v>
      </c>
      <c r="J247" t="s">
        <v>3036</v>
      </c>
      <c r="K247">
        <v>990.74</v>
      </c>
    </row>
    <row r="248" spans="1:11" x14ac:dyDescent="0.25">
      <c r="A248" t="s">
        <v>3331</v>
      </c>
      <c r="B248" t="s">
        <v>723</v>
      </c>
      <c r="C248" t="s">
        <v>3034</v>
      </c>
      <c r="D248" s="1">
        <v>46031.621145833335</v>
      </c>
      <c r="E248">
        <v>2474.58</v>
      </c>
      <c r="F248">
        <v>72.06</v>
      </c>
      <c r="G248">
        <v>2402.52</v>
      </c>
      <c r="H248" t="s">
        <v>25</v>
      </c>
      <c r="I248" t="s">
        <v>3052</v>
      </c>
      <c r="J248" t="s">
        <v>3036</v>
      </c>
      <c r="K248">
        <v>2474.58</v>
      </c>
    </row>
    <row r="249" spans="1:11" x14ac:dyDescent="0.25">
      <c r="A249" t="s">
        <v>3332</v>
      </c>
      <c r="B249" t="s">
        <v>726</v>
      </c>
      <c r="C249" t="s">
        <v>3034</v>
      </c>
      <c r="D249" s="1">
        <v>46032.717430555553</v>
      </c>
      <c r="E249">
        <v>1804.63</v>
      </c>
      <c r="F249">
        <v>52.63</v>
      </c>
      <c r="G249">
        <v>1752</v>
      </c>
      <c r="H249" t="s">
        <v>25</v>
      </c>
      <c r="I249" t="s">
        <v>3079</v>
      </c>
      <c r="J249" t="s">
        <v>3036</v>
      </c>
      <c r="K249">
        <v>1804.63</v>
      </c>
    </row>
    <row r="250" spans="1:11" x14ac:dyDescent="0.25">
      <c r="A250" t="s">
        <v>3332</v>
      </c>
      <c r="B250" t="s">
        <v>726</v>
      </c>
      <c r="C250" t="s">
        <v>3034</v>
      </c>
      <c r="D250" s="1">
        <v>46032.717430555553</v>
      </c>
      <c r="E250">
        <v>1804.63</v>
      </c>
      <c r="F250">
        <v>52.63</v>
      </c>
      <c r="G250">
        <v>1752</v>
      </c>
      <c r="H250" t="s">
        <v>25</v>
      </c>
      <c r="I250" t="s">
        <v>3079</v>
      </c>
      <c r="J250" t="s">
        <v>3036</v>
      </c>
      <c r="K250">
        <v>1804.63</v>
      </c>
    </row>
    <row r="251" spans="1:11" x14ac:dyDescent="0.25">
      <c r="A251" t="s">
        <v>3333</v>
      </c>
      <c r="B251" t="s">
        <v>729</v>
      </c>
      <c r="C251" t="s">
        <v>3034</v>
      </c>
      <c r="D251" s="1">
        <v>46033.780752314815</v>
      </c>
      <c r="E251">
        <v>862.29</v>
      </c>
      <c r="F251">
        <v>25.31</v>
      </c>
      <c r="G251">
        <v>836.98</v>
      </c>
      <c r="H251" t="s">
        <v>25</v>
      </c>
      <c r="I251" t="s">
        <v>3081</v>
      </c>
      <c r="J251" t="s">
        <v>3036</v>
      </c>
      <c r="K251">
        <v>862.29</v>
      </c>
    </row>
    <row r="252" spans="1:11" x14ac:dyDescent="0.25">
      <c r="A252" t="s">
        <v>3334</v>
      </c>
      <c r="B252" t="s">
        <v>732</v>
      </c>
      <c r="C252" t="s">
        <v>3034</v>
      </c>
      <c r="D252" s="1">
        <v>46034.885324074072</v>
      </c>
      <c r="E252">
        <v>1951.89</v>
      </c>
      <c r="F252">
        <v>56.9</v>
      </c>
      <c r="G252">
        <v>1894.99</v>
      </c>
      <c r="H252" t="s">
        <v>25</v>
      </c>
      <c r="I252" t="s">
        <v>3058</v>
      </c>
      <c r="J252" t="s">
        <v>3036</v>
      </c>
      <c r="K252">
        <v>1951.89</v>
      </c>
    </row>
    <row r="253" spans="1:11" x14ac:dyDescent="0.25">
      <c r="A253" t="s">
        <v>3335</v>
      </c>
      <c r="B253" t="s">
        <v>735</v>
      </c>
      <c r="C253" t="s">
        <v>3034</v>
      </c>
      <c r="D253" s="1">
        <v>46035.967638888891</v>
      </c>
      <c r="E253">
        <v>762.75</v>
      </c>
      <c r="F253">
        <v>22.42</v>
      </c>
      <c r="G253">
        <v>740.33</v>
      </c>
      <c r="H253" t="s">
        <v>25</v>
      </c>
      <c r="I253" t="s">
        <v>3060</v>
      </c>
      <c r="J253" t="s">
        <v>3036</v>
      </c>
      <c r="K253">
        <v>762.75</v>
      </c>
    </row>
    <row r="254" spans="1:11" x14ac:dyDescent="0.25">
      <c r="A254" t="s">
        <v>3336</v>
      </c>
      <c r="B254" t="s">
        <v>738</v>
      </c>
      <c r="C254" t="s">
        <v>3034</v>
      </c>
      <c r="D254" s="1">
        <v>46037.087638888886</v>
      </c>
      <c r="E254">
        <v>407.05</v>
      </c>
      <c r="F254">
        <v>12.1</v>
      </c>
      <c r="G254">
        <v>394.95</v>
      </c>
      <c r="H254" t="s">
        <v>25</v>
      </c>
      <c r="I254" t="s">
        <v>3062</v>
      </c>
      <c r="J254" t="s">
        <v>3036</v>
      </c>
      <c r="K254">
        <v>407.05</v>
      </c>
    </row>
    <row r="255" spans="1:11" x14ac:dyDescent="0.25">
      <c r="A255" t="s">
        <v>3337</v>
      </c>
      <c r="B255" t="s">
        <v>741</v>
      </c>
      <c r="C255" t="s">
        <v>3034</v>
      </c>
      <c r="D255" s="1">
        <v>46024.169861111113</v>
      </c>
      <c r="E255">
        <v>1936.57</v>
      </c>
      <c r="F255">
        <v>56.46</v>
      </c>
      <c r="G255">
        <v>1880.11</v>
      </c>
      <c r="H255" t="s">
        <v>25</v>
      </c>
      <c r="I255" t="s">
        <v>3064</v>
      </c>
      <c r="J255" t="s">
        <v>3036</v>
      </c>
      <c r="K255">
        <v>1936.57</v>
      </c>
    </row>
    <row r="256" spans="1:11" x14ac:dyDescent="0.25">
      <c r="A256" t="s">
        <v>3338</v>
      </c>
      <c r="B256" t="s">
        <v>744</v>
      </c>
      <c r="C256" t="s">
        <v>3034</v>
      </c>
      <c r="D256" s="1">
        <v>46024.272418981483</v>
      </c>
      <c r="E256">
        <v>1598.11</v>
      </c>
      <c r="F256">
        <v>46.65</v>
      </c>
      <c r="G256">
        <v>1551.46</v>
      </c>
      <c r="H256" t="s">
        <v>52</v>
      </c>
      <c r="I256" t="s">
        <v>3172</v>
      </c>
      <c r="J256" t="s">
        <v>3036</v>
      </c>
      <c r="K256">
        <v>1598.11</v>
      </c>
    </row>
    <row r="257" spans="1:11" x14ac:dyDescent="0.25">
      <c r="A257" t="s">
        <v>3339</v>
      </c>
      <c r="B257" t="s">
        <v>747</v>
      </c>
      <c r="C257" t="s">
        <v>3034</v>
      </c>
      <c r="D257" s="1">
        <v>46025.34584490741</v>
      </c>
      <c r="E257">
        <v>1956.36</v>
      </c>
      <c r="F257">
        <v>57.03</v>
      </c>
      <c r="G257">
        <v>1899.33</v>
      </c>
      <c r="H257" t="s">
        <v>19</v>
      </c>
      <c r="I257" t="s">
        <v>3174</v>
      </c>
      <c r="J257" t="s">
        <v>3036</v>
      </c>
      <c r="K257">
        <v>1956.36</v>
      </c>
    </row>
    <row r="258" spans="1:11" x14ac:dyDescent="0.25">
      <c r="A258" t="s">
        <v>3340</v>
      </c>
      <c r="B258" t="s">
        <v>750</v>
      </c>
      <c r="C258" t="s">
        <v>3034</v>
      </c>
      <c r="D258" s="1">
        <v>46026.452037037037</v>
      </c>
      <c r="E258">
        <v>255.23</v>
      </c>
      <c r="F258">
        <v>8.07</v>
      </c>
      <c r="G258">
        <v>247.16</v>
      </c>
      <c r="H258" t="s">
        <v>25</v>
      </c>
      <c r="I258" t="s">
        <v>3042</v>
      </c>
      <c r="J258" t="s">
        <v>3036</v>
      </c>
      <c r="K258">
        <v>255.23</v>
      </c>
    </row>
    <row r="259" spans="1:11" x14ac:dyDescent="0.25">
      <c r="A259" t="s">
        <v>3341</v>
      </c>
      <c r="B259" t="s">
        <v>753</v>
      </c>
      <c r="C259" t="s">
        <v>3034</v>
      </c>
      <c r="D259" s="1">
        <v>46027.510254629633</v>
      </c>
      <c r="E259">
        <v>10.210000000000001</v>
      </c>
      <c r="F259">
        <v>0.6</v>
      </c>
      <c r="G259">
        <v>9.61</v>
      </c>
      <c r="H259" t="s">
        <v>25</v>
      </c>
      <c r="I259" t="s">
        <v>3068</v>
      </c>
      <c r="J259" t="s">
        <v>3036</v>
      </c>
      <c r="K259">
        <v>10.210000000000001</v>
      </c>
    </row>
    <row r="260" spans="1:11" x14ac:dyDescent="0.25">
      <c r="A260" t="s">
        <v>3342</v>
      </c>
      <c r="B260" t="s">
        <v>756</v>
      </c>
      <c r="C260" t="s">
        <v>3034</v>
      </c>
      <c r="D260" s="1">
        <v>46028.639849537038</v>
      </c>
      <c r="E260">
        <v>1391.73</v>
      </c>
      <c r="F260">
        <v>40.659999999999997</v>
      </c>
      <c r="G260">
        <v>1351.07</v>
      </c>
      <c r="H260" t="s">
        <v>25</v>
      </c>
      <c r="I260" t="s">
        <v>3046</v>
      </c>
      <c r="J260" t="s">
        <v>3036</v>
      </c>
      <c r="K260">
        <v>1391.73</v>
      </c>
    </row>
    <row r="261" spans="1:11" x14ac:dyDescent="0.25">
      <c r="A261" t="s">
        <v>3343</v>
      </c>
      <c r="B261" t="s">
        <v>759</v>
      </c>
      <c r="C261" t="s">
        <v>3034</v>
      </c>
      <c r="D261" s="1">
        <v>46029.713252314818</v>
      </c>
      <c r="E261">
        <v>2389.67</v>
      </c>
      <c r="F261">
        <v>69.599999999999994</v>
      </c>
      <c r="G261">
        <v>2320.0700000000002</v>
      </c>
      <c r="H261" t="s">
        <v>25</v>
      </c>
      <c r="I261" t="s">
        <v>3048</v>
      </c>
      <c r="J261" t="s">
        <v>3036</v>
      </c>
      <c r="K261">
        <v>2389.67</v>
      </c>
    </row>
    <row r="262" spans="1:11" x14ac:dyDescent="0.25">
      <c r="A262" t="s">
        <v>3344</v>
      </c>
      <c r="B262" t="s">
        <v>762</v>
      </c>
      <c r="C262" t="s">
        <v>3034</v>
      </c>
      <c r="D262" s="1">
        <v>46030.792638888888</v>
      </c>
      <c r="E262">
        <v>416.81</v>
      </c>
      <c r="F262">
        <v>12.39</v>
      </c>
      <c r="G262">
        <v>404.42</v>
      </c>
      <c r="H262" t="s">
        <v>25</v>
      </c>
      <c r="I262" t="s">
        <v>3050</v>
      </c>
      <c r="J262" t="s">
        <v>3036</v>
      </c>
      <c r="K262">
        <v>416.81</v>
      </c>
    </row>
    <row r="263" spans="1:11" x14ac:dyDescent="0.25">
      <c r="A263" t="s">
        <v>3345</v>
      </c>
      <c r="B263" t="s">
        <v>765</v>
      </c>
      <c r="C263" t="s">
        <v>3034</v>
      </c>
      <c r="D263" s="1">
        <v>46031.916273148148</v>
      </c>
      <c r="E263">
        <v>1773.93</v>
      </c>
      <c r="F263">
        <v>51.74</v>
      </c>
      <c r="G263">
        <v>1722.19</v>
      </c>
      <c r="H263" t="s">
        <v>25</v>
      </c>
      <c r="I263" t="s">
        <v>3052</v>
      </c>
      <c r="J263" t="s">
        <v>3036</v>
      </c>
      <c r="K263">
        <v>1773.93</v>
      </c>
    </row>
    <row r="264" spans="1:11" x14ac:dyDescent="0.25">
      <c r="A264" t="s">
        <v>3346</v>
      </c>
      <c r="B264" t="s">
        <v>768</v>
      </c>
      <c r="C264" t="s">
        <v>3034</v>
      </c>
      <c r="D264" s="1">
        <v>46033.007916666669</v>
      </c>
      <c r="E264">
        <v>2214.61</v>
      </c>
      <c r="F264">
        <v>64.52</v>
      </c>
      <c r="G264">
        <v>2150.09</v>
      </c>
      <c r="H264" t="s">
        <v>25</v>
      </c>
      <c r="I264" t="s">
        <v>3079</v>
      </c>
      <c r="J264" t="s">
        <v>3036</v>
      </c>
      <c r="K264">
        <v>2214.61</v>
      </c>
    </row>
    <row r="265" spans="1:11" x14ac:dyDescent="0.25">
      <c r="A265" t="s">
        <v>3347</v>
      </c>
      <c r="B265" t="s">
        <v>771</v>
      </c>
      <c r="C265" t="s">
        <v>3034</v>
      </c>
      <c r="D265" s="1">
        <v>46034.058287037034</v>
      </c>
      <c r="E265">
        <v>119.67</v>
      </c>
      <c r="F265">
        <v>3.77</v>
      </c>
      <c r="G265">
        <v>115.9</v>
      </c>
      <c r="H265" t="s">
        <v>25</v>
      </c>
      <c r="I265" t="s">
        <v>3081</v>
      </c>
      <c r="J265" t="s">
        <v>3036</v>
      </c>
      <c r="K265">
        <v>119.67</v>
      </c>
    </row>
    <row r="266" spans="1:11" x14ac:dyDescent="0.25">
      <c r="A266" t="s">
        <v>3348</v>
      </c>
      <c r="B266" t="s">
        <v>774</v>
      </c>
      <c r="C266" t="s">
        <v>3034</v>
      </c>
      <c r="D266" s="1">
        <v>46035.171388888892</v>
      </c>
      <c r="E266">
        <v>2445</v>
      </c>
      <c r="F266">
        <v>71.209999999999994</v>
      </c>
      <c r="G266">
        <v>2373.79</v>
      </c>
      <c r="H266" t="s">
        <v>52</v>
      </c>
      <c r="I266" t="s">
        <v>3102</v>
      </c>
      <c r="J266" t="s">
        <v>3036</v>
      </c>
      <c r="K266">
        <v>2445</v>
      </c>
    </row>
    <row r="267" spans="1:11" x14ac:dyDescent="0.25">
      <c r="A267" t="s">
        <v>3349</v>
      </c>
      <c r="B267" t="s">
        <v>777</v>
      </c>
      <c r="C267" t="s">
        <v>3034</v>
      </c>
      <c r="D267" s="1">
        <v>46035.266087962962</v>
      </c>
      <c r="E267">
        <v>1561.2</v>
      </c>
      <c r="F267">
        <v>45.57</v>
      </c>
      <c r="G267">
        <v>1515.63</v>
      </c>
      <c r="H267" t="s">
        <v>19</v>
      </c>
      <c r="I267" t="s">
        <v>3186</v>
      </c>
      <c r="J267" t="s">
        <v>3036</v>
      </c>
      <c r="K267">
        <v>1561.2</v>
      </c>
    </row>
    <row r="268" spans="1:11" x14ac:dyDescent="0.25">
      <c r="A268" t="s">
        <v>3350</v>
      </c>
      <c r="B268" t="s">
        <v>780</v>
      </c>
      <c r="C268" t="s">
        <v>3034</v>
      </c>
      <c r="D268" s="1">
        <v>46036.342916666668</v>
      </c>
      <c r="E268">
        <v>1326.62</v>
      </c>
      <c r="F268">
        <v>38.770000000000003</v>
      </c>
      <c r="G268">
        <v>1287.8499999999999</v>
      </c>
      <c r="H268" t="s">
        <v>25</v>
      </c>
      <c r="I268" t="s">
        <v>3062</v>
      </c>
      <c r="J268" t="s">
        <v>3036</v>
      </c>
      <c r="K268">
        <v>1326.62</v>
      </c>
    </row>
    <row r="269" spans="1:11" x14ac:dyDescent="0.25">
      <c r="A269" t="s">
        <v>3351</v>
      </c>
      <c r="B269" t="s">
        <v>783</v>
      </c>
      <c r="C269" t="s">
        <v>3034</v>
      </c>
      <c r="D269" s="1">
        <v>46023.457395833335</v>
      </c>
      <c r="E269">
        <v>1705.01</v>
      </c>
      <c r="F269">
        <v>50.12</v>
      </c>
      <c r="G269">
        <v>1654.89</v>
      </c>
      <c r="H269" t="s">
        <v>25</v>
      </c>
      <c r="I269" t="s">
        <v>3064</v>
      </c>
      <c r="J269" t="s">
        <v>3036</v>
      </c>
      <c r="K269">
        <v>1705.01</v>
      </c>
    </row>
    <row r="270" spans="1:11" x14ac:dyDescent="0.25">
      <c r="A270" t="s">
        <v>3352</v>
      </c>
      <c r="B270" t="s">
        <v>786</v>
      </c>
      <c r="C270" t="s">
        <v>3034</v>
      </c>
      <c r="D270" s="1">
        <v>46024.524444444447</v>
      </c>
      <c r="E270">
        <v>379.15</v>
      </c>
      <c r="F270">
        <v>11.3</v>
      </c>
      <c r="G270">
        <v>367.85</v>
      </c>
      <c r="H270" t="s">
        <v>25</v>
      </c>
      <c r="I270" t="s">
        <v>3038</v>
      </c>
      <c r="J270" t="s">
        <v>3036</v>
      </c>
      <c r="K270">
        <v>379.15</v>
      </c>
    </row>
    <row r="271" spans="1:11" x14ac:dyDescent="0.25">
      <c r="A271" t="s">
        <v>3353</v>
      </c>
      <c r="B271" t="s">
        <v>789</v>
      </c>
      <c r="C271" t="s">
        <v>3034</v>
      </c>
      <c r="D271" s="1">
        <v>46025.6249537037</v>
      </c>
      <c r="E271">
        <v>854.41</v>
      </c>
      <c r="F271">
        <v>25.08</v>
      </c>
      <c r="G271">
        <v>829.33</v>
      </c>
      <c r="H271" t="s">
        <v>25</v>
      </c>
      <c r="I271" t="s">
        <v>3040</v>
      </c>
      <c r="J271" t="s">
        <v>3036</v>
      </c>
      <c r="K271">
        <v>854.41</v>
      </c>
    </row>
    <row r="272" spans="1:11" x14ac:dyDescent="0.25">
      <c r="A272" t="s">
        <v>3354</v>
      </c>
      <c r="B272" t="s">
        <v>792</v>
      </c>
      <c r="C272" t="s">
        <v>3034</v>
      </c>
      <c r="D272" s="1">
        <v>46026.702581018515</v>
      </c>
      <c r="E272">
        <v>1448.81</v>
      </c>
      <c r="F272">
        <v>42.32</v>
      </c>
      <c r="G272">
        <v>1406.49</v>
      </c>
      <c r="H272" t="s">
        <v>25</v>
      </c>
      <c r="I272" t="s">
        <v>3042</v>
      </c>
      <c r="J272" t="s">
        <v>3036</v>
      </c>
      <c r="K272">
        <v>1448.81</v>
      </c>
    </row>
    <row r="273" spans="1:11" x14ac:dyDescent="0.25">
      <c r="A273" t="s">
        <v>3355</v>
      </c>
      <c r="B273" t="s">
        <v>795</v>
      </c>
      <c r="C273" t="s">
        <v>3034</v>
      </c>
      <c r="D273" s="1">
        <v>46027.829305555555</v>
      </c>
      <c r="E273">
        <v>239.84</v>
      </c>
      <c r="F273">
        <v>7.26</v>
      </c>
      <c r="G273">
        <v>232.58</v>
      </c>
      <c r="H273" t="s">
        <v>25</v>
      </c>
      <c r="I273" t="s">
        <v>3068</v>
      </c>
      <c r="J273" t="s">
        <v>3036</v>
      </c>
      <c r="K273">
        <v>239.84</v>
      </c>
    </row>
    <row r="274" spans="1:11" x14ac:dyDescent="0.25">
      <c r="A274" t="s">
        <v>3356</v>
      </c>
      <c r="B274" t="s">
        <v>798</v>
      </c>
      <c r="C274" t="s">
        <v>3034</v>
      </c>
      <c r="D274" s="1">
        <v>46028.902916666666</v>
      </c>
      <c r="E274">
        <v>2438.25</v>
      </c>
      <c r="F274">
        <v>71.010000000000005</v>
      </c>
      <c r="G274">
        <v>2367.2399999999998</v>
      </c>
      <c r="H274" t="s">
        <v>25</v>
      </c>
      <c r="I274" t="s">
        <v>3046</v>
      </c>
      <c r="J274" t="s">
        <v>3036</v>
      </c>
      <c r="K274">
        <v>2438.25</v>
      </c>
    </row>
    <row r="275" spans="1:11" x14ac:dyDescent="0.25">
      <c r="A275" t="s">
        <v>3356</v>
      </c>
      <c r="B275" t="s">
        <v>798</v>
      </c>
      <c r="C275" t="s">
        <v>3034</v>
      </c>
      <c r="D275" s="1">
        <v>46028.902916666666</v>
      </c>
      <c r="E275">
        <v>2438.25</v>
      </c>
      <c r="F275">
        <v>71.010000000000005</v>
      </c>
      <c r="G275">
        <v>2367.2399999999998</v>
      </c>
      <c r="H275" t="s">
        <v>25</v>
      </c>
      <c r="I275" t="s">
        <v>3046</v>
      </c>
      <c r="J275" t="s">
        <v>3036</v>
      </c>
      <c r="K275">
        <v>2438.25</v>
      </c>
    </row>
    <row r="276" spans="1:11" x14ac:dyDescent="0.25">
      <c r="A276" t="s">
        <v>3357</v>
      </c>
      <c r="B276" t="s">
        <v>801</v>
      </c>
      <c r="C276" t="s">
        <v>3034</v>
      </c>
      <c r="D276" s="1">
        <v>46030.001539351855</v>
      </c>
      <c r="E276">
        <v>902.81</v>
      </c>
      <c r="F276">
        <v>26.48</v>
      </c>
      <c r="G276">
        <v>876.33</v>
      </c>
      <c r="H276" t="s">
        <v>25</v>
      </c>
      <c r="I276" t="s">
        <v>3048</v>
      </c>
      <c r="J276" t="s">
        <v>3036</v>
      </c>
      <c r="K276">
        <v>902.81</v>
      </c>
    </row>
    <row r="277" spans="1:11" x14ac:dyDescent="0.25">
      <c r="A277" t="s">
        <v>3358</v>
      </c>
      <c r="B277" t="s">
        <v>804</v>
      </c>
      <c r="C277" t="s">
        <v>3034</v>
      </c>
      <c r="D277" s="1">
        <v>46031.07640046296</v>
      </c>
      <c r="E277">
        <v>2009.92</v>
      </c>
      <c r="F277">
        <v>58.59</v>
      </c>
      <c r="G277">
        <v>1951.33</v>
      </c>
      <c r="H277" t="s">
        <v>52</v>
      </c>
      <c r="I277" t="s">
        <v>3115</v>
      </c>
      <c r="J277" t="s">
        <v>3036</v>
      </c>
      <c r="K277">
        <v>2009.92</v>
      </c>
    </row>
    <row r="278" spans="1:11" x14ac:dyDescent="0.25">
      <c r="A278" t="s">
        <v>3359</v>
      </c>
      <c r="B278" t="s">
        <v>807</v>
      </c>
      <c r="C278" t="s">
        <v>3034</v>
      </c>
      <c r="D278" s="1">
        <v>46032.191631944443</v>
      </c>
      <c r="E278">
        <v>1149.1600000000001</v>
      </c>
      <c r="F278">
        <v>33.630000000000003</v>
      </c>
      <c r="G278">
        <v>1115.53</v>
      </c>
      <c r="H278" t="s">
        <v>19</v>
      </c>
      <c r="I278" t="s">
        <v>3117</v>
      </c>
      <c r="J278" t="s">
        <v>3036</v>
      </c>
      <c r="K278">
        <v>1149.1600000000001</v>
      </c>
    </row>
    <row r="279" spans="1:11" x14ac:dyDescent="0.25">
      <c r="A279" t="s">
        <v>3360</v>
      </c>
      <c r="B279" t="s">
        <v>807</v>
      </c>
      <c r="C279" t="s">
        <v>3076</v>
      </c>
      <c r="D279" s="1">
        <v>46033.184687499997</v>
      </c>
      <c r="E279">
        <v>-1149.1600000000001</v>
      </c>
      <c r="F279">
        <v>0</v>
      </c>
      <c r="G279">
        <v>-1149.1600000000001</v>
      </c>
      <c r="H279" t="s">
        <v>19</v>
      </c>
      <c r="I279" t="s">
        <v>3361</v>
      </c>
      <c r="J279" t="s">
        <v>3036</v>
      </c>
      <c r="K279">
        <v>-1149.1600000000001</v>
      </c>
    </row>
    <row r="280" spans="1:11" x14ac:dyDescent="0.25">
      <c r="A280" t="s">
        <v>3362</v>
      </c>
      <c r="B280" t="s">
        <v>810</v>
      </c>
      <c r="C280" t="s">
        <v>3034</v>
      </c>
      <c r="D280" s="1">
        <v>46032.262361111112</v>
      </c>
      <c r="E280">
        <v>1360.56</v>
      </c>
      <c r="F280">
        <v>39.76</v>
      </c>
      <c r="G280">
        <v>1320.8</v>
      </c>
      <c r="H280" t="s">
        <v>25</v>
      </c>
      <c r="I280" t="s">
        <v>3079</v>
      </c>
      <c r="J280" t="s">
        <v>3036</v>
      </c>
      <c r="K280">
        <v>1360.56</v>
      </c>
    </row>
    <row r="281" spans="1:11" x14ac:dyDescent="0.25">
      <c r="A281" t="s">
        <v>3363</v>
      </c>
      <c r="B281" t="s">
        <v>813</v>
      </c>
      <c r="C281" t="s">
        <v>3034</v>
      </c>
      <c r="D281" s="1">
        <v>46033.380810185183</v>
      </c>
      <c r="E281">
        <v>1210.75</v>
      </c>
      <c r="F281">
        <v>35.409999999999997</v>
      </c>
      <c r="G281">
        <v>1175.3399999999999</v>
      </c>
      <c r="H281" t="s">
        <v>25</v>
      </c>
      <c r="I281" t="s">
        <v>3081</v>
      </c>
      <c r="J281" t="s">
        <v>3036</v>
      </c>
      <c r="K281">
        <v>1210.75</v>
      </c>
    </row>
    <row r="282" spans="1:11" x14ac:dyDescent="0.25">
      <c r="A282" t="s">
        <v>3364</v>
      </c>
      <c r="B282" t="s">
        <v>816</v>
      </c>
      <c r="C282" t="s">
        <v>3034</v>
      </c>
      <c r="D282" s="1">
        <v>46034.472303240742</v>
      </c>
      <c r="E282">
        <v>949.56</v>
      </c>
      <c r="F282">
        <v>27.84</v>
      </c>
      <c r="G282">
        <v>921.72</v>
      </c>
      <c r="H282" t="s">
        <v>25</v>
      </c>
      <c r="I282" t="s">
        <v>3058</v>
      </c>
      <c r="J282" t="s">
        <v>3036</v>
      </c>
      <c r="K282">
        <v>949.56</v>
      </c>
    </row>
    <row r="283" spans="1:11" x14ac:dyDescent="0.25">
      <c r="A283" t="s">
        <v>3365</v>
      </c>
      <c r="B283" t="s">
        <v>816</v>
      </c>
      <c r="C283" t="s">
        <v>3076</v>
      </c>
      <c r="D283" s="1">
        <v>46035.465358796297</v>
      </c>
      <c r="E283">
        <v>-474.78</v>
      </c>
      <c r="F283">
        <v>0</v>
      </c>
      <c r="G283">
        <v>-474.78</v>
      </c>
      <c r="H283" t="s">
        <v>25</v>
      </c>
      <c r="I283" t="s">
        <v>3366</v>
      </c>
      <c r="J283" t="s">
        <v>3036</v>
      </c>
      <c r="K283">
        <v>-474.78</v>
      </c>
    </row>
    <row r="284" spans="1:11" x14ac:dyDescent="0.25">
      <c r="A284" t="s">
        <v>3367</v>
      </c>
      <c r="B284" t="s">
        <v>819</v>
      </c>
      <c r="C284" t="s">
        <v>3034</v>
      </c>
      <c r="D284" s="1">
        <v>46035.53266203704</v>
      </c>
      <c r="E284">
        <v>708.7</v>
      </c>
      <c r="F284">
        <v>20.85</v>
      </c>
      <c r="G284">
        <v>687.85</v>
      </c>
      <c r="H284" t="s">
        <v>25</v>
      </c>
      <c r="I284" t="s">
        <v>3060</v>
      </c>
      <c r="J284" t="s">
        <v>3036</v>
      </c>
      <c r="K284">
        <v>708.7</v>
      </c>
    </row>
    <row r="285" spans="1:11" x14ac:dyDescent="0.25">
      <c r="A285" t="s">
        <v>3368</v>
      </c>
      <c r="B285" t="s">
        <v>822</v>
      </c>
      <c r="C285" t="s">
        <v>3034</v>
      </c>
      <c r="D285" s="1">
        <v>46036.625127314815</v>
      </c>
      <c r="E285">
        <v>1916.51</v>
      </c>
      <c r="F285">
        <v>55.88</v>
      </c>
      <c r="G285">
        <v>1860.63</v>
      </c>
      <c r="H285" t="s">
        <v>25</v>
      </c>
      <c r="I285" t="s">
        <v>3369</v>
      </c>
      <c r="J285" t="s">
        <v>3036</v>
      </c>
      <c r="K285">
        <v>1916.51</v>
      </c>
    </row>
    <row r="286" spans="1:11" x14ac:dyDescent="0.25">
      <c r="A286" t="s">
        <v>3370</v>
      </c>
      <c r="B286" t="s">
        <v>825</v>
      </c>
      <c r="C286" t="s">
        <v>3034</v>
      </c>
      <c r="D286" s="1">
        <v>46023.714884259258</v>
      </c>
      <c r="E286">
        <v>736.22</v>
      </c>
      <c r="F286">
        <v>21.65</v>
      </c>
      <c r="G286">
        <v>714.57</v>
      </c>
      <c r="H286" t="s">
        <v>25</v>
      </c>
      <c r="I286" t="s">
        <v>3064</v>
      </c>
      <c r="J286" t="s">
        <v>3036</v>
      </c>
      <c r="K286">
        <v>736.22</v>
      </c>
    </row>
    <row r="287" spans="1:11" x14ac:dyDescent="0.25">
      <c r="A287" t="s">
        <v>3371</v>
      </c>
      <c r="B287" t="s">
        <v>828</v>
      </c>
      <c r="C287" t="s">
        <v>3034</v>
      </c>
      <c r="D287" s="1">
        <v>46024.836111111108</v>
      </c>
      <c r="E287">
        <v>366.26</v>
      </c>
      <c r="F287">
        <v>10.92</v>
      </c>
      <c r="G287">
        <v>355.34</v>
      </c>
      <c r="H287" t="s">
        <v>25</v>
      </c>
      <c r="I287" t="s">
        <v>3038</v>
      </c>
      <c r="J287" t="s">
        <v>3036</v>
      </c>
      <c r="K287">
        <v>366.26</v>
      </c>
    </row>
    <row r="288" spans="1:11" x14ac:dyDescent="0.25">
      <c r="A288" t="s">
        <v>3372</v>
      </c>
      <c r="B288" t="s">
        <v>831</v>
      </c>
      <c r="C288" t="s">
        <v>3034</v>
      </c>
      <c r="D288" s="1">
        <v>46025.901203703703</v>
      </c>
      <c r="E288">
        <v>1715.84</v>
      </c>
      <c r="F288">
        <v>50.06</v>
      </c>
      <c r="G288">
        <v>1665.78</v>
      </c>
      <c r="H288" t="s">
        <v>25</v>
      </c>
      <c r="I288" t="s">
        <v>3040</v>
      </c>
      <c r="J288" t="s">
        <v>3036</v>
      </c>
      <c r="K288">
        <v>1715.84</v>
      </c>
    </row>
    <row r="289" spans="1:11" x14ac:dyDescent="0.25">
      <c r="A289" t="s">
        <v>3373</v>
      </c>
      <c r="B289" t="s">
        <v>834</v>
      </c>
      <c r="C289" t="s">
        <v>3034</v>
      </c>
      <c r="D289" s="1">
        <v>46027.001388888886</v>
      </c>
      <c r="E289">
        <v>897.02</v>
      </c>
      <c r="F289">
        <v>26.31</v>
      </c>
      <c r="G289">
        <v>870.71</v>
      </c>
      <c r="H289" t="s">
        <v>52</v>
      </c>
      <c r="I289" t="s">
        <v>3128</v>
      </c>
      <c r="J289" t="s">
        <v>3036</v>
      </c>
      <c r="K289">
        <v>897.02</v>
      </c>
    </row>
    <row r="290" spans="1:11" x14ac:dyDescent="0.25">
      <c r="A290" t="s">
        <v>3374</v>
      </c>
      <c r="B290" t="s">
        <v>837</v>
      </c>
      <c r="C290" t="s">
        <v>3034</v>
      </c>
      <c r="D290" s="1">
        <v>46028.077048611114</v>
      </c>
      <c r="E290">
        <v>15.39</v>
      </c>
      <c r="F290">
        <v>0.75</v>
      </c>
      <c r="G290">
        <v>14.64</v>
      </c>
      <c r="H290" t="s">
        <v>19</v>
      </c>
      <c r="I290" t="s">
        <v>3130</v>
      </c>
      <c r="J290" t="s">
        <v>3036</v>
      </c>
      <c r="K290">
        <v>15.39</v>
      </c>
    </row>
    <row r="291" spans="1:11" x14ac:dyDescent="0.25">
      <c r="A291" t="s">
        <v>3375</v>
      </c>
      <c r="B291" t="s">
        <v>840</v>
      </c>
      <c r="C291" t="s">
        <v>3034</v>
      </c>
      <c r="D291" s="1">
        <v>46029.204525462963</v>
      </c>
      <c r="E291">
        <v>1971.5</v>
      </c>
      <c r="F291">
        <v>57.47</v>
      </c>
      <c r="G291">
        <v>1914.03</v>
      </c>
      <c r="H291" t="s">
        <v>25</v>
      </c>
      <c r="I291" t="s">
        <v>3046</v>
      </c>
      <c r="J291" t="s">
        <v>3036</v>
      </c>
      <c r="K291">
        <v>1971.5</v>
      </c>
    </row>
    <row r="292" spans="1:11" x14ac:dyDescent="0.25">
      <c r="A292" t="s">
        <v>3376</v>
      </c>
      <c r="B292" t="s">
        <v>843</v>
      </c>
      <c r="C292" t="s">
        <v>3034</v>
      </c>
      <c r="D292" s="1">
        <v>46029.269756944443</v>
      </c>
      <c r="E292">
        <v>586.64</v>
      </c>
      <c r="F292">
        <v>17.309999999999999</v>
      </c>
      <c r="G292">
        <v>569.33000000000004</v>
      </c>
      <c r="H292" t="s">
        <v>25</v>
      </c>
      <c r="I292" t="s">
        <v>3048</v>
      </c>
      <c r="J292" t="s">
        <v>3036</v>
      </c>
      <c r="K292">
        <v>586.64</v>
      </c>
    </row>
    <row r="293" spans="1:11" x14ac:dyDescent="0.25">
      <c r="A293" t="s">
        <v>3377</v>
      </c>
      <c r="B293" t="s">
        <v>843</v>
      </c>
      <c r="C293" t="s">
        <v>3034</v>
      </c>
      <c r="D293" s="1">
        <v>46029.270451388889</v>
      </c>
      <c r="E293">
        <v>586.64</v>
      </c>
      <c r="F293">
        <v>17.309999999999999</v>
      </c>
      <c r="G293">
        <v>569.33000000000004</v>
      </c>
      <c r="H293" t="s">
        <v>25</v>
      </c>
      <c r="I293" t="s">
        <v>3048</v>
      </c>
      <c r="J293" t="s">
        <v>3036</v>
      </c>
      <c r="K293">
        <v>586.64</v>
      </c>
    </row>
    <row r="294" spans="1:11" x14ac:dyDescent="0.25">
      <c r="A294" t="s">
        <v>3378</v>
      </c>
      <c r="B294" t="s">
        <v>846</v>
      </c>
      <c r="C294" t="s">
        <v>3034</v>
      </c>
      <c r="D294" s="1">
        <v>46030.38045138889</v>
      </c>
      <c r="E294">
        <v>870.35</v>
      </c>
      <c r="F294">
        <v>25.54</v>
      </c>
      <c r="G294">
        <v>844.81</v>
      </c>
      <c r="H294" t="s">
        <v>25</v>
      </c>
      <c r="I294" t="s">
        <v>3050</v>
      </c>
      <c r="J294" t="s">
        <v>3036</v>
      </c>
      <c r="K294">
        <v>870.35</v>
      </c>
    </row>
    <row r="295" spans="1:11" x14ac:dyDescent="0.25">
      <c r="A295" t="s">
        <v>3379</v>
      </c>
      <c r="B295" t="s">
        <v>849</v>
      </c>
      <c r="C295" t="s">
        <v>3034</v>
      </c>
      <c r="D295" s="1">
        <v>46031.474687499998</v>
      </c>
      <c r="E295">
        <v>1388.97</v>
      </c>
      <c r="F295">
        <v>40.58</v>
      </c>
      <c r="G295">
        <v>1348.39</v>
      </c>
      <c r="H295" t="s">
        <v>25</v>
      </c>
      <c r="I295" t="s">
        <v>3052</v>
      </c>
      <c r="J295" t="s">
        <v>3036</v>
      </c>
      <c r="K295">
        <v>1388.97</v>
      </c>
    </row>
    <row r="296" spans="1:11" x14ac:dyDescent="0.25">
      <c r="A296" t="s">
        <v>3380</v>
      </c>
      <c r="B296" t="s">
        <v>852</v>
      </c>
      <c r="C296" t="s">
        <v>3034</v>
      </c>
      <c r="D296" s="1">
        <v>46032.541597222225</v>
      </c>
      <c r="E296">
        <v>936.66</v>
      </c>
      <c r="F296">
        <v>27.46</v>
      </c>
      <c r="G296">
        <v>909.2</v>
      </c>
      <c r="H296" t="s">
        <v>25</v>
      </c>
      <c r="I296" t="s">
        <v>3079</v>
      </c>
      <c r="J296" t="s">
        <v>3036</v>
      </c>
      <c r="K296">
        <v>936.66</v>
      </c>
    </row>
    <row r="297" spans="1:11" x14ac:dyDescent="0.25">
      <c r="A297" t="s">
        <v>3381</v>
      </c>
      <c r="B297" t="s">
        <v>855</v>
      </c>
      <c r="C297" t="s">
        <v>3034</v>
      </c>
      <c r="D297" s="1">
        <v>46033.647881944446</v>
      </c>
      <c r="E297">
        <v>1732.21</v>
      </c>
      <c r="F297">
        <v>50.53</v>
      </c>
      <c r="G297">
        <v>1681.68</v>
      </c>
      <c r="H297" t="s">
        <v>25</v>
      </c>
      <c r="I297" t="s">
        <v>3081</v>
      </c>
      <c r="J297" t="s">
        <v>3036</v>
      </c>
      <c r="K297">
        <v>1732.21</v>
      </c>
    </row>
    <row r="298" spans="1:11" x14ac:dyDescent="0.25">
      <c r="A298" t="s">
        <v>3382</v>
      </c>
      <c r="B298" t="s">
        <v>858</v>
      </c>
      <c r="C298" t="s">
        <v>3034</v>
      </c>
      <c r="D298" s="1">
        <v>46034.737604166665</v>
      </c>
      <c r="E298">
        <v>1770.82</v>
      </c>
      <c r="F298">
        <v>51.65</v>
      </c>
      <c r="G298">
        <v>1719.17</v>
      </c>
      <c r="H298" t="s">
        <v>25</v>
      </c>
      <c r="I298" t="s">
        <v>3058</v>
      </c>
      <c r="J298" t="s">
        <v>3036</v>
      </c>
      <c r="K298">
        <v>1770.82</v>
      </c>
    </row>
    <row r="299" spans="1:11" x14ac:dyDescent="0.25">
      <c r="A299" t="s">
        <v>3383</v>
      </c>
      <c r="B299" t="s">
        <v>861</v>
      </c>
      <c r="C299" t="s">
        <v>3034</v>
      </c>
      <c r="D299" s="1">
        <v>46035.848402777781</v>
      </c>
      <c r="E299">
        <v>1558.99</v>
      </c>
      <c r="F299">
        <v>45.51</v>
      </c>
      <c r="G299">
        <v>1513.48</v>
      </c>
      <c r="H299" t="s">
        <v>25</v>
      </c>
      <c r="I299" t="s">
        <v>3060</v>
      </c>
      <c r="J299" t="s">
        <v>3036</v>
      </c>
      <c r="K299">
        <v>1558.99</v>
      </c>
    </row>
    <row r="300" spans="1:11" x14ac:dyDescent="0.25">
      <c r="A300" t="s">
        <v>3384</v>
      </c>
      <c r="B300" t="s">
        <v>864</v>
      </c>
      <c r="C300" t="s">
        <v>3034</v>
      </c>
      <c r="D300" s="1">
        <v>46036.910208333335</v>
      </c>
      <c r="E300">
        <v>959.99</v>
      </c>
      <c r="F300">
        <v>28.14</v>
      </c>
      <c r="G300">
        <v>931.85</v>
      </c>
      <c r="H300" t="s">
        <v>52</v>
      </c>
      <c r="I300" t="s">
        <v>3385</v>
      </c>
      <c r="J300" t="s">
        <v>3036</v>
      </c>
      <c r="K300">
        <v>959.99</v>
      </c>
    </row>
    <row r="301" spans="1:11" x14ac:dyDescent="0.25">
      <c r="A301" t="s">
        <v>3386</v>
      </c>
      <c r="B301" t="s">
        <v>867</v>
      </c>
      <c r="C301" t="s">
        <v>3034</v>
      </c>
      <c r="D301" s="1">
        <v>46023.994039351855</v>
      </c>
      <c r="E301">
        <v>537.38</v>
      </c>
      <c r="F301">
        <v>15.88</v>
      </c>
      <c r="G301">
        <v>521.5</v>
      </c>
      <c r="H301" t="s">
        <v>19</v>
      </c>
      <c r="I301" t="s">
        <v>3035</v>
      </c>
      <c r="J301" t="s">
        <v>3036</v>
      </c>
      <c r="K301">
        <v>537.38</v>
      </c>
    </row>
    <row r="302" spans="1:11" x14ac:dyDescent="0.25">
      <c r="A302" t="s">
        <v>3387</v>
      </c>
      <c r="B302" t="s">
        <v>870</v>
      </c>
      <c r="C302" t="s">
        <v>3034</v>
      </c>
      <c r="D302" s="1">
        <v>46025.113576388889</v>
      </c>
      <c r="E302">
        <v>1372.7</v>
      </c>
      <c r="F302">
        <v>40.11</v>
      </c>
      <c r="G302">
        <v>1332.59</v>
      </c>
      <c r="H302" t="s">
        <v>25</v>
      </c>
      <c r="I302" t="s">
        <v>3388</v>
      </c>
      <c r="J302" t="s">
        <v>3036</v>
      </c>
      <c r="K302">
        <v>1372.7</v>
      </c>
    </row>
    <row r="303" spans="1:11" x14ac:dyDescent="0.25">
      <c r="A303" t="s">
        <v>3389</v>
      </c>
      <c r="B303" t="s">
        <v>873</v>
      </c>
      <c r="C303" t="s">
        <v>3034</v>
      </c>
      <c r="D303" s="1">
        <v>46026.206030092595</v>
      </c>
      <c r="E303">
        <v>782.74</v>
      </c>
      <c r="F303">
        <v>23</v>
      </c>
      <c r="G303">
        <v>759.74</v>
      </c>
      <c r="H303" t="s">
        <v>25</v>
      </c>
      <c r="I303" t="s">
        <v>3040</v>
      </c>
      <c r="J303" t="s">
        <v>3036</v>
      </c>
      <c r="K303">
        <v>782.74</v>
      </c>
    </row>
    <row r="304" spans="1:11" x14ac:dyDescent="0.25">
      <c r="A304" t="s">
        <v>3390</v>
      </c>
      <c r="B304" t="s">
        <v>876</v>
      </c>
      <c r="C304" t="s">
        <v>3034</v>
      </c>
      <c r="D304" s="1">
        <v>46026.271793981483</v>
      </c>
      <c r="E304">
        <v>2256.85</v>
      </c>
      <c r="F304">
        <v>65.75</v>
      </c>
      <c r="G304">
        <v>2191.1</v>
      </c>
      <c r="H304" t="s">
        <v>25</v>
      </c>
      <c r="I304" t="s">
        <v>3042</v>
      </c>
      <c r="J304" t="s">
        <v>3036</v>
      </c>
      <c r="K304">
        <v>2256.85</v>
      </c>
    </row>
    <row r="305" spans="1:11" x14ac:dyDescent="0.25">
      <c r="A305" t="s">
        <v>3391</v>
      </c>
      <c r="B305" t="s">
        <v>879</v>
      </c>
      <c r="C305" t="s">
        <v>3034</v>
      </c>
      <c r="D305" s="1">
        <v>46027.386655092596</v>
      </c>
      <c r="E305">
        <v>2248</v>
      </c>
      <c r="F305">
        <v>65.489999999999995</v>
      </c>
      <c r="G305">
        <v>2182.5100000000002</v>
      </c>
      <c r="H305" t="s">
        <v>25</v>
      </c>
      <c r="I305" t="s">
        <v>3068</v>
      </c>
      <c r="J305" t="s">
        <v>3036</v>
      </c>
      <c r="K305">
        <v>2248</v>
      </c>
    </row>
    <row r="306" spans="1:11" x14ac:dyDescent="0.25">
      <c r="A306" t="s">
        <v>3392</v>
      </c>
      <c r="B306" t="s">
        <v>879</v>
      </c>
      <c r="C306" t="s">
        <v>3034</v>
      </c>
      <c r="D306" s="1">
        <v>46027.387349537035</v>
      </c>
      <c r="E306">
        <v>2248</v>
      </c>
      <c r="F306">
        <v>65.489999999999995</v>
      </c>
      <c r="G306">
        <v>2182.5100000000002</v>
      </c>
      <c r="H306" t="s">
        <v>25</v>
      </c>
      <c r="I306" t="s">
        <v>3068</v>
      </c>
      <c r="J306" t="s">
        <v>3036</v>
      </c>
      <c r="K306">
        <v>2248</v>
      </c>
    </row>
    <row r="307" spans="1:11" x14ac:dyDescent="0.25">
      <c r="A307" t="s">
        <v>3393</v>
      </c>
      <c r="B307" t="s">
        <v>882</v>
      </c>
      <c r="C307" t="s">
        <v>3034</v>
      </c>
      <c r="D307" s="1">
        <v>46028.450266203705</v>
      </c>
      <c r="E307">
        <v>1855.63</v>
      </c>
      <c r="F307">
        <v>54.11</v>
      </c>
      <c r="G307">
        <v>1801.52</v>
      </c>
      <c r="H307" t="s">
        <v>25</v>
      </c>
      <c r="I307" t="s">
        <v>3046</v>
      </c>
      <c r="J307" t="s">
        <v>3036</v>
      </c>
      <c r="K307">
        <v>1855.63</v>
      </c>
    </row>
    <row r="308" spans="1:11" x14ac:dyDescent="0.25">
      <c r="A308" t="s">
        <v>3394</v>
      </c>
      <c r="B308" t="s">
        <v>885</v>
      </c>
      <c r="C308" t="s">
        <v>3034</v>
      </c>
      <c r="D308" s="1">
        <v>46029.578657407408</v>
      </c>
      <c r="E308">
        <v>821.57</v>
      </c>
      <c r="F308">
        <v>24.13</v>
      </c>
      <c r="G308">
        <v>797.44</v>
      </c>
      <c r="H308" t="s">
        <v>25</v>
      </c>
      <c r="I308" t="s">
        <v>3048</v>
      </c>
      <c r="J308" t="s">
        <v>3036</v>
      </c>
      <c r="K308">
        <v>821.57</v>
      </c>
    </row>
    <row r="309" spans="1:11" x14ac:dyDescent="0.25">
      <c r="A309" t="s">
        <v>3395</v>
      </c>
      <c r="B309" t="s">
        <v>888</v>
      </c>
      <c r="C309" t="s">
        <v>3034</v>
      </c>
      <c r="D309" s="1">
        <v>46030.656875000001</v>
      </c>
      <c r="E309">
        <v>1377.95</v>
      </c>
      <c r="F309">
        <v>40.26</v>
      </c>
      <c r="G309">
        <v>1337.69</v>
      </c>
      <c r="H309" t="s">
        <v>25</v>
      </c>
      <c r="I309" t="s">
        <v>3050</v>
      </c>
      <c r="J309" t="s">
        <v>3036</v>
      </c>
      <c r="K309">
        <v>1377.95</v>
      </c>
    </row>
    <row r="310" spans="1:11" x14ac:dyDescent="0.25">
      <c r="A310" t="s">
        <v>3396</v>
      </c>
      <c r="B310" t="s">
        <v>891</v>
      </c>
      <c r="C310" t="s">
        <v>3034</v>
      </c>
      <c r="D310" s="1">
        <v>46031.729930555557</v>
      </c>
      <c r="E310">
        <v>1166.75</v>
      </c>
      <c r="F310">
        <v>34.14</v>
      </c>
      <c r="G310">
        <v>1132.6099999999999</v>
      </c>
      <c r="H310" t="s">
        <v>25</v>
      </c>
      <c r="I310" t="s">
        <v>3052</v>
      </c>
      <c r="J310" t="s">
        <v>3036</v>
      </c>
      <c r="K310">
        <v>1166.75</v>
      </c>
    </row>
    <row r="311" spans="1:11" x14ac:dyDescent="0.25">
      <c r="A311" t="s">
        <v>3397</v>
      </c>
      <c r="B311" t="s">
        <v>894</v>
      </c>
      <c r="C311" t="s">
        <v>3034</v>
      </c>
      <c r="D311" s="1">
        <v>46032.832627314812</v>
      </c>
      <c r="E311">
        <v>263.57</v>
      </c>
      <c r="F311">
        <v>7.94</v>
      </c>
      <c r="G311">
        <v>255.63</v>
      </c>
      <c r="H311" t="s">
        <v>52</v>
      </c>
      <c r="I311" t="s">
        <v>3054</v>
      </c>
      <c r="J311" t="s">
        <v>3036</v>
      </c>
      <c r="K311">
        <v>263.57</v>
      </c>
    </row>
    <row r="312" spans="1:11" x14ac:dyDescent="0.25">
      <c r="A312" t="s">
        <v>3398</v>
      </c>
      <c r="B312" t="s">
        <v>897</v>
      </c>
      <c r="C312" t="s">
        <v>3034</v>
      </c>
      <c r="D312" s="1">
        <v>46033.926087962966</v>
      </c>
      <c r="E312">
        <v>574</v>
      </c>
      <c r="F312">
        <v>16.95</v>
      </c>
      <c r="G312">
        <v>557.04999999999995</v>
      </c>
      <c r="H312" t="s">
        <v>19</v>
      </c>
      <c r="I312" t="s">
        <v>3056</v>
      </c>
      <c r="J312" t="s">
        <v>3036</v>
      </c>
      <c r="K312">
        <v>574</v>
      </c>
    </row>
    <row r="313" spans="1:11" x14ac:dyDescent="0.25">
      <c r="A313" t="s">
        <v>3399</v>
      </c>
      <c r="B313" t="s">
        <v>900</v>
      </c>
      <c r="C313" t="s">
        <v>3034</v>
      </c>
      <c r="D313" s="1">
        <v>46035.037002314813</v>
      </c>
      <c r="E313">
        <v>385.78</v>
      </c>
      <c r="F313">
        <v>11.49</v>
      </c>
      <c r="G313">
        <v>374.29</v>
      </c>
      <c r="H313" t="s">
        <v>25</v>
      </c>
      <c r="I313" t="s">
        <v>3058</v>
      </c>
      <c r="J313" t="s">
        <v>3036</v>
      </c>
      <c r="K313">
        <v>385.78</v>
      </c>
    </row>
    <row r="314" spans="1:11" x14ac:dyDescent="0.25">
      <c r="A314" t="s">
        <v>3400</v>
      </c>
      <c r="B314" t="s">
        <v>903</v>
      </c>
      <c r="C314" t="s">
        <v>3034</v>
      </c>
      <c r="D314" s="1">
        <v>46036.132164351853</v>
      </c>
      <c r="E314">
        <v>640.36</v>
      </c>
      <c r="F314">
        <v>18.87</v>
      </c>
      <c r="G314">
        <v>621.49</v>
      </c>
      <c r="H314" t="s">
        <v>25</v>
      </c>
      <c r="I314" t="s">
        <v>3060</v>
      </c>
      <c r="J314" t="s">
        <v>3036</v>
      </c>
      <c r="K314">
        <v>640.36</v>
      </c>
    </row>
    <row r="315" spans="1:11" x14ac:dyDescent="0.25">
      <c r="A315" t="s">
        <v>3401</v>
      </c>
      <c r="B315" t="s">
        <v>906</v>
      </c>
      <c r="C315" t="s">
        <v>3034</v>
      </c>
      <c r="D315" s="1">
        <v>46037.19866898148</v>
      </c>
      <c r="E315">
        <v>1855.44</v>
      </c>
      <c r="F315">
        <v>54.11</v>
      </c>
      <c r="G315">
        <v>1801.33</v>
      </c>
      <c r="H315" t="s">
        <v>25</v>
      </c>
      <c r="I315" t="s">
        <v>3062</v>
      </c>
      <c r="J315" t="s">
        <v>3036</v>
      </c>
      <c r="K315">
        <v>1855.44</v>
      </c>
    </row>
    <row r="316" spans="1:11" x14ac:dyDescent="0.25">
      <c r="A316" t="s">
        <v>3402</v>
      </c>
      <c r="B316" t="s">
        <v>909</v>
      </c>
      <c r="C316" t="s">
        <v>3034</v>
      </c>
      <c r="D316" s="1">
        <v>46023.280277777776</v>
      </c>
      <c r="E316">
        <v>2282.7800000000002</v>
      </c>
      <c r="F316">
        <v>66.5</v>
      </c>
      <c r="G316">
        <v>2216.2800000000002</v>
      </c>
      <c r="H316" t="s">
        <v>25</v>
      </c>
      <c r="I316" t="s">
        <v>3064</v>
      </c>
      <c r="J316" t="s">
        <v>3036</v>
      </c>
      <c r="K316">
        <v>2282.7800000000002</v>
      </c>
    </row>
    <row r="317" spans="1:11" x14ac:dyDescent="0.25">
      <c r="A317" t="s">
        <v>3403</v>
      </c>
      <c r="B317" t="s">
        <v>909</v>
      </c>
      <c r="C317" t="s">
        <v>3076</v>
      </c>
      <c r="D317" s="1">
        <v>46024.273333333331</v>
      </c>
      <c r="E317">
        <v>-2282.7800000000002</v>
      </c>
      <c r="F317">
        <v>0</v>
      </c>
      <c r="G317">
        <v>-2282.7800000000002</v>
      </c>
      <c r="H317" t="s">
        <v>25</v>
      </c>
      <c r="I317" t="s">
        <v>3404</v>
      </c>
      <c r="J317" t="s">
        <v>3036</v>
      </c>
      <c r="K317">
        <v>-2282.7800000000002</v>
      </c>
    </row>
    <row r="318" spans="1:11" x14ac:dyDescent="0.25">
      <c r="A318" t="s">
        <v>3405</v>
      </c>
      <c r="B318" t="s">
        <v>912</v>
      </c>
      <c r="C318" t="s">
        <v>3034</v>
      </c>
      <c r="D318" s="1">
        <v>46024.373819444445</v>
      </c>
      <c r="E318">
        <v>1518.35</v>
      </c>
      <c r="F318">
        <v>44.33</v>
      </c>
      <c r="G318">
        <v>1474.02</v>
      </c>
      <c r="H318" t="s">
        <v>25</v>
      </c>
      <c r="I318" t="s">
        <v>3038</v>
      </c>
      <c r="J318" t="s">
        <v>3036</v>
      </c>
      <c r="K318">
        <v>1518.35</v>
      </c>
    </row>
    <row r="319" spans="1:11" x14ac:dyDescent="0.25">
      <c r="A319" t="s">
        <v>3406</v>
      </c>
      <c r="B319" t="s">
        <v>915</v>
      </c>
      <c r="C319" t="s">
        <v>3034</v>
      </c>
      <c r="D319" s="1">
        <v>46025.466365740744</v>
      </c>
      <c r="E319">
        <v>719.23</v>
      </c>
      <c r="F319">
        <v>21.16</v>
      </c>
      <c r="G319">
        <v>698.07</v>
      </c>
      <c r="H319" t="s">
        <v>25</v>
      </c>
      <c r="I319" t="s">
        <v>3040</v>
      </c>
      <c r="J319" t="s">
        <v>3036</v>
      </c>
      <c r="K319">
        <v>719.23</v>
      </c>
    </row>
    <row r="320" spans="1:11" x14ac:dyDescent="0.25">
      <c r="A320" t="s">
        <v>3407</v>
      </c>
      <c r="B320" t="s">
        <v>918</v>
      </c>
      <c r="C320" t="s">
        <v>3034</v>
      </c>
      <c r="D320" s="1">
        <v>46026.554456018515</v>
      </c>
      <c r="E320">
        <v>701.11</v>
      </c>
      <c r="F320">
        <v>20.63</v>
      </c>
      <c r="G320">
        <v>680.48</v>
      </c>
      <c r="H320" t="s">
        <v>25</v>
      </c>
      <c r="I320" t="s">
        <v>3042</v>
      </c>
      <c r="J320" t="s">
        <v>3036</v>
      </c>
      <c r="K320">
        <v>701.11</v>
      </c>
    </row>
    <row r="321" spans="1:11" x14ac:dyDescent="0.25">
      <c r="A321" t="s">
        <v>3408</v>
      </c>
      <c r="B321" t="s">
        <v>921</v>
      </c>
      <c r="C321" t="s">
        <v>3034</v>
      </c>
      <c r="D321" s="1">
        <v>46027.656655092593</v>
      </c>
      <c r="E321">
        <v>1865.59</v>
      </c>
      <c r="F321">
        <v>54.4</v>
      </c>
      <c r="G321">
        <v>1811.19</v>
      </c>
      <c r="H321" t="s">
        <v>25</v>
      </c>
      <c r="I321" t="s">
        <v>3068</v>
      </c>
      <c r="J321" t="s">
        <v>3036</v>
      </c>
      <c r="K321">
        <v>1865.59</v>
      </c>
    </row>
    <row r="322" spans="1:11" x14ac:dyDescent="0.25">
      <c r="A322" t="s">
        <v>3409</v>
      </c>
      <c r="B322" t="s">
        <v>924</v>
      </c>
      <c r="C322" t="s">
        <v>3034</v>
      </c>
      <c r="D322" s="1">
        <v>46028.738171296296</v>
      </c>
      <c r="E322">
        <v>1508.09</v>
      </c>
      <c r="F322">
        <v>44.03</v>
      </c>
      <c r="G322">
        <v>1464.06</v>
      </c>
      <c r="H322" t="s">
        <v>52</v>
      </c>
      <c r="I322" t="s">
        <v>3070</v>
      </c>
      <c r="J322" t="s">
        <v>3036</v>
      </c>
      <c r="K322">
        <v>1508.09</v>
      </c>
    </row>
    <row r="323" spans="1:11" x14ac:dyDescent="0.25">
      <c r="A323" t="s">
        <v>3410</v>
      </c>
      <c r="B323" t="s">
        <v>927</v>
      </c>
      <c r="C323" t="s">
        <v>3034</v>
      </c>
      <c r="D323" s="1">
        <v>46029.863240740742</v>
      </c>
      <c r="E323">
        <v>1259.0899999999999</v>
      </c>
      <c r="F323">
        <v>36.81</v>
      </c>
      <c r="G323">
        <v>1222.28</v>
      </c>
      <c r="H323" t="s">
        <v>19</v>
      </c>
      <c r="I323" t="s">
        <v>3072</v>
      </c>
      <c r="J323" t="s">
        <v>3036</v>
      </c>
      <c r="K323">
        <v>1259.0899999999999</v>
      </c>
    </row>
    <row r="324" spans="1:11" x14ac:dyDescent="0.25">
      <c r="A324" t="s">
        <v>3410</v>
      </c>
      <c r="B324" t="s">
        <v>927</v>
      </c>
      <c r="C324" t="s">
        <v>3034</v>
      </c>
      <c r="D324" s="1">
        <v>46029.863240740742</v>
      </c>
      <c r="E324">
        <v>1259.0899999999999</v>
      </c>
      <c r="F324">
        <v>36.81</v>
      </c>
      <c r="G324">
        <v>1222.28</v>
      </c>
      <c r="H324" t="s">
        <v>19</v>
      </c>
      <c r="I324" t="s">
        <v>3072</v>
      </c>
      <c r="J324" t="s">
        <v>3036</v>
      </c>
      <c r="K324">
        <v>1259.0899999999999</v>
      </c>
    </row>
    <row r="325" spans="1:11" x14ac:dyDescent="0.25">
      <c r="A325" t="s">
        <v>3411</v>
      </c>
      <c r="B325" t="s">
        <v>930</v>
      </c>
      <c r="C325" t="s">
        <v>3034</v>
      </c>
      <c r="D325" s="1">
        <v>46030.956608796296</v>
      </c>
      <c r="E325">
        <v>2178.96</v>
      </c>
      <c r="F325">
        <v>63.49</v>
      </c>
      <c r="G325">
        <v>2115.4699999999998</v>
      </c>
      <c r="H325" t="s">
        <v>25</v>
      </c>
      <c r="I325" t="s">
        <v>3050</v>
      </c>
      <c r="J325" t="s">
        <v>3036</v>
      </c>
      <c r="K325">
        <v>2178.96</v>
      </c>
    </row>
    <row r="326" spans="1:11" x14ac:dyDescent="0.25">
      <c r="A326" t="s">
        <v>3412</v>
      </c>
      <c r="B326" t="s">
        <v>933</v>
      </c>
      <c r="C326" t="s">
        <v>3034</v>
      </c>
      <c r="D326" s="1">
        <v>46032.035196759258</v>
      </c>
      <c r="E326">
        <v>2325.39</v>
      </c>
      <c r="F326">
        <v>67.739999999999995</v>
      </c>
      <c r="G326">
        <v>2257.65</v>
      </c>
      <c r="H326" t="s">
        <v>25</v>
      </c>
      <c r="I326" t="s">
        <v>3052</v>
      </c>
      <c r="J326" t="s">
        <v>3036</v>
      </c>
      <c r="K326">
        <v>2325.39</v>
      </c>
    </row>
    <row r="327" spans="1:11" x14ac:dyDescent="0.25">
      <c r="A327" t="s">
        <v>3412</v>
      </c>
      <c r="B327" t="s">
        <v>933</v>
      </c>
      <c r="C327" t="s">
        <v>3034</v>
      </c>
      <c r="D327" s="1">
        <v>46032.035196759258</v>
      </c>
      <c r="E327">
        <v>2325.39</v>
      </c>
      <c r="F327">
        <v>67.739999999999995</v>
      </c>
      <c r="G327">
        <v>2257.65</v>
      </c>
      <c r="H327" t="s">
        <v>25</v>
      </c>
      <c r="I327" t="s">
        <v>3052</v>
      </c>
      <c r="J327" t="s">
        <v>3036</v>
      </c>
      <c r="K327">
        <v>2325.39</v>
      </c>
    </row>
    <row r="328" spans="1:11" x14ac:dyDescent="0.25">
      <c r="A328" t="s">
        <v>3413</v>
      </c>
      <c r="B328" t="s">
        <v>936</v>
      </c>
      <c r="C328" t="s">
        <v>3034</v>
      </c>
      <c r="D328" s="1">
        <v>46033.125567129631</v>
      </c>
      <c r="E328">
        <v>7.53</v>
      </c>
      <c r="F328">
        <v>0.52</v>
      </c>
      <c r="G328">
        <v>7.01</v>
      </c>
      <c r="H328" t="s">
        <v>25</v>
      </c>
      <c r="I328" t="s">
        <v>3414</v>
      </c>
      <c r="J328" t="s">
        <v>3036</v>
      </c>
      <c r="K328">
        <v>7.53</v>
      </c>
    </row>
    <row r="329" spans="1:11" x14ac:dyDescent="0.25">
      <c r="A329" t="s">
        <v>3415</v>
      </c>
      <c r="B329" t="s">
        <v>939</v>
      </c>
      <c r="C329" t="s">
        <v>3034</v>
      </c>
      <c r="D329" s="1">
        <v>46034.217395833337</v>
      </c>
      <c r="E329">
        <v>1952.91</v>
      </c>
      <c r="F329">
        <v>56.93</v>
      </c>
      <c r="G329">
        <v>1895.98</v>
      </c>
      <c r="H329" t="s">
        <v>25</v>
      </c>
      <c r="I329" t="s">
        <v>3081</v>
      </c>
      <c r="J329" t="s">
        <v>3036</v>
      </c>
      <c r="K329">
        <v>1952.91</v>
      </c>
    </row>
    <row r="330" spans="1:11" x14ac:dyDescent="0.25">
      <c r="A330" t="s">
        <v>3416</v>
      </c>
      <c r="B330" t="s">
        <v>942</v>
      </c>
      <c r="C330" t="s">
        <v>3034</v>
      </c>
      <c r="D330" s="1">
        <v>46034.294039351851</v>
      </c>
      <c r="E330">
        <v>2013.2</v>
      </c>
      <c r="F330">
        <v>58.68</v>
      </c>
      <c r="G330">
        <v>1954.52</v>
      </c>
      <c r="H330" t="s">
        <v>25</v>
      </c>
      <c r="I330" t="s">
        <v>3058</v>
      </c>
      <c r="J330" t="s">
        <v>3036</v>
      </c>
      <c r="K330">
        <v>2013.2</v>
      </c>
    </row>
    <row r="331" spans="1:11" x14ac:dyDescent="0.25">
      <c r="A331" t="s">
        <v>3417</v>
      </c>
      <c r="B331" t="s">
        <v>945</v>
      </c>
      <c r="C331" t="s">
        <v>3034</v>
      </c>
      <c r="D331" s="1">
        <v>46035.401388888888</v>
      </c>
      <c r="E331">
        <v>2323.16</v>
      </c>
      <c r="F331">
        <v>67.67</v>
      </c>
      <c r="G331">
        <v>2255.4899999999998</v>
      </c>
      <c r="H331" t="s">
        <v>25</v>
      </c>
      <c r="I331" t="s">
        <v>3060</v>
      </c>
      <c r="J331" t="s">
        <v>3036</v>
      </c>
      <c r="K331">
        <v>2323.16</v>
      </c>
    </row>
    <row r="332" spans="1:11" x14ac:dyDescent="0.25">
      <c r="A332" t="s">
        <v>3418</v>
      </c>
      <c r="B332" t="s">
        <v>948</v>
      </c>
      <c r="C332" t="s">
        <v>3034</v>
      </c>
      <c r="D332" s="1">
        <v>46036.496944444443</v>
      </c>
      <c r="E332">
        <v>1433.41</v>
      </c>
      <c r="F332">
        <v>41.87</v>
      </c>
      <c r="G332">
        <v>1391.54</v>
      </c>
      <c r="H332" t="s">
        <v>25</v>
      </c>
      <c r="I332" t="s">
        <v>3062</v>
      </c>
      <c r="J332" t="s">
        <v>3036</v>
      </c>
      <c r="K332">
        <v>1433.41</v>
      </c>
    </row>
    <row r="333" spans="1:11" x14ac:dyDescent="0.25">
      <c r="A333" t="s">
        <v>3419</v>
      </c>
      <c r="B333" t="s">
        <v>951</v>
      </c>
      <c r="C333" t="s">
        <v>3034</v>
      </c>
      <c r="D333" s="1">
        <v>46023.573078703703</v>
      </c>
      <c r="E333">
        <v>262.83999999999997</v>
      </c>
      <c r="F333">
        <v>7.92</v>
      </c>
      <c r="G333">
        <v>254.92</v>
      </c>
      <c r="H333" t="s">
        <v>25</v>
      </c>
      <c r="I333" t="s">
        <v>3064</v>
      </c>
      <c r="J333" t="s">
        <v>3036</v>
      </c>
      <c r="K333">
        <v>262.83999999999997</v>
      </c>
    </row>
    <row r="334" spans="1:11" x14ac:dyDescent="0.25">
      <c r="A334" t="s">
        <v>3420</v>
      </c>
      <c r="B334" t="s">
        <v>954</v>
      </c>
      <c r="C334" t="s">
        <v>3034</v>
      </c>
      <c r="D334" s="1">
        <v>46024.676921296297</v>
      </c>
      <c r="E334">
        <v>1000.11</v>
      </c>
      <c r="F334">
        <v>29.3</v>
      </c>
      <c r="G334">
        <v>970.81</v>
      </c>
      <c r="H334" t="s">
        <v>52</v>
      </c>
      <c r="I334" t="s">
        <v>3172</v>
      </c>
      <c r="J334" t="s">
        <v>3036</v>
      </c>
      <c r="K334">
        <v>1000.11</v>
      </c>
    </row>
    <row r="335" spans="1:11" x14ac:dyDescent="0.25">
      <c r="A335" t="s">
        <v>3421</v>
      </c>
      <c r="B335" t="s">
        <v>957</v>
      </c>
      <c r="C335" t="s">
        <v>3034</v>
      </c>
      <c r="D335" s="1">
        <v>46025.742893518516</v>
      </c>
      <c r="E335">
        <v>1122.82</v>
      </c>
      <c r="F335">
        <v>32.86</v>
      </c>
      <c r="G335">
        <v>1089.96</v>
      </c>
      <c r="H335" t="s">
        <v>19</v>
      </c>
      <c r="I335" t="s">
        <v>3174</v>
      </c>
      <c r="J335" t="s">
        <v>3036</v>
      </c>
      <c r="K335">
        <v>1122.82</v>
      </c>
    </row>
    <row r="336" spans="1:11" x14ac:dyDescent="0.25">
      <c r="A336" t="s">
        <v>3422</v>
      </c>
      <c r="B336" t="s">
        <v>960</v>
      </c>
      <c r="C336" t="s">
        <v>3034</v>
      </c>
      <c r="D336" s="1">
        <v>46026.857291666667</v>
      </c>
      <c r="E336">
        <v>786.97</v>
      </c>
      <c r="F336">
        <v>23.12</v>
      </c>
      <c r="G336">
        <v>763.85</v>
      </c>
      <c r="H336" t="s">
        <v>25</v>
      </c>
      <c r="I336" t="s">
        <v>3042</v>
      </c>
      <c r="J336" t="s">
        <v>3036</v>
      </c>
      <c r="K336">
        <v>786.97</v>
      </c>
    </row>
    <row r="337" spans="1:11" x14ac:dyDescent="0.25">
      <c r="A337" t="s">
        <v>3423</v>
      </c>
      <c r="B337" t="s">
        <v>963</v>
      </c>
      <c r="C337" t="s">
        <v>3034</v>
      </c>
      <c r="D337" s="1">
        <v>46027.933078703703</v>
      </c>
      <c r="E337">
        <v>1774.51</v>
      </c>
      <c r="F337">
        <v>51.76</v>
      </c>
      <c r="G337">
        <v>1722.75</v>
      </c>
      <c r="H337" t="s">
        <v>25</v>
      </c>
      <c r="I337" t="s">
        <v>3068</v>
      </c>
      <c r="J337" t="s">
        <v>3036</v>
      </c>
      <c r="K337">
        <v>1774.51</v>
      </c>
    </row>
    <row r="338" spans="1:11" x14ac:dyDescent="0.25">
      <c r="A338" t="s">
        <v>3424</v>
      </c>
      <c r="B338" t="s">
        <v>966</v>
      </c>
      <c r="C338" t="s">
        <v>3034</v>
      </c>
      <c r="D338" s="1">
        <v>46029.040439814817</v>
      </c>
      <c r="E338">
        <v>1851.28</v>
      </c>
      <c r="F338">
        <v>53.99</v>
      </c>
      <c r="G338">
        <v>1797.29</v>
      </c>
      <c r="H338" t="s">
        <v>25</v>
      </c>
      <c r="I338" t="s">
        <v>3046</v>
      </c>
      <c r="J338" t="s">
        <v>3036</v>
      </c>
      <c r="K338">
        <v>1851.28</v>
      </c>
    </row>
    <row r="339" spans="1:11" x14ac:dyDescent="0.25">
      <c r="A339" t="s">
        <v>3425</v>
      </c>
      <c r="B339" t="s">
        <v>969</v>
      </c>
      <c r="C339" t="s">
        <v>3034</v>
      </c>
      <c r="D339" s="1">
        <v>46030.130937499998</v>
      </c>
      <c r="E339">
        <v>2499.6</v>
      </c>
      <c r="F339">
        <v>72.790000000000006</v>
      </c>
      <c r="G339">
        <v>2426.81</v>
      </c>
      <c r="H339" t="s">
        <v>25</v>
      </c>
      <c r="I339" t="s">
        <v>3048</v>
      </c>
      <c r="J339" t="s">
        <v>3036</v>
      </c>
      <c r="K339">
        <v>2499.6</v>
      </c>
    </row>
    <row r="340" spans="1:11" x14ac:dyDescent="0.25">
      <c r="A340" t="s">
        <v>3426</v>
      </c>
      <c r="B340" t="s">
        <v>972</v>
      </c>
      <c r="C340" t="s">
        <v>3034</v>
      </c>
      <c r="D340" s="1">
        <v>46031.216249999998</v>
      </c>
      <c r="E340">
        <v>546.1</v>
      </c>
      <c r="F340">
        <v>16.14</v>
      </c>
      <c r="G340">
        <v>529.96</v>
      </c>
      <c r="H340" t="s">
        <v>25</v>
      </c>
      <c r="I340" t="s">
        <v>3427</v>
      </c>
      <c r="J340" t="s">
        <v>3036</v>
      </c>
      <c r="K340">
        <v>546.1</v>
      </c>
    </row>
    <row r="341" spans="1:11" x14ac:dyDescent="0.25">
      <c r="A341" t="s">
        <v>3428</v>
      </c>
      <c r="B341" t="s">
        <v>975</v>
      </c>
      <c r="C341" t="s">
        <v>3034</v>
      </c>
      <c r="D341" s="1">
        <v>46031.327326388891</v>
      </c>
      <c r="E341">
        <v>2347.63</v>
      </c>
      <c r="F341">
        <v>68.38</v>
      </c>
      <c r="G341">
        <v>2279.25</v>
      </c>
      <c r="H341" t="s">
        <v>25</v>
      </c>
      <c r="I341" t="s">
        <v>3052</v>
      </c>
      <c r="J341" t="s">
        <v>3036</v>
      </c>
      <c r="K341">
        <v>2347.63</v>
      </c>
    </row>
    <row r="342" spans="1:11" x14ac:dyDescent="0.25">
      <c r="A342" t="s">
        <v>3429</v>
      </c>
      <c r="B342" t="s">
        <v>978</v>
      </c>
      <c r="C342" t="s">
        <v>3034</v>
      </c>
      <c r="D342" s="1">
        <v>46032.404594907406</v>
      </c>
      <c r="E342">
        <v>1255.42</v>
      </c>
      <c r="F342">
        <v>36.71</v>
      </c>
      <c r="G342">
        <v>1218.71</v>
      </c>
      <c r="H342" t="s">
        <v>25</v>
      </c>
      <c r="I342" t="s">
        <v>3079</v>
      </c>
      <c r="J342" t="s">
        <v>3036</v>
      </c>
      <c r="K342">
        <v>1255.42</v>
      </c>
    </row>
    <row r="343" spans="1:11" x14ac:dyDescent="0.25">
      <c r="A343" t="s">
        <v>3430</v>
      </c>
      <c r="B343" t="s">
        <v>981</v>
      </c>
      <c r="C343" t="s">
        <v>3034</v>
      </c>
      <c r="D343" s="1">
        <v>46033.506493055553</v>
      </c>
      <c r="E343">
        <v>553.92999999999995</v>
      </c>
      <c r="F343">
        <v>16.36</v>
      </c>
      <c r="G343">
        <v>537.57000000000005</v>
      </c>
      <c r="H343" t="s">
        <v>25</v>
      </c>
      <c r="I343" t="s">
        <v>3081</v>
      </c>
      <c r="J343" t="s">
        <v>3036</v>
      </c>
      <c r="K343">
        <v>553.92999999999995</v>
      </c>
    </row>
    <row r="344" spans="1:11" x14ac:dyDescent="0.25">
      <c r="A344" t="s">
        <v>3431</v>
      </c>
      <c r="B344" t="s">
        <v>984</v>
      </c>
      <c r="C344" t="s">
        <v>3034</v>
      </c>
      <c r="D344" s="1">
        <v>46034.577789351853</v>
      </c>
      <c r="E344">
        <v>1160.74</v>
      </c>
      <c r="F344">
        <v>33.96</v>
      </c>
      <c r="G344">
        <v>1126.78</v>
      </c>
      <c r="H344" t="s">
        <v>52</v>
      </c>
      <c r="I344" t="s">
        <v>3102</v>
      </c>
      <c r="J344" t="s">
        <v>3036</v>
      </c>
      <c r="K344">
        <v>1160.74</v>
      </c>
    </row>
    <row r="345" spans="1:11" x14ac:dyDescent="0.25">
      <c r="A345" t="s">
        <v>3432</v>
      </c>
      <c r="B345" t="s">
        <v>987</v>
      </c>
      <c r="C345" t="s">
        <v>3034</v>
      </c>
      <c r="D345" s="1">
        <v>46035.676562499997</v>
      </c>
      <c r="E345">
        <v>760.18</v>
      </c>
      <c r="F345">
        <v>22.35</v>
      </c>
      <c r="G345">
        <v>737.83</v>
      </c>
      <c r="H345" t="s">
        <v>19</v>
      </c>
      <c r="I345" t="s">
        <v>3186</v>
      </c>
      <c r="J345" t="s">
        <v>3036</v>
      </c>
      <c r="K345">
        <v>760.18</v>
      </c>
    </row>
    <row r="346" spans="1:11" x14ac:dyDescent="0.25">
      <c r="A346" t="s">
        <v>3433</v>
      </c>
      <c r="B346" t="s">
        <v>990</v>
      </c>
      <c r="C346" t="s">
        <v>3034</v>
      </c>
      <c r="D346" s="1">
        <v>46036.790543981479</v>
      </c>
      <c r="E346">
        <v>1000.52</v>
      </c>
      <c r="F346">
        <v>29.32</v>
      </c>
      <c r="G346">
        <v>971.2</v>
      </c>
      <c r="H346" t="s">
        <v>25</v>
      </c>
      <c r="I346" t="s">
        <v>3062</v>
      </c>
      <c r="J346" t="s">
        <v>3036</v>
      </c>
      <c r="K346">
        <v>1000.52</v>
      </c>
    </row>
    <row r="347" spans="1:11" x14ac:dyDescent="0.25">
      <c r="A347" t="s">
        <v>3434</v>
      </c>
      <c r="B347" t="s">
        <v>993</v>
      </c>
      <c r="C347" t="s">
        <v>3034</v>
      </c>
      <c r="D347" s="1">
        <v>46023.881215277775</v>
      </c>
      <c r="E347">
        <v>1784.64</v>
      </c>
      <c r="F347">
        <v>52.05</v>
      </c>
      <c r="G347">
        <v>1732.59</v>
      </c>
      <c r="H347" t="s">
        <v>25</v>
      </c>
      <c r="I347" t="s">
        <v>3064</v>
      </c>
      <c r="J347" t="s">
        <v>3036</v>
      </c>
      <c r="K347">
        <v>1784.64</v>
      </c>
    </row>
    <row r="348" spans="1:11" x14ac:dyDescent="0.25">
      <c r="A348" t="s">
        <v>3435</v>
      </c>
      <c r="B348" t="s">
        <v>996</v>
      </c>
      <c r="C348" t="s">
        <v>3034</v>
      </c>
      <c r="D348" s="1">
        <v>46024.954108796293</v>
      </c>
      <c r="E348">
        <v>422.05</v>
      </c>
      <c r="F348">
        <v>12.54</v>
      </c>
      <c r="G348">
        <v>409.51</v>
      </c>
      <c r="H348" t="s">
        <v>25</v>
      </c>
      <c r="I348" t="s">
        <v>3038</v>
      </c>
      <c r="J348" t="s">
        <v>3036</v>
      </c>
      <c r="K348">
        <v>422.05</v>
      </c>
    </row>
    <row r="349" spans="1:11" x14ac:dyDescent="0.25">
      <c r="A349" t="s">
        <v>3436</v>
      </c>
      <c r="B349" t="s">
        <v>999</v>
      </c>
      <c r="C349" t="s">
        <v>3034</v>
      </c>
      <c r="D349" s="1">
        <v>46026.052002314813</v>
      </c>
      <c r="E349">
        <v>569.9</v>
      </c>
      <c r="F349">
        <v>16.829999999999998</v>
      </c>
      <c r="G349">
        <v>553.07000000000005</v>
      </c>
      <c r="H349" t="s">
        <v>25</v>
      </c>
      <c r="I349" t="s">
        <v>3040</v>
      </c>
      <c r="J349" t="s">
        <v>3036</v>
      </c>
      <c r="K349">
        <v>569.9</v>
      </c>
    </row>
    <row r="350" spans="1:11" x14ac:dyDescent="0.25">
      <c r="A350" t="s">
        <v>3437</v>
      </c>
      <c r="B350" t="s">
        <v>1002</v>
      </c>
      <c r="C350" t="s">
        <v>3034</v>
      </c>
      <c r="D350" s="1">
        <v>46027.116516203707</v>
      </c>
      <c r="E350">
        <v>36.31</v>
      </c>
      <c r="F350">
        <v>1.35</v>
      </c>
      <c r="G350">
        <v>34.96</v>
      </c>
      <c r="H350" t="s">
        <v>25</v>
      </c>
      <c r="I350" t="s">
        <v>3042</v>
      </c>
      <c r="J350" t="s">
        <v>3036</v>
      </c>
      <c r="K350">
        <v>36.31</v>
      </c>
    </row>
    <row r="351" spans="1:11" x14ac:dyDescent="0.25">
      <c r="A351" t="s">
        <v>3438</v>
      </c>
      <c r="B351" t="s">
        <v>1005</v>
      </c>
      <c r="C351" t="s">
        <v>3034</v>
      </c>
      <c r="D351" s="1">
        <v>46028.217847222222</v>
      </c>
      <c r="E351">
        <v>2139.86</v>
      </c>
      <c r="F351">
        <v>62.36</v>
      </c>
      <c r="G351">
        <v>2077.5</v>
      </c>
      <c r="H351" t="s">
        <v>25</v>
      </c>
      <c r="I351" t="s">
        <v>3068</v>
      </c>
      <c r="J351" t="s">
        <v>3036</v>
      </c>
      <c r="K351">
        <v>2139.86</v>
      </c>
    </row>
    <row r="352" spans="1:11" x14ac:dyDescent="0.25">
      <c r="A352" t="s">
        <v>3439</v>
      </c>
      <c r="B352" t="s">
        <v>1008</v>
      </c>
      <c r="C352" t="s">
        <v>3034</v>
      </c>
      <c r="D352" s="1">
        <v>46028.337500000001</v>
      </c>
      <c r="E352">
        <v>837.2</v>
      </c>
      <c r="F352">
        <v>24.58</v>
      </c>
      <c r="G352">
        <v>812.62</v>
      </c>
      <c r="H352" t="s">
        <v>25</v>
      </c>
      <c r="I352" t="s">
        <v>3046</v>
      </c>
      <c r="J352" t="s">
        <v>3036</v>
      </c>
      <c r="K352">
        <v>837.2</v>
      </c>
    </row>
    <row r="353" spans="1:11" x14ac:dyDescent="0.25">
      <c r="A353" t="s">
        <v>3440</v>
      </c>
      <c r="B353" t="s">
        <v>1011</v>
      </c>
      <c r="C353" t="s">
        <v>3034</v>
      </c>
      <c r="D353" s="1">
        <v>46029.412326388891</v>
      </c>
      <c r="E353">
        <v>509.77</v>
      </c>
      <c r="F353">
        <v>15.08</v>
      </c>
      <c r="G353">
        <v>494.69</v>
      </c>
      <c r="H353" t="s">
        <v>25</v>
      </c>
      <c r="I353" t="s">
        <v>3048</v>
      </c>
      <c r="J353" t="s">
        <v>3036</v>
      </c>
      <c r="K353">
        <v>509.77</v>
      </c>
    </row>
    <row r="354" spans="1:11" x14ac:dyDescent="0.25">
      <c r="A354" t="s">
        <v>3441</v>
      </c>
      <c r="B354" t="s">
        <v>1014</v>
      </c>
      <c r="C354" t="s">
        <v>3034</v>
      </c>
      <c r="D354" s="1">
        <v>46030.495000000003</v>
      </c>
      <c r="E354">
        <v>333.41</v>
      </c>
      <c r="F354">
        <v>9.9700000000000006</v>
      </c>
      <c r="G354">
        <v>323.44</v>
      </c>
      <c r="H354" t="s">
        <v>52</v>
      </c>
      <c r="I354" t="s">
        <v>3115</v>
      </c>
      <c r="J354" t="s">
        <v>3036</v>
      </c>
      <c r="K354">
        <v>333.41</v>
      </c>
    </row>
    <row r="355" spans="1:11" x14ac:dyDescent="0.25">
      <c r="A355" t="s">
        <v>3442</v>
      </c>
      <c r="B355" t="s">
        <v>1017</v>
      </c>
      <c r="C355" t="s">
        <v>3034</v>
      </c>
      <c r="D355" s="1">
        <v>46031.59171296296</v>
      </c>
      <c r="E355">
        <v>2439.62</v>
      </c>
      <c r="F355">
        <v>71.05</v>
      </c>
      <c r="G355">
        <v>2368.5700000000002</v>
      </c>
      <c r="H355" t="s">
        <v>19</v>
      </c>
      <c r="I355" t="s">
        <v>3443</v>
      </c>
      <c r="J355" t="s">
        <v>3036</v>
      </c>
      <c r="K355">
        <v>2439.62</v>
      </c>
    </row>
    <row r="356" spans="1:11" x14ac:dyDescent="0.25">
      <c r="A356" t="s">
        <v>3444</v>
      </c>
      <c r="B356" t="s">
        <v>1020</v>
      </c>
      <c r="C356" t="s">
        <v>3034</v>
      </c>
      <c r="D356" s="1">
        <v>46032.693668981483</v>
      </c>
      <c r="E356">
        <v>793.48</v>
      </c>
      <c r="F356">
        <v>23.31</v>
      </c>
      <c r="G356">
        <v>770.17</v>
      </c>
      <c r="H356" t="s">
        <v>25</v>
      </c>
      <c r="I356" t="s">
        <v>3079</v>
      </c>
      <c r="J356" t="s">
        <v>3036</v>
      </c>
      <c r="K356">
        <v>793.48</v>
      </c>
    </row>
    <row r="357" spans="1:11" x14ac:dyDescent="0.25">
      <c r="A357" t="s">
        <v>3445</v>
      </c>
      <c r="B357" t="s">
        <v>1023</v>
      </c>
      <c r="C357" t="s">
        <v>3034</v>
      </c>
      <c r="D357" s="1">
        <v>46033.761145833334</v>
      </c>
      <c r="E357">
        <v>31.31</v>
      </c>
      <c r="F357">
        <v>1.21</v>
      </c>
      <c r="G357">
        <v>30.1</v>
      </c>
      <c r="H357" t="s">
        <v>25</v>
      </c>
      <c r="I357" t="s">
        <v>3081</v>
      </c>
      <c r="J357" t="s">
        <v>3036</v>
      </c>
      <c r="K357">
        <v>31.31</v>
      </c>
    </row>
    <row r="358" spans="1:11" x14ac:dyDescent="0.25">
      <c r="A358" t="s">
        <v>3446</v>
      </c>
      <c r="B358" t="s">
        <v>1026</v>
      </c>
      <c r="C358" t="s">
        <v>3034</v>
      </c>
      <c r="D358" s="1">
        <v>46034.860682870371</v>
      </c>
      <c r="E358">
        <v>2480.39</v>
      </c>
      <c r="F358">
        <v>72.23</v>
      </c>
      <c r="G358">
        <v>2408.16</v>
      </c>
      <c r="H358" t="s">
        <v>25</v>
      </c>
      <c r="I358" t="s">
        <v>3058</v>
      </c>
      <c r="J358" t="s">
        <v>3036</v>
      </c>
      <c r="K358">
        <v>2480.39</v>
      </c>
    </row>
    <row r="359" spans="1:11" x14ac:dyDescent="0.25">
      <c r="A359" t="s">
        <v>3447</v>
      </c>
      <c r="B359" t="s">
        <v>1032</v>
      </c>
      <c r="C359" t="s">
        <v>3034</v>
      </c>
      <c r="D359" s="1">
        <v>46037.060520833336</v>
      </c>
      <c r="E359">
        <v>529.86</v>
      </c>
      <c r="F359">
        <v>15.67</v>
      </c>
      <c r="G359">
        <v>514.19000000000005</v>
      </c>
      <c r="H359" t="s">
        <v>25</v>
      </c>
      <c r="I359" t="s">
        <v>3062</v>
      </c>
      <c r="J359" t="s">
        <v>3036</v>
      </c>
      <c r="K359">
        <v>529.86</v>
      </c>
    </row>
    <row r="360" spans="1:11" x14ac:dyDescent="0.25">
      <c r="A360" t="s">
        <v>3448</v>
      </c>
      <c r="B360" t="s">
        <v>1035</v>
      </c>
      <c r="C360" t="s">
        <v>3034</v>
      </c>
      <c r="D360" s="1">
        <v>46024.15519675926</v>
      </c>
      <c r="E360">
        <v>211.3</v>
      </c>
      <c r="F360">
        <v>6.43</v>
      </c>
      <c r="G360">
        <v>204.87</v>
      </c>
      <c r="H360" t="s">
        <v>25</v>
      </c>
      <c r="I360" t="s">
        <v>3064</v>
      </c>
      <c r="J360" t="s">
        <v>3036</v>
      </c>
      <c r="K360">
        <v>211.3</v>
      </c>
    </row>
    <row r="361" spans="1:11" x14ac:dyDescent="0.25">
      <c r="A361" t="s">
        <v>3449</v>
      </c>
      <c r="B361" t="s">
        <v>1038</v>
      </c>
      <c r="C361" t="s">
        <v>3034</v>
      </c>
      <c r="D361" s="1">
        <v>46024.246134259258</v>
      </c>
      <c r="E361">
        <v>1658.46</v>
      </c>
      <c r="F361">
        <v>48.4</v>
      </c>
      <c r="G361">
        <v>1610.06</v>
      </c>
      <c r="H361" t="s">
        <v>25</v>
      </c>
      <c r="I361" t="s">
        <v>3038</v>
      </c>
      <c r="J361" t="s">
        <v>3036</v>
      </c>
      <c r="K361">
        <v>1658.46</v>
      </c>
    </row>
    <row r="362" spans="1:11" x14ac:dyDescent="0.25">
      <c r="A362" t="s">
        <v>3450</v>
      </c>
      <c r="B362" t="s">
        <v>1041</v>
      </c>
      <c r="C362" t="s">
        <v>3034</v>
      </c>
      <c r="D362" s="1">
        <v>46025.312777777777</v>
      </c>
      <c r="E362">
        <v>1884.4</v>
      </c>
      <c r="F362">
        <v>54.95</v>
      </c>
      <c r="G362">
        <v>1829.45</v>
      </c>
      <c r="H362" t="s">
        <v>25</v>
      </c>
      <c r="I362" t="s">
        <v>3040</v>
      </c>
      <c r="J362" t="s">
        <v>3036</v>
      </c>
      <c r="K362">
        <v>1884.4</v>
      </c>
    </row>
    <row r="363" spans="1:11" x14ac:dyDescent="0.25">
      <c r="A363" t="s">
        <v>3451</v>
      </c>
      <c r="B363" t="s">
        <v>1044</v>
      </c>
      <c r="C363" t="s">
        <v>3034</v>
      </c>
      <c r="D363" s="1">
        <v>46026.399976851855</v>
      </c>
      <c r="E363">
        <v>2051.5500000000002</v>
      </c>
      <c r="F363">
        <v>59.79</v>
      </c>
      <c r="G363">
        <v>1991.76</v>
      </c>
      <c r="H363" t="s">
        <v>52</v>
      </c>
      <c r="I363" t="s">
        <v>3128</v>
      </c>
      <c r="J363" t="s">
        <v>3036</v>
      </c>
      <c r="K363">
        <v>2051.5500000000002</v>
      </c>
    </row>
    <row r="364" spans="1:11" x14ac:dyDescent="0.25">
      <c r="A364" t="s">
        <v>3452</v>
      </c>
      <c r="B364" t="s">
        <v>1047</v>
      </c>
      <c r="C364" t="s">
        <v>3034</v>
      </c>
      <c r="D364" s="1">
        <v>46027.503692129627</v>
      </c>
      <c r="E364">
        <v>100.91</v>
      </c>
      <c r="F364">
        <v>3.23</v>
      </c>
      <c r="G364">
        <v>97.68</v>
      </c>
      <c r="H364" t="s">
        <v>19</v>
      </c>
      <c r="I364" t="s">
        <v>3453</v>
      </c>
      <c r="J364" t="s">
        <v>3036</v>
      </c>
      <c r="K364">
        <v>100.91</v>
      </c>
    </row>
    <row r="365" spans="1:11" x14ac:dyDescent="0.25">
      <c r="A365" t="s">
        <v>3454</v>
      </c>
      <c r="B365" t="s">
        <v>1050</v>
      </c>
      <c r="C365" t="s">
        <v>3034</v>
      </c>
      <c r="D365" s="1">
        <v>46028.595625000002</v>
      </c>
      <c r="E365">
        <v>165.67</v>
      </c>
      <c r="F365">
        <v>5.0999999999999996</v>
      </c>
      <c r="G365">
        <v>160.57</v>
      </c>
      <c r="H365" t="s">
        <v>25</v>
      </c>
      <c r="I365" t="s">
        <v>3046</v>
      </c>
      <c r="J365" t="s">
        <v>3036</v>
      </c>
      <c r="K365">
        <v>165.67</v>
      </c>
    </row>
    <row r="366" spans="1:11" x14ac:dyDescent="0.25">
      <c r="A366" t="s">
        <v>3455</v>
      </c>
      <c r="B366" t="s">
        <v>1053</v>
      </c>
      <c r="C366" t="s">
        <v>3034</v>
      </c>
      <c r="D366" s="1">
        <v>46029.704594907409</v>
      </c>
      <c r="E366">
        <v>1425.43</v>
      </c>
      <c r="F366">
        <v>41.64</v>
      </c>
      <c r="G366">
        <v>1383.79</v>
      </c>
      <c r="H366" t="s">
        <v>25</v>
      </c>
      <c r="I366" t="s">
        <v>3048</v>
      </c>
      <c r="J366" t="s">
        <v>3036</v>
      </c>
      <c r="K366">
        <v>1425.43</v>
      </c>
    </row>
    <row r="367" spans="1:11" x14ac:dyDescent="0.25">
      <c r="A367" t="s">
        <v>3456</v>
      </c>
      <c r="B367" t="s">
        <v>1056</v>
      </c>
      <c r="C367" t="s">
        <v>3034</v>
      </c>
      <c r="D367" s="1">
        <v>46030.802766203706</v>
      </c>
      <c r="E367">
        <v>841.15</v>
      </c>
      <c r="F367">
        <v>24.69</v>
      </c>
      <c r="G367">
        <v>816.46</v>
      </c>
      <c r="H367" t="s">
        <v>25</v>
      </c>
      <c r="I367" t="s">
        <v>3050</v>
      </c>
      <c r="J367" t="s">
        <v>3036</v>
      </c>
      <c r="K367">
        <v>841.15</v>
      </c>
    </row>
    <row r="368" spans="1:11" x14ac:dyDescent="0.25">
      <c r="A368" t="s">
        <v>3457</v>
      </c>
      <c r="B368" t="s">
        <v>1059</v>
      </c>
      <c r="C368" t="s">
        <v>3034</v>
      </c>
      <c r="D368" s="1">
        <v>46031.883599537039</v>
      </c>
      <c r="E368">
        <v>2098.44</v>
      </c>
      <c r="F368">
        <v>61.15</v>
      </c>
      <c r="G368">
        <v>2037.29</v>
      </c>
      <c r="H368" t="s">
        <v>25</v>
      </c>
      <c r="I368" t="s">
        <v>3052</v>
      </c>
      <c r="J368" t="s">
        <v>3036</v>
      </c>
      <c r="K368">
        <v>2098.44</v>
      </c>
    </row>
    <row r="369" spans="1:11" x14ac:dyDescent="0.25">
      <c r="A369" t="s">
        <v>3458</v>
      </c>
      <c r="B369" t="s">
        <v>1062</v>
      </c>
      <c r="C369" t="s">
        <v>3034</v>
      </c>
      <c r="D369" s="1">
        <v>46032.980995370373</v>
      </c>
      <c r="E369">
        <v>614.94000000000005</v>
      </c>
      <c r="F369">
        <v>18.13</v>
      </c>
      <c r="G369">
        <v>596.80999999999995</v>
      </c>
      <c r="H369" t="s">
        <v>25</v>
      </c>
      <c r="I369" t="s">
        <v>3079</v>
      </c>
      <c r="J369" t="s">
        <v>3036</v>
      </c>
      <c r="K369">
        <v>614.94000000000005</v>
      </c>
    </row>
    <row r="370" spans="1:11" x14ac:dyDescent="0.25">
      <c r="A370" t="s">
        <v>3459</v>
      </c>
      <c r="B370" t="s">
        <v>1065</v>
      </c>
      <c r="C370" t="s">
        <v>3034</v>
      </c>
      <c r="D370" s="1">
        <v>46034.064120370371</v>
      </c>
      <c r="E370">
        <v>745.64</v>
      </c>
      <c r="F370">
        <v>21.92</v>
      </c>
      <c r="G370">
        <v>723.72</v>
      </c>
      <c r="H370" t="s">
        <v>25</v>
      </c>
      <c r="I370" t="s">
        <v>3081</v>
      </c>
      <c r="J370" t="s">
        <v>3036</v>
      </c>
      <c r="K370">
        <v>745.64</v>
      </c>
    </row>
    <row r="371" spans="1:11" x14ac:dyDescent="0.25">
      <c r="A371" t="s">
        <v>3460</v>
      </c>
      <c r="B371" t="s">
        <v>1068</v>
      </c>
      <c r="C371" t="s">
        <v>3034</v>
      </c>
      <c r="D371" s="1">
        <v>46035.145011574074</v>
      </c>
      <c r="E371">
        <v>514.30999999999995</v>
      </c>
      <c r="F371">
        <v>15.58</v>
      </c>
      <c r="G371">
        <v>498.73</v>
      </c>
      <c r="H371" t="s">
        <v>25</v>
      </c>
      <c r="I371" t="s">
        <v>3058</v>
      </c>
      <c r="J371" t="s">
        <v>3036</v>
      </c>
      <c r="K371">
        <v>514.30999999999995</v>
      </c>
    </row>
    <row r="372" spans="1:11" x14ac:dyDescent="0.25">
      <c r="A372" t="s">
        <v>3461</v>
      </c>
      <c r="B372" t="s">
        <v>1071</v>
      </c>
      <c r="C372" t="s">
        <v>3034</v>
      </c>
      <c r="D372" s="1">
        <v>46035.25677083333</v>
      </c>
      <c r="E372">
        <v>1913.19</v>
      </c>
      <c r="F372">
        <v>55.78</v>
      </c>
      <c r="G372">
        <v>1857.41</v>
      </c>
      <c r="H372" t="s">
        <v>25</v>
      </c>
      <c r="I372" t="s">
        <v>3060</v>
      </c>
      <c r="J372" t="s">
        <v>3036</v>
      </c>
      <c r="K372">
        <v>1913.19</v>
      </c>
    </row>
    <row r="373" spans="1:11" x14ac:dyDescent="0.25">
      <c r="A373" t="s">
        <v>3462</v>
      </c>
      <c r="B373" t="s">
        <v>1074</v>
      </c>
      <c r="C373" t="s">
        <v>3034</v>
      </c>
      <c r="D373" s="1">
        <v>46036.330763888887</v>
      </c>
      <c r="E373">
        <v>2107.5100000000002</v>
      </c>
      <c r="F373">
        <v>61.42</v>
      </c>
      <c r="G373">
        <v>2046.09</v>
      </c>
      <c r="H373" t="s">
        <v>52</v>
      </c>
      <c r="I373" t="s">
        <v>3140</v>
      </c>
      <c r="J373" t="s">
        <v>3036</v>
      </c>
      <c r="K373">
        <v>2107.5100000000002</v>
      </c>
    </row>
    <row r="374" spans="1:11" x14ac:dyDescent="0.25">
      <c r="A374" t="s">
        <v>3463</v>
      </c>
      <c r="B374" t="s">
        <v>1074</v>
      </c>
      <c r="C374" t="s">
        <v>3076</v>
      </c>
      <c r="D374" s="1">
        <v>46037.323819444442</v>
      </c>
      <c r="E374">
        <v>-2107.5100000000002</v>
      </c>
      <c r="F374">
        <v>0</v>
      </c>
      <c r="G374">
        <v>-2107.5100000000002</v>
      </c>
      <c r="H374" t="s">
        <v>52</v>
      </c>
      <c r="I374" t="s">
        <v>3464</v>
      </c>
      <c r="J374" t="s">
        <v>3036</v>
      </c>
      <c r="K374">
        <v>-2107.5100000000002</v>
      </c>
    </row>
    <row r="375" spans="1:11" x14ac:dyDescent="0.25">
      <c r="A375" t="s">
        <v>3465</v>
      </c>
      <c r="B375" t="s">
        <v>1077</v>
      </c>
      <c r="C375" t="s">
        <v>3034</v>
      </c>
      <c r="D375" s="1">
        <v>46023.41028935185</v>
      </c>
      <c r="E375">
        <v>2406.64</v>
      </c>
      <c r="F375">
        <v>70.09</v>
      </c>
      <c r="G375">
        <v>2336.5500000000002</v>
      </c>
      <c r="H375" t="s">
        <v>19</v>
      </c>
      <c r="I375" t="s">
        <v>3466</v>
      </c>
      <c r="J375" t="s">
        <v>3036</v>
      </c>
      <c r="K375">
        <v>2406.64</v>
      </c>
    </row>
    <row r="376" spans="1:11" x14ac:dyDescent="0.25">
      <c r="A376" t="s">
        <v>3467</v>
      </c>
      <c r="B376" t="s">
        <v>1080</v>
      </c>
      <c r="C376" t="s">
        <v>3034</v>
      </c>
      <c r="D376" s="1">
        <v>46024.511203703703</v>
      </c>
      <c r="E376">
        <v>2119.7199999999998</v>
      </c>
      <c r="F376">
        <v>61.77</v>
      </c>
      <c r="G376">
        <v>2057.9499999999998</v>
      </c>
      <c r="H376" t="s">
        <v>25</v>
      </c>
      <c r="I376" t="s">
        <v>3468</v>
      </c>
      <c r="J376" t="s">
        <v>3036</v>
      </c>
      <c r="K376">
        <v>2119.7199999999998</v>
      </c>
    </row>
    <row r="377" spans="1:11" x14ac:dyDescent="0.25">
      <c r="A377" t="s">
        <v>3469</v>
      </c>
      <c r="B377" t="s">
        <v>1083</v>
      </c>
      <c r="C377" t="s">
        <v>3034</v>
      </c>
      <c r="D377" s="1">
        <v>46025.631793981483</v>
      </c>
      <c r="E377">
        <v>874.64</v>
      </c>
      <c r="F377">
        <v>25.66</v>
      </c>
      <c r="G377">
        <v>848.98</v>
      </c>
      <c r="H377" t="s">
        <v>25</v>
      </c>
      <c r="I377" t="s">
        <v>3470</v>
      </c>
      <c r="J377" t="s">
        <v>3036</v>
      </c>
      <c r="K377">
        <v>874.64</v>
      </c>
    </row>
    <row r="378" spans="1:11" x14ac:dyDescent="0.25">
      <c r="A378" t="s">
        <v>3471</v>
      </c>
      <c r="B378" t="s">
        <v>1086</v>
      </c>
      <c r="C378" t="s">
        <v>3034</v>
      </c>
      <c r="D378" s="1">
        <v>46026.690185185187</v>
      </c>
      <c r="E378">
        <v>513.54999999999995</v>
      </c>
      <c r="F378">
        <v>15.19</v>
      </c>
      <c r="G378">
        <v>498.36</v>
      </c>
      <c r="H378" t="s">
        <v>25</v>
      </c>
      <c r="I378" t="s">
        <v>3472</v>
      </c>
      <c r="J378" t="s">
        <v>3036</v>
      </c>
      <c r="K378">
        <v>513.54999999999995</v>
      </c>
    </row>
    <row r="379" spans="1:11" x14ac:dyDescent="0.25">
      <c r="A379" t="s">
        <v>3473</v>
      </c>
      <c r="B379" t="s">
        <v>1089</v>
      </c>
      <c r="C379" t="s">
        <v>3034</v>
      </c>
      <c r="D379" s="1">
        <v>46027.807187500002</v>
      </c>
      <c r="E379">
        <v>2481.96</v>
      </c>
      <c r="F379">
        <v>72.28</v>
      </c>
      <c r="G379">
        <v>2409.6799999999998</v>
      </c>
      <c r="H379" t="s">
        <v>25</v>
      </c>
      <c r="I379" t="s">
        <v>3474</v>
      </c>
      <c r="J379" t="s">
        <v>3036</v>
      </c>
      <c r="K379">
        <v>2481.96</v>
      </c>
    </row>
    <row r="380" spans="1:11" x14ac:dyDescent="0.25">
      <c r="A380" t="s">
        <v>3475</v>
      </c>
      <c r="B380" t="s">
        <v>1092</v>
      </c>
      <c r="C380" t="s">
        <v>3034</v>
      </c>
      <c r="D380" s="1">
        <v>46028.884155092594</v>
      </c>
      <c r="E380">
        <v>351.15</v>
      </c>
      <c r="F380">
        <v>10.48</v>
      </c>
      <c r="G380">
        <v>340.67</v>
      </c>
      <c r="H380" t="s">
        <v>25</v>
      </c>
      <c r="I380" t="s">
        <v>3476</v>
      </c>
      <c r="J380" t="s">
        <v>3036</v>
      </c>
      <c r="K380">
        <v>351.15</v>
      </c>
    </row>
    <row r="381" spans="1:11" x14ac:dyDescent="0.25">
      <c r="A381" t="s">
        <v>3477</v>
      </c>
      <c r="B381" t="s">
        <v>1095</v>
      </c>
      <c r="C381" t="s">
        <v>3034</v>
      </c>
      <c r="D381" s="1">
        <v>46029.973761574074</v>
      </c>
      <c r="E381">
        <v>1680.45</v>
      </c>
      <c r="F381">
        <v>49.03</v>
      </c>
      <c r="G381">
        <v>1631.42</v>
      </c>
      <c r="H381" t="s">
        <v>25</v>
      </c>
      <c r="I381" t="s">
        <v>3478</v>
      </c>
      <c r="J381" t="s">
        <v>3036</v>
      </c>
      <c r="K381">
        <v>1680.45</v>
      </c>
    </row>
    <row r="382" spans="1:11" x14ac:dyDescent="0.25">
      <c r="A382" t="s">
        <v>3479</v>
      </c>
      <c r="B382" t="s">
        <v>1098</v>
      </c>
      <c r="C382" t="s">
        <v>3034</v>
      </c>
      <c r="D382" s="1">
        <v>46031.082592592589</v>
      </c>
      <c r="E382">
        <v>1514.28</v>
      </c>
      <c r="F382">
        <v>44.21</v>
      </c>
      <c r="G382">
        <v>1470.07</v>
      </c>
      <c r="H382" t="s">
        <v>25</v>
      </c>
      <c r="I382" t="s">
        <v>3480</v>
      </c>
      <c r="J382" t="s">
        <v>3036</v>
      </c>
      <c r="K382">
        <v>1514.28</v>
      </c>
    </row>
    <row r="383" spans="1:11" x14ac:dyDescent="0.25">
      <c r="A383" t="s">
        <v>3481</v>
      </c>
      <c r="B383" t="s">
        <v>1101</v>
      </c>
      <c r="C383" t="s">
        <v>3034</v>
      </c>
      <c r="D383" s="1">
        <v>46032.154641203706</v>
      </c>
      <c r="E383">
        <v>536.98</v>
      </c>
      <c r="F383">
        <v>15.87</v>
      </c>
      <c r="G383">
        <v>521.11</v>
      </c>
      <c r="H383" t="s">
        <v>25</v>
      </c>
      <c r="I383" t="s">
        <v>3482</v>
      </c>
      <c r="J383" t="s">
        <v>3036</v>
      </c>
      <c r="K383">
        <v>536.98</v>
      </c>
    </row>
    <row r="384" spans="1:11" x14ac:dyDescent="0.25">
      <c r="A384" t="s">
        <v>3483</v>
      </c>
      <c r="B384" t="s">
        <v>1104</v>
      </c>
      <c r="C384" t="s">
        <v>3034</v>
      </c>
      <c r="D384" s="1">
        <v>46032.241712962961</v>
      </c>
      <c r="E384">
        <v>2425.8200000000002</v>
      </c>
      <c r="F384">
        <v>70.650000000000006</v>
      </c>
      <c r="G384">
        <v>2355.17</v>
      </c>
      <c r="H384" t="s">
        <v>52</v>
      </c>
      <c r="I384" t="s">
        <v>3484</v>
      </c>
      <c r="J384" t="s">
        <v>3036</v>
      </c>
      <c r="K384">
        <v>2425.8200000000002</v>
      </c>
    </row>
    <row r="385" spans="1:11" x14ac:dyDescent="0.25">
      <c r="A385" t="s">
        <v>3485</v>
      </c>
      <c r="B385" t="s">
        <v>1107</v>
      </c>
      <c r="C385" t="s">
        <v>3034</v>
      </c>
      <c r="D385" s="1">
        <v>46033.35359953704</v>
      </c>
      <c r="E385">
        <v>858.24</v>
      </c>
      <c r="F385">
        <v>25.19</v>
      </c>
      <c r="G385">
        <v>833.05</v>
      </c>
      <c r="H385" t="s">
        <v>19</v>
      </c>
      <c r="I385" t="s">
        <v>3486</v>
      </c>
      <c r="J385" t="s">
        <v>3036</v>
      </c>
      <c r="K385">
        <v>858.24</v>
      </c>
    </row>
    <row r="386" spans="1:11" x14ac:dyDescent="0.25">
      <c r="A386" t="s">
        <v>3487</v>
      </c>
      <c r="B386" t="s">
        <v>1110</v>
      </c>
      <c r="C386" t="s">
        <v>3034</v>
      </c>
      <c r="D386" s="1">
        <v>46034.420810185184</v>
      </c>
      <c r="E386">
        <v>1046.23</v>
      </c>
      <c r="F386">
        <v>30.64</v>
      </c>
      <c r="G386">
        <v>1015.59</v>
      </c>
      <c r="H386" t="s">
        <v>25</v>
      </c>
      <c r="I386" t="s">
        <v>3488</v>
      </c>
      <c r="J386" t="s">
        <v>3036</v>
      </c>
      <c r="K386">
        <v>1046.23</v>
      </c>
    </row>
    <row r="387" spans="1:11" x14ac:dyDescent="0.25">
      <c r="A387" t="s">
        <v>3489</v>
      </c>
      <c r="B387" t="s">
        <v>1113</v>
      </c>
      <c r="C387" t="s">
        <v>3034</v>
      </c>
      <c r="D387" s="1">
        <v>46035.533576388887</v>
      </c>
      <c r="E387">
        <v>71.31</v>
      </c>
      <c r="F387">
        <v>2.37</v>
      </c>
      <c r="G387">
        <v>68.94</v>
      </c>
      <c r="H387" t="s">
        <v>25</v>
      </c>
      <c r="I387" t="s">
        <v>3490</v>
      </c>
      <c r="J387" t="s">
        <v>3036</v>
      </c>
      <c r="K387">
        <v>71.31</v>
      </c>
    </row>
    <row r="388" spans="1:11" x14ac:dyDescent="0.25">
      <c r="A388" t="s">
        <v>3491</v>
      </c>
      <c r="B388" t="s">
        <v>1116</v>
      </c>
      <c r="C388" t="s">
        <v>3034</v>
      </c>
      <c r="D388" s="1">
        <v>46036.622800925928</v>
      </c>
      <c r="E388">
        <v>221.4</v>
      </c>
      <c r="F388">
        <v>6.72</v>
      </c>
      <c r="G388">
        <v>214.68</v>
      </c>
      <c r="H388" t="s">
        <v>25</v>
      </c>
      <c r="I388" t="s">
        <v>3492</v>
      </c>
      <c r="J388" t="s">
        <v>3036</v>
      </c>
      <c r="K388">
        <v>221.4</v>
      </c>
    </row>
    <row r="389" spans="1:11" x14ac:dyDescent="0.25">
      <c r="A389" t="s">
        <v>3493</v>
      </c>
      <c r="B389" t="s">
        <v>1119</v>
      </c>
      <c r="C389" t="s">
        <v>3034</v>
      </c>
      <c r="D389" s="1">
        <v>46023.726712962962</v>
      </c>
      <c r="E389">
        <v>1852.59</v>
      </c>
      <c r="F389">
        <v>54.03</v>
      </c>
      <c r="G389">
        <v>1798.56</v>
      </c>
      <c r="H389" t="s">
        <v>25</v>
      </c>
      <c r="I389" t="s">
        <v>3494</v>
      </c>
      <c r="J389" t="s">
        <v>3036</v>
      </c>
      <c r="K389">
        <v>1852.59</v>
      </c>
    </row>
    <row r="390" spans="1:11" x14ac:dyDescent="0.25">
      <c r="A390" t="s">
        <v>3495</v>
      </c>
      <c r="B390" t="s">
        <v>1122</v>
      </c>
      <c r="C390" t="s">
        <v>3034</v>
      </c>
      <c r="D390" s="1">
        <v>46024.791539351849</v>
      </c>
      <c r="E390">
        <v>307.02999999999997</v>
      </c>
      <c r="F390">
        <v>9.1999999999999993</v>
      </c>
      <c r="G390">
        <v>297.83</v>
      </c>
      <c r="H390" t="s">
        <v>25</v>
      </c>
      <c r="I390" t="s">
        <v>3468</v>
      </c>
      <c r="J390" t="s">
        <v>3036</v>
      </c>
      <c r="K390">
        <v>307.02999999999997</v>
      </c>
    </row>
    <row r="391" spans="1:11" x14ac:dyDescent="0.25">
      <c r="A391" t="s">
        <v>3496</v>
      </c>
      <c r="B391" t="s">
        <v>1125</v>
      </c>
      <c r="C391" t="s">
        <v>3034</v>
      </c>
      <c r="D391" s="1">
        <v>46025.908900462964</v>
      </c>
      <c r="E391">
        <v>1279.97</v>
      </c>
      <c r="F391">
        <v>37.42</v>
      </c>
      <c r="G391">
        <v>1242.55</v>
      </c>
      <c r="H391" t="s">
        <v>25</v>
      </c>
      <c r="I391" t="s">
        <v>3470</v>
      </c>
      <c r="J391" t="s">
        <v>3036</v>
      </c>
      <c r="K391">
        <v>1279.97</v>
      </c>
    </row>
    <row r="392" spans="1:11" x14ac:dyDescent="0.25">
      <c r="A392" t="s">
        <v>3497</v>
      </c>
      <c r="B392" t="s">
        <v>1125</v>
      </c>
      <c r="C392" t="s">
        <v>3076</v>
      </c>
      <c r="D392" s="1">
        <v>46026.901956018519</v>
      </c>
      <c r="E392">
        <v>-639.99</v>
      </c>
      <c r="F392">
        <v>0</v>
      </c>
      <c r="G392">
        <v>-639.99</v>
      </c>
      <c r="H392" t="s">
        <v>25</v>
      </c>
      <c r="I392" t="s">
        <v>3498</v>
      </c>
      <c r="J392" t="s">
        <v>3036</v>
      </c>
      <c r="K392">
        <v>-639.99</v>
      </c>
    </row>
    <row r="393" spans="1:11" x14ac:dyDescent="0.25">
      <c r="A393" t="s">
        <v>3499</v>
      </c>
      <c r="B393" t="s">
        <v>1128</v>
      </c>
      <c r="C393" t="s">
        <v>3034</v>
      </c>
      <c r="D393" s="1">
        <v>46027.001701388886</v>
      </c>
      <c r="E393">
        <v>1354.32</v>
      </c>
      <c r="F393">
        <v>39.58</v>
      </c>
      <c r="G393">
        <v>1314.74</v>
      </c>
      <c r="H393" t="s">
        <v>25</v>
      </c>
      <c r="I393" t="s">
        <v>3472</v>
      </c>
      <c r="J393" t="s">
        <v>3036</v>
      </c>
      <c r="K393">
        <v>1354.32</v>
      </c>
    </row>
    <row r="394" spans="1:11" x14ac:dyDescent="0.25">
      <c r="A394" t="s">
        <v>3500</v>
      </c>
      <c r="B394" t="s">
        <v>1131</v>
      </c>
      <c r="C394" t="s">
        <v>3034</v>
      </c>
      <c r="D394" s="1">
        <v>46028.059166666666</v>
      </c>
      <c r="E394">
        <v>1064.79</v>
      </c>
      <c r="F394">
        <v>31.18</v>
      </c>
      <c r="G394">
        <v>1033.6099999999999</v>
      </c>
      <c r="H394" t="s">
        <v>25</v>
      </c>
      <c r="I394" t="s">
        <v>3474</v>
      </c>
      <c r="J394" t="s">
        <v>3036</v>
      </c>
      <c r="K394">
        <v>1064.79</v>
      </c>
    </row>
    <row r="395" spans="1:11" x14ac:dyDescent="0.25">
      <c r="A395" t="s">
        <v>3501</v>
      </c>
      <c r="B395" t="s">
        <v>1134</v>
      </c>
      <c r="C395" t="s">
        <v>3034</v>
      </c>
      <c r="D395" s="1">
        <v>46029.164687500001</v>
      </c>
      <c r="E395">
        <v>347.85</v>
      </c>
      <c r="F395">
        <v>10.39</v>
      </c>
      <c r="G395">
        <v>337.46</v>
      </c>
      <c r="H395" t="s">
        <v>52</v>
      </c>
      <c r="I395" t="s">
        <v>3502</v>
      </c>
      <c r="J395" t="s">
        <v>3036</v>
      </c>
      <c r="K395">
        <v>347.85</v>
      </c>
    </row>
    <row r="396" spans="1:11" x14ac:dyDescent="0.25">
      <c r="A396" t="s">
        <v>3503</v>
      </c>
      <c r="B396" t="s">
        <v>1137</v>
      </c>
      <c r="C396" t="s">
        <v>3034</v>
      </c>
      <c r="D396" s="1">
        <v>46029.273738425924</v>
      </c>
      <c r="E396">
        <v>236</v>
      </c>
      <c r="F396">
        <v>7.14</v>
      </c>
      <c r="G396">
        <v>228.86</v>
      </c>
      <c r="H396" t="s">
        <v>19</v>
      </c>
      <c r="I396" t="s">
        <v>3504</v>
      </c>
      <c r="J396" t="s">
        <v>3036</v>
      </c>
      <c r="K396">
        <v>236</v>
      </c>
    </row>
    <row r="397" spans="1:11" x14ac:dyDescent="0.25">
      <c r="A397" t="s">
        <v>3505</v>
      </c>
      <c r="B397" t="s">
        <v>1140</v>
      </c>
      <c r="C397" t="s">
        <v>3034</v>
      </c>
      <c r="D397" s="1">
        <v>46030.350972222222</v>
      </c>
      <c r="E397">
        <v>1615.31</v>
      </c>
      <c r="F397">
        <v>47.14</v>
      </c>
      <c r="G397">
        <v>1568.17</v>
      </c>
      <c r="H397" t="s">
        <v>25</v>
      </c>
      <c r="I397" t="s">
        <v>3480</v>
      </c>
      <c r="J397" t="s">
        <v>3036</v>
      </c>
      <c r="K397">
        <v>1615.31</v>
      </c>
    </row>
    <row r="398" spans="1:11" x14ac:dyDescent="0.25">
      <c r="A398" t="s">
        <v>3506</v>
      </c>
      <c r="B398" t="s">
        <v>1143</v>
      </c>
      <c r="C398" t="s">
        <v>3034</v>
      </c>
      <c r="D398" s="1">
        <v>46031.427048611113</v>
      </c>
      <c r="E398">
        <v>2307.9</v>
      </c>
      <c r="F398">
        <v>67.23</v>
      </c>
      <c r="G398">
        <v>2240.67</v>
      </c>
      <c r="H398" t="s">
        <v>25</v>
      </c>
      <c r="I398" t="s">
        <v>3482</v>
      </c>
      <c r="J398" t="s">
        <v>3036</v>
      </c>
      <c r="K398">
        <v>2307.9</v>
      </c>
    </row>
    <row r="399" spans="1:11" x14ac:dyDescent="0.25">
      <c r="A399" t="s">
        <v>3507</v>
      </c>
      <c r="B399" t="s">
        <v>1146</v>
      </c>
      <c r="C399" t="s">
        <v>3034</v>
      </c>
      <c r="D399" s="1">
        <v>46032.522569444445</v>
      </c>
      <c r="E399">
        <v>1852.64</v>
      </c>
      <c r="F399">
        <v>54.03</v>
      </c>
      <c r="G399">
        <v>1798.61</v>
      </c>
      <c r="H399" t="s">
        <v>25</v>
      </c>
      <c r="I399" t="s">
        <v>3508</v>
      </c>
      <c r="J399" t="s">
        <v>3036</v>
      </c>
      <c r="K399">
        <v>1852.64</v>
      </c>
    </row>
    <row r="400" spans="1:11" x14ac:dyDescent="0.25">
      <c r="A400" t="s">
        <v>3509</v>
      </c>
      <c r="B400" t="s">
        <v>1149</v>
      </c>
      <c r="C400" t="s">
        <v>3034</v>
      </c>
      <c r="D400" s="1">
        <v>46033.608414351853</v>
      </c>
      <c r="E400">
        <v>1994.5</v>
      </c>
      <c r="F400">
        <v>58.14</v>
      </c>
      <c r="G400">
        <v>1936.36</v>
      </c>
      <c r="H400" t="s">
        <v>25</v>
      </c>
      <c r="I400" t="s">
        <v>3510</v>
      </c>
      <c r="J400" t="s">
        <v>3036</v>
      </c>
      <c r="K400">
        <v>1994.5</v>
      </c>
    </row>
    <row r="401" spans="1:11" x14ac:dyDescent="0.25">
      <c r="A401" t="s">
        <v>3511</v>
      </c>
      <c r="B401" t="s">
        <v>1152</v>
      </c>
      <c r="C401" t="s">
        <v>3034</v>
      </c>
      <c r="D401" s="1">
        <v>46034.708437499998</v>
      </c>
      <c r="E401">
        <v>1197.72</v>
      </c>
      <c r="F401">
        <v>35.03</v>
      </c>
      <c r="G401">
        <v>1162.69</v>
      </c>
      <c r="H401" t="s">
        <v>25</v>
      </c>
      <c r="I401" t="s">
        <v>3512</v>
      </c>
      <c r="J401" t="s">
        <v>3036</v>
      </c>
      <c r="K401">
        <v>1197.72</v>
      </c>
    </row>
    <row r="402" spans="1:11" x14ac:dyDescent="0.25">
      <c r="A402" t="s">
        <v>3513</v>
      </c>
      <c r="B402" t="s">
        <v>1155</v>
      </c>
      <c r="C402" t="s">
        <v>3034</v>
      </c>
      <c r="D402" s="1">
        <v>46035.810740740744</v>
      </c>
      <c r="E402">
        <v>1794.02</v>
      </c>
      <c r="F402">
        <v>52.33</v>
      </c>
      <c r="G402">
        <v>1741.69</v>
      </c>
      <c r="H402" t="s">
        <v>25</v>
      </c>
      <c r="I402" t="s">
        <v>3490</v>
      </c>
      <c r="J402" t="s">
        <v>3036</v>
      </c>
      <c r="K402">
        <v>1794.02</v>
      </c>
    </row>
    <row r="403" spans="1:11" x14ac:dyDescent="0.25">
      <c r="A403" t="s">
        <v>3514</v>
      </c>
      <c r="B403" t="s">
        <v>1158</v>
      </c>
      <c r="C403" t="s">
        <v>3034</v>
      </c>
      <c r="D403" s="1">
        <v>46036.890324074076</v>
      </c>
      <c r="E403">
        <v>2300.46</v>
      </c>
      <c r="F403">
        <v>67.010000000000005</v>
      </c>
      <c r="G403">
        <v>2233.4499999999998</v>
      </c>
      <c r="H403" t="s">
        <v>52</v>
      </c>
      <c r="I403" t="s">
        <v>3515</v>
      </c>
      <c r="J403" t="s">
        <v>3036</v>
      </c>
      <c r="K403">
        <v>2300.46</v>
      </c>
    </row>
    <row r="404" spans="1:11" x14ac:dyDescent="0.25">
      <c r="A404" t="s">
        <v>3516</v>
      </c>
      <c r="B404" t="s">
        <v>1161</v>
      </c>
      <c r="C404" t="s">
        <v>3034</v>
      </c>
      <c r="D404" s="1">
        <v>46023.986250000002</v>
      </c>
      <c r="E404">
        <v>771.88</v>
      </c>
      <c r="F404">
        <v>22.68</v>
      </c>
      <c r="G404">
        <v>749.2</v>
      </c>
      <c r="H404" t="s">
        <v>25</v>
      </c>
      <c r="I404" t="s">
        <v>3494</v>
      </c>
      <c r="J404" t="s">
        <v>3036</v>
      </c>
      <c r="K404">
        <v>771.88</v>
      </c>
    </row>
    <row r="405" spans="1:11" x14ac:dyDescent="0.25">
      <c r="A405" t="s">
        <v>3517</v>
      </c>
      <c r="B405" t="s">
        <v>1164</v>
      </c>
      <c r="C405" t="s">
        <v>3034</v>
      </c>
      <c r="D405" s="1">
        <v>46025.070057870369</v>
      </c>
      <c r="E405">
        <v>69.66</v>
      </c>
      <c r="F405">
        <v>2.3199999999999998</v>
      </c>
      <c r="G405">
        <v>67.34</v>
      </c>
      <c r="H405" t="s">
        <v>52</v>
      </c>
      <c r="I405" t="s">
        <v>3518</v>
      </c>
      <c r="J405" t="s">
        <v>3036</v>
      </c>
      <c r="K405">
        <v>69.66</v>
      </c>
    </row>
    <row r="406" spans="1:11" x14ac:dyDescent="0.25">
      <c r="A406" t="s">
        <v>3519</v>
      </c>
      <c r="B406" t="s">
        <v>1167</v>
      </c>
      <c r="C406" t="s">
        <v>3034</v>
      </c>
      <c r="D406" s="1">
        <v>46026.185104166667</v>
      </c>
      <c r="E406">
        <v>837.41</v>
      </c>
      <c r="F406">
        <v>24.58</v>
      </c>
      <c r="G406">
        <v>812.83</v>
      </c>
      <c r="H406" t="s">
        <v>19</v>
      </c>
      <c r="I406" t="s">
        <v>3520</v>
      </c>
      <c r="J406" t="s">
        <v>3036</v>
      </c>
      <c r="K406">
        <v>837.41</v>
      </c>
    </row>
    <row r="407" spans="1:11" x14ac:dyDescent="0.25">
      <c r="A407" t="s">
        <v>3521</v>
      </c>
      <c r="B407" t="s">
        <v>1170</v>
      </c>
      <c r="C407" t="s">
        <v>3034</v>
      </c>
      <c r="D407" s="1">
        <v>46026.283009259256</v>
      </c>
      <c r="E407">
        <v>1695.16</v>
      </c>
      <c r="F407">
        <v>49.46</v>
      </c>
      <c r="G407">
        <v>1645.7</v>
      </c>
      <c r="H407" t="s">
        <v>25</v>
      </c>
      <c r="I407" t="s">
        <v>3472</v>
      </c>
      <c r="J407" t="s">
        <v>3036</v>
      </c>
      <c r="K407">
        <v>1695.16</v>
      </c>
    </row>
    <row r="408" spans="1:11" x14ac:dyDescent="0.25">
      <c r="A408" t="s">
        <v>3522</v>
      </c>
      <c r="B408" t="s">
        <v>1170</v>
      </c>
      <c r="C408" t="s">
        <v>3076</v>
      </c>
      <c r="D408" s="1">
        <v>46027.276064814818</v>
      </c>
      <c r="E408">
        <v>-847.58</v>
      </c>
      <c r="F408">
        <v>0</v>
      </c>
      <c r="G408">
        <v>-847.58</v>
      </c>
      <c r="H408" t="s">
        <v>25</v>
      </c>
      <c r="I408" t="s">
        <v>3523</v>
      </c>
      <c r="J408" t="s">
        <v>3036</v>
      </c>
      <c r="K408">
        <v>-847.58</v>
      </c>
    </row>
    <row r="409" spans="1:11" x14ac:dyDescent="0.25">
      <c r="A409" t="s">
        <v>3524</v>
      </c>
      <c r="B409" t="s">
        <v>1173</v>
      </c>
      <c r="C409" t="s">
        <v>3034</v>
      </c>
      <c r="D409" s="1">
        <v>46027.372094907405</v>
      </c>
      <c r="E409">
        <v>2305.9</v>
      </c>
      <c r="F409">
        <v>67.17</v>
      </c>
      <c r="G409">
        <v>2238.73</v>
      </c>
      <c r="H409" t="s">
        <v>25</v>
      </c>
      <c r="I409" t="s">
        <v>3474</v>
      </c>
      <c r="J409" t="s">
        <v>3036</v>
      </c>
      <c r="K409">
        <v>2305.9</v>
      </c>
    </row>
    <row r="410" spans="1:11" x14ac:dyDescent="0.25">
      <c r="A410" t="s">
        <v>3525</v>
      </c>
      <c r="B410" t="s">
        <v>1176</v>
      </c>
      <c r="C410" t="s">
        <v>3034</v>
      </c>
      <c r="D410" s="1">
        <v>46028.441736111112</v>
      </c>
      <c r="E410">
        <v>2390.87</v>
      </c>
      <c r="F410">
        <v>69.64</v>
      </c>
      <c r="G410">
        <v>2321.23</v>
      </c>
      <c r="H410" t="s">
        <v>25</v>
      </c>
      <c r="I410" t="s">
        <v>3476</v>
      </c>
      <c r="J410" t="s">
        <v>3036</v>
      </c>
      <c r="K410">
        <v>2390.87</v>
      </c>
    </row>
    <row r="411" spans="1:11" x14ac:dyDescent="0.25">
      <c r="A411" t="s">
        <v>3526</v>
      </c>
      <c r="B411" t="s">
        <v>1179</v>
      </c>
      <c r="C411" t="s">
        <v>3034</v>
      </c>
      <c r="D411" s="1">
        <v>46029.540567129632</v>
      </c>
      <c r="E411">
        <v>1039.07</v>
      </c>
      <c r="F411">
        <v>30.43</v>
      </c>
      <c r="G411">
        <v>1008.64</v>
      </c>
      <c r="H411" t="s">
        <v>25</v>
      </c>
      <c r="I411" t="s">
        <v>3478</v>
      </c>
      <c r="J411" t="s">
        <v>3036</v>
      </c>
      <c r="K411">
        <v>1039.07</v>
      </c>
    </row>
    <row r="412" spans="1:11" x14ac:dyDescent="0.25">
      <c r="A412" t="s">
        <v>3527</v>
      </c>
      <c r="B412" t="s">
        <v>1182</v>
      </c>
      <c r="C412" t="s">
        <v>3034</v>
      </c>
      <c r="D412" s="1">
        <v>46030.644699074073</v>
      </c>
      <c r="E412">
        <v>276.97000000000003</v>
      </c>
      <c r="F412">
        <v>8.33</v>
      </c>
      <c r="G412">
        <v>268.64</v>
      </c>
      <c r="H412" t="s">
        <v>25</v>
      </c>
      <c r="I412" t="s">
        <v>3480</v>
      </c>
      <c r="J412" t="s">
        <v>3036</v>
      </c>
      <c r="K412">
        <v>276.97000000000003</v>
      </c>
    </row>
    <row r="413" spans="1:11" x14ac:dyDescent="0.25">
      <c r="A413" t="s">
        <v>3528</v>
      </c>
      <c r="B413" t="s">
        <v>1185</v>
      </c>
      <c r="C413" t="s">
        <v>3034</v>
      </c>
      <c r="D413" s="1">
        <v>46031.709780092591</v>
      </c>
      <c r="E413">
        <v>2373.16</v>
      </c>
      <c r="F413">
        <v>69.12</v>
      </c>
      <c r="G413">
        <v>2304.04</v>
      </c>
      <c r="H413" t="s">
        <v>25</v>
      </c>
      <c r="I413" t="s">
        <v>3482</v>
      </c>
      <c r="J413" t="s">
        <v>3036</v>
      </c>
      <c r="K413">
        <v>2373.16</v>
      </c>
    </row>
    <row r="414" spans="1:11" x14ac:dyDescent="0.25">
      <c r="A414" t="s">
        <v>3529</v>
      </c>
      <c r="B414" t="s">
        <v>1188</v>
      </c>
      <c r="C414" t="s">
        <v>3034</v>
      </c>
      <c r="D414" s="1">
        <v>46032.823784722219</v>
      </c>
      <c r="E414">
        <v>1141.77</v>
      </c>
      <c r="F414">
        <v>33.409999999999997</v>
      </c>
      <c r="G414">
        <v>1108.3599999999999</v>
      </c>
      <c r="H414" t="s">
        <v>25</v>
      </c>
      <c r="I414" t="s">
        <v>3530</v>
      </c>
      <c r="J414" t="s">
        <v>3036</v>
      </c>
      <c r="K414">
        <v>1141.77</v>
      </c>
    </row>
    <row r="415" spans="1:11" x14ac:dyDescent="0.25">
      <c r="A415" t="s">
        <v>3531</v>
      </c>
      <c r="B415" t="s">
        <v>1191</v>
      </c>
      <c r="C415" t="s">
        <v>3034</v>
      </c>
      <c r="D415" s="1">
        <v>46033.909571759257</v>
      </c>
      <c r="E415">
        <v>1995.24</v>
      </c>
      <c r="F415">
        <v>58.16</v>
      </c>
      <c r="G415">
        <v>1937.08</v>
      </c>
      <c r="H415" t="s">
        <v>25</v>
      </c>
      <c r="I415" t="s">
        <v>3510</v>
      </c>
      <c r="J415" t="s">
        <v>3036</v>
      </c>
      <c r="K415">
        <v>1995.24</v>
      </c>
    </row>
    <row r="416" spans="1:11" x14ac:dyDescent="0.25">
      <c r="A416" t="s">
        <v>3532</v>
      </c>
      <c r="B416" t="s">
        <v>1194</v>
      </c>
      <c r="C416" t="s">
        <v>3034</v>
      </c>
      <c r="D416" s="1">
        <v>46034.982175925928</v>
      </c>
      <c r="E416">
        <v>533.07000000000005</v>
      </c>
      <c r="F416">
        <v>15.76</v>
      </c>
      <c r="G416">
        <v>517.30999999999995</v>
      </c>
      <c r="H416" t="s">
        <v>52</v>
      </c>
      <c r="I416" t="s">
        <v>3533</v>
      </c>
      <c r="J416" t="s">
        <v>3036</v>
      </c>
      <c r="K416">
        <v>533.07000000000005</v>
      </c>
    </row>
    <row r="417" spans="1:11" x14ac:dyDescent="0.25">
      <c r="A417" t="s">
        <v>3534</v>
      </c>
      <c r="B417" t="s">
        <v>1197</v>
      </c>
      <c r="C417" t="s">
        <v>3034</v>
      </c>
      <c r="D417" s="1">
        <v>46036.077719907407</v>
      </c>
      <c r="E417">
        <v>805.73</v>
      </c>
      <c r="F417">
        <v>23.67</v>
      </c>
      <c r="G417">
        <v>782.06</v>
      </c>
      <c r="H417" t="s">
        <v>19</v>
      </c>
      <c r="I417" t="s">
        <v>3535</v>
      </c>
      <c r="J417" t="s">
        <v>3036</v>
      </c>
      <c r="K417">
        <v>805.73</v>
      </c>
    </row>
    <row r="418" spans="1:11" x14ac:dyDescent="0.25">
      <c r="A418" t="s">
        <v>3536</v>
      </c>
      <c r="B418" t="s">
        <v>1200</v>
      </c>
      <c r="C418" t="s">
        <v>3034</v>
      </c>
      <c r="D418" s="1">
        <v>46037.200358796297</v>
      </c>
      <c r="E418">
        <v>1488.85</v>
      </c>
      <c r="F418">
        <v>43.48</v>
      </c>
      <c r="G418">
        <v>1445.37</v>
      </c>
      <c r="H418" t="s">
        <v>25</v>
      </c>
      <c r="I418" t="s">
        <v>3492</v>
      </c>
      <c r="J418" t="s">
        <v>3036</v>
      </c>
      <c r="K418">
        <v>1488.85</v>
      </c>
    </row>
    <row r="419" spans="1:11" x14ac:dyDescent="0.25">
      <c r="A419" t="s">
        <v>3537</v>
      </c>
      <c r="B419" t="s">
        <v>1203</v>
      </c>
      <c r="C419" t="s">
        <v>3034</v>
      </c>
      <c r="D419" s="1">
        <v>46023.269236111111</v>
      </c>
      <c r="E419">
        <v>498.35</v>
      </c>
      <c r="F419">
        <v>14.75</v>
      </c>
      <c r="G419">
        <v>483.6</v>
      </c>
      <c r="H419" t="s">
        <v>25</v>
      </c>
      <c r="I419" t="s">
        <v>3494</v>
      </c>
      <c r="J419" t="s">
        <v>3036</v>
      </c>
      <c r="K419">
        <v>498.35</v>
      </c>
    </row>
    <row r="420" spans="1:11" x14ac:dyDescent="0.25">
      <c r="A420" t="s">
        <v>3538</v>
      </c>
      <c r="B420" t="s">
        <v>1206</v>
      </c>
      <c r="C420" t="s">
        <v>3034</v>
      </c>
      <c r="D420" s="1">
        <v>46024.364664351851</v>
      </c>
      <c r="E420">
        <v>1055.67</v>
      </c>
      <c r="F420">
        <v>30.91</v>
      </c>
      <c r="G420">
        <v>1024.76</v>
      </c>
      <c r="H420" t="s">
        <v>25</v>
      </c>
      <c r="I420" t="s">
        <v>3468</v>
      </c>
      <c r="J420" t="s">
        <v>3036</v>
      </c>
      <c r="K420">
        <v>1055.67</v>
      </c>
    </row>
    <row r="421" spans="1:11" x14ac:dyDescent="0.25">
      <c r="A421" t="s">
        <v>3539</v>
      </c>
      <c r="B421" t="s">
        <v>1209</v>
      </c>
      <c r="C421" t="s">
        <v>3034</v>
      </c>
      <c r="D421" s="1">
        <v>46025.455694444441</v>
      </c>
      <c r="E421">
        <v>2364.77</v>
      </c>
      <c r="F421">
        <v>68.88</v>
      </c>
      <c r="G421">
        <v>2295.89</v>
      </c>
      <c r="H421" t="s">
        <v>25</v>
      </c>
      <c r="I421" t="s">
        <v>3470</v>
      </c>
      <c r="J421" t="s">
        <v>3036</v>
      </c>
      <c r="K421">
        <v>2364.77</v>
      </c>
    </row>
    <row r="422" spans="1:11" x14ac:dyDescent="0.25">
      <c r="A422" t="s">
        <v>3540</v>
      </c>
      <c r="B422" t="s">
        <v>1212</v>
      </c>
      <c r="C422" t="s">
        <v>3034</v>
      </c>
      <c r="D422" s="1">
        <v>46026.532696759263</v>
      </c>
      <c r="E422">
        <v>1056.45</v>
      </c>
      <c r="F422">
        <v>30.94</v>
      </c>
      <c r="G422">
        <v>1025.51</v>
      </c>
      <c r="H422" t="s">
        <v>25</v>
      </c>
      <c r="I422" t="s">
        <v>3472</v>
      </c>
      <c r="J422" t="s">
        <v>3036</v>
      </c>
      <c r="K422">
        <v>1056.45</v>
      </c>
    </row>
    <row r="423" spans="1:11" x14ac:dyDescent="0.25">
      <c r="A423" t="s">
        <v>3541</v>
      </c>
      <c r="B423" t="s">
        <v>1215</v>
      </c>
      <c r="C423" t="s">
        <v>3034</v>
      </c>
      <c r="D423" s="1">
        <v>46027.663981481484</v>
      </c>
      <c r="E423">
        <v>20.72</v>
      </c>
      <c r="F423">
        <v>0.9</v>
      </c>
      <c r="G423">
        <v>19.82</v>
      </c>
      <c r="H423" t="s">
        <v>25</v>
      </c>
      <c r="I423" t="s">
        <v>3474</v>
      </c>
      <c r="J423" t="s">
        <v>3036</v>
      </c>
      <c r="K423">
        <v>20.72</v>
      </c>
    </row>
    <row r="424" spans="1:11" x14ac:dyDescent="0.25">
      <c r="A424" t="s">
        <v>3542</v>
      </c>
      <c r="B424" t="s">
        <v>1218</v>
      </c>
      <c r="C424" t="s">
        <v>3034</v>
      </c>
      <c r="D424" s="1">
        <v>46028.728668981479</v>
      </c>
      <c r="E424">
        <v>1134.6099999999999</v>
      </c>
      <c r="F424">
        <v>33.200000000000003</v>
      </c>
      <c r="G424">
        <v>1101.4100000000001</v>
      </c>
      <c r="H424" t="s">
        <v>25</v>
      </c>
      <c r="I424" t="s">
        <v>3476</v>
      </c>
      <c r="J424" t="s">
        <v>3036</v>
      </c>
      <c r="K424">
        <v>1134.6099999999999</v>
      </c>
    </row>
    <row r="425" spans="1:11" x14ac:dyDescent="0.25">
      <c r="A425" t="s">
        <v>3543</v>
      </c>
      <c r="B425" t="s">
        <v>1221</v>
      </c>
      <c r="C425" t="s">
        <v>3034</v>
      </c>
      <c r="D425" s="1">
        <v>46029.838796296295</v>
      </c>
      <c r="E425">
        <v>1377.91</v>
      </c>
      <c r="F425">
        <v>40.26</v>
      </c>
      <c r="G425">
        <v>1337.65</v>
      </c>
      <c r="H425" t="s">
        <v>25</v>
      </c>
      <c r="I425" t="s">
        <v>3478</v>
      </c>
      <c r="J425" t="s">
        <v>3036</v>
      </c>
      <c r="K425">
        <v>1377.91</v>
      </c>
    </row>
    <row r="426" spans="1:11" x14ac:dyDescent="0.25">
      <c r="A426" t="s">
        <v>3544</v>
      </c>
      <c r="B426" t="s">
        <v>1224</v>
      </c>
      <c r="C426" t="s">
        <v>3034</v>
      </c>
      <c r="D426" s="1">
        <v>46030.931250000001</v>
      </c>
      <c r="E426">
        <v>84.97</v>
      </c>
      <c r="F426">
        <v>2.76</v>
      </c>
      <c r="G426">
        <v>82.21</v>
      </c>
      <c r="H426" t="s">
        <v>52</v>
      </c>
      <c r="I426" t="s">
        <v>3545</v>
      </c>
      <c r="J426" t="s">
        <v>3036</v>
      </c>
      <c r="K426">
        <v>84.97</v>
      </c>
    </row>
    <row r="427" spans="1:11" x14ac:dyDescent="0.25">
      <c r="A427" t="s">
        <v>3546</v>
      </c>
      <c r="B427" t="s">
        <v>1224</v>
      </c>
      <c r="C427" t="s">
        <v>3076</v>
      </c>
      <c r="D427" s="1">
        <v>46031.924305555556</v>
      </c>
      <c r="E427">
        <v>-42.49</v>
      </c>
      <c r="F427">
        <v>0</v>
      </c>
      <c r="G427">
        <v>-42.49</v>
      </c>
      <c r="H427" t="s">
        <v>52</v>
      </c>
      <c r="I427" t="s">
        <v>3547</v>
      </c>
      <c r="J427" t="s">
        <v>3036</v>
      </c>
      <c r="K427">
        <v>-42.49</v>
      </c>
    </row>
    <row r="428" spans="1:11" x14ac:dyDescent="0.25">
      <c r="A428" t="s">
        <v>3548</v>
      </c>
      <c r="B428" t="s">
        <v>1227</v>
      </c>
      <c r="C428" t="s">
        <v>3034</v>
      </c>
      <c r="D428" s="1">
        <v>46032.015370370369</v>
      </c>
      <c r="E428">
        <v>842.79</v>
      </c>
      <c r="F428">
        <v>24.74</v>
      </c>
      <c r="G428">
        <v>818.05</v>
      </c>
      <c r="H428" t="s">
        <v>19</v>
      </c>
      <c r="I428" t="s">
        <v>3549</v>
      </c>
      <c r="J428" t="s">
        <v>3036</v>
      </c>
      <c r="K428">
        <v>842.79</v>
      </c>
    </row>
    <row r="429" spans="1:11" x14ac:dyDescent="0.25">
      <c r="A429" t="s">
        <v>3550</v>
      </c>
      <c r="B429" t="s">
        <v>1230</v>
      </c>
      <c r="C429" t="s">
        <v>3034</v>
      </c>
      <c r="D429" s="1">
        <v>46033.098657407405</v>
      </c>
      <c r="E429">
        <v>1265.6099999999999</v>
      </c>
      <c r="F429">
        <v>37</v>
      </c>
      <c r="G429">
        <v>1228.6099999999999</v>
      </c>
      <c r="H429" t="s">
        <v>25</v>
      </c>
      <c r="I429" t="s">
        <v>3530</v>
      </c>
      <c r="J429" t="s">
        <v>3036</v>
      </c>
      <c r="K429">
        <v>1265.6099999999999</v>
      </c>
    </row>
    <row r="430" spans="1:11" x14ac:dyDescent="0.25">
      <c r="A430" t="s">
        <v>3551</v>
      </c>
      <c r="B430" t="s">
        <v>1233</v>
      </c>
      <c r="C430" t="s">
        <v>3034</v>
      </c>
      <c r="D430" s="1">
        <v>46034.193356481483</v>
      </c>
      <c r="E430">
        <v>908.71</v>
      </c>
      <c r="F430">
        <v>26.65</v>
      </c>
      <c r="G430">
        <v>882.06</v>
      </c>
      <c r="H430" t="s">
        <v>25</v>
      </c>
      <c r="I430" t="s">
        <v>3510</v>
      </c>
      <c r="J430" t="s">
        <v>3036</v>
      </c>
      <c r="K430">
        <v>908.71</v>
      </c>
    </row>
    <row r="431" spans="1:11" x14ac:dyDescent="0.25">
      <c r="A431" t="s">
        <v>3552</v>
      </c>
      <c r="B431" t="s">
        <v>1236</v>
      </c>
      <c r="C431" t="s">
        <v>3034</v>
      </c>
      <c r="D431" s="1">
        <v>46034.281134259261</v>
      </c>
      <c r="E431">
        <v>2174.16</v>
      </c>
      <c r="F431">
        <v>63.35</v>
      </c>
      <c r="G431">
        <v>2110.81</v>
      </c>
      <c r="H431" t="s">
        <v>25</v>
      </c>
      <c r="I431" t="s">
        <v>3553</v>
      </c>
      <c r="J431" t="s">
        <v>3036</v>
      </c>
      <c r="K431">
        <v>2174.16</v>
      </c>
    </row>
    <row r="432" spans="1:11" x14ac:dyDescent="0.25">
      <c r="A432" t="s">
        <v>3554</v>
      </c>
      <c r="B432" t="s">
        <v>1239</v>
      </c>
      <c r="C432" t="s">
        <v>3034</v>
      </c>
      <c r="D432" s="1">
        <v>46035.369293981479</v>
      </c>
      <c r="E432">
        <v>768.12</v>
      </c>
      <c r="F432">
        <v>22.58</v>
      </c>
      <c r="G432">
        <v>745.54</v>
      </c>
      <c r="H432" t="s">
        <v>25</v>
      </c>
      <c r="I432" t="s">
        <v>3490</v>
      </c>
      <c r="J432" t="s">
        <v>3036</v>
      </c>
      <c r="K432">
        <v>768.12</v>
      </c>
    </row>
    <row r="433" spans="1:11" x14ac:dyDescent="0.25">
      <c r="A433" t="s">
        <v>3555</v>
      </c>
      <c r="B433" t="s">
        <v>1242</v>
      </c>
      <c r="C433" t="s">
        <v>3034</v>
      </c>
      <c r="D433" s="1">
        <v>46036.458020833335</v>
      </c>
      <c r="E433">
        <v>48.65</v>
      </c>
      <c r="F433">
        <v>1.71</v>
      </c>
      <c r="G433">
        <v>46.94</v>
      </c>
      <c r="H433" t="s">
        <v>25</v>
      </c>
      <c r="I433" t="s">
        <v>3492</v>
      </c>
      <c r="J433" t="s">
        <v>3036</v>
      </c>
      <c r="K433">
        <v>48.65</v>
      </c>
    </row>
    <row r="434" spans="1:11" x14ac:dyDescent="0.25">
      <c r="A434" t="s">
        <v>3556</v>
      </c>
      <c r="B434" t="s">
        <v>1245</v>
      </c>
      <c r="C434" t="s">
        <v>3034</v>
      </c>
      <c r="D434" s="1">
        <v>46023.54210648148</v>
      </c>
      <c r="E434">
        <v>1830.48</v>
      </c>
      <c r="F434">
        <v>53.38</v>
      </c>
      <c r="G434">
        <v>1777.1</v>
      </c>
      <c r="H434" t="s">
        <v>25</v>
      </c>
      <c r="I434" t="s">
        <v>3557</v>
      </c>
      <c r="J434" t="s">
        <v>3036</v>
      </c>
      <c r="K434">
        <v>1830.48</v>
      </c>
    </row>
    <row r="435" spans="1:11" x14ac:dyDescent="0.25">
      <c r="A435" t="s">
        <v>3558</v>
      </c>
      <c r="B435" t="s">
        <v>1248</v>
      </c>
      <c r="C435" t="s">
        <v>3034</v>
      </c>
      <c r="D435" s="1">
        <v>46024.63144675926</v>
      </c>
      <c r="E435">
        <v>2431.4299999999998</v>
      </c>
      <c r="F435">
        <v>70.81</v>
      </c>
      <c r="G435">
        <v>2360.62</v>
      </c>
      <c r="H435" t="s">
        <v>25</v>
      </c>
      <c r="I435" t="s">
        <v>3468</v>
      </c>
      <c r="J435" t="s">
        <v>3036</v>
      </c>
      <c r="K435">
        <v>2431.4299999999998</v>
      </c>
    </row>
    <row r="436" spans="1:11" x14ac:dyDescent="0.25">
      <c r="A436" t="s">
        <v>3559</v>
      </c>
      <c r="B436" t="s">
        <v>1251</v>
      </c>
      <c r="C436" t="s">
        <v>3034</v>
      </c>
      <c r="D436" s="1">
        <v>46025.740127314813</v>
      </c>
      <c r="E436">
        <v>317.68</v>
      </c>
      <c r="F436">
        <v>9.51</v>
      </c>
      <c r="G436">
        <v>308.17</v>
      </c>
      <c r="H436" t="s">
        <v>25</v>
      </c>
      <c r="I436" t="s">
        <v>3470</v>
      </c>
      <c r="J436" t="s">
        <v>3036</v>
      </c>
      <c r="K436">
        <v>317.68</v>
      </c>
    </row>
    <row r="437" spans="1:11" x14ac:dyDescent="0.25">
      <c r="A437" t="s">
        <v>3560</v>
      </c>
      <c r="B437" t="s">
        <v>1254</v>
      </c>
      <c r="C437" t="s">
        <v>3034</v>
      </c>
      <c r="D437" s="1">
        <v>46026.821909722225</v>
      </c>
      <c r="E437">
        <v>611.23</v>
      </c>
      <c r="F437">
        <v>18.03</v>
      </c>
      <c r="G437">
        <v>593.20000000000005</v>
      </c>
      <c r="H437" t="s">
        <v>52</v>
      </c>
      <c r="I437" t="s">
        <v>3561</v>
      </c>
      <c r="J437" t="s">
        <v>3036</v>
      </c>
      <c r="K437">
        <v>611.23</v>
      </c>
    </row>
    <row r="438" spans="1:11" x14ac:dyDescent="0.25">
      <c r="A438" t="s">
        <v>3562</v>
      </c>
      <c r="B438" t="s">
        <v>1257</v>
      </c>
      <c r="C438" t="s">
        <v>3034</v>
      </c>
      <c r="D438" s="1">
        <v>46027.935601851852</v>
      </c>
      <c r="E438">
        <v>805.49</v>
      </c>
      <c r="F438">
        <v>23.66</v>
      </c>
      <c r="G438">
        <v>781.83</v>
      </c>
      <c r="H438" t="s">
        <v>19</v>
      </c>
      <c r="I438" t="s">
        <v>3563</v>
      </c>
      <c r="J438" t="s">
        <v>3036</v>
      </c>
      <c r="K438">
        <v>805.49</v>
      </c>
    </row>
    <row r="439" spans="1:11" x14ac:dyDescent="0.25">
      <c r="A439" t="s">
        <v>3564</v>
      </c>
      <c r="B439" t="s">
        <v>1260</v>
      </c>
      <c r="C439" t="s">
        <v>3034</v>
      </c>
      <c r="D439" s="1">
        <v>46029.039351851854</v>
      </c>
      <c r="E439">
        <v>773.75</v>
      </c>
      <c r="F439">
        <v>22.74</v>
      </c>
      <c r="G439">
        <v>751.01</v>
      </c>
      <c r="H439" t="s">
        <v>25</v>
      </c>
      <c r="I439" t="s">
        <v>3476</v>
      </c>
      <c r="J439" t="s">
        <v>3036</v>
      </c>
      <c r="K439">
        <v>773.75</v>
      </c>
    </row>
    <row r="440" spans="1:11" x14ac:dyDescent="0.25">
      <c r="A440" t="s">
        <v>3565</v>
      </c>
      <c r="B440" t="s">
        <v>1263</v>
      </c>
      <c r="C440" t="s">
        <v>3034</v>
      </c>
      <c r="D440" s="1">
        <v>46030.108020833337</v>
      </c>
      <c r="E440">
        <v>1027.02</v>
      </c>
      <c r="F440">
        <v>30.08</v>
      </c>
      <c r="G440">
        <v>996.94</v>
      </c>
      <c r="H440" t="s">
        <v>25</v>
      </c>
      <c r="I440" t="s">
        <v>3478</v>
      </c>
      <c r="J440" t="s">
        <v>3036</v>
      </c>
      <c r="K440">
        <v>1027.02</v>
      </c>
    </row>
    <row r="441" spans="1:11" x14ac:dyDescent="0.25">
      <c r="A441" t="s">
        <v>3566</v>
      </c>
      <c r="B441" t="s">
        <v>1266</v>
      </c>
      <c r="C441" t="s">
        <v>3034</v>
      </c>
      <c r="D441" s="1">
        <v>46031.192094907405</v>
      </c>
      <c r="E441">
        <v>454.34</v>
      </c>
      <c r="F441">
        <v>13.48</v>
      </c>
      <c r="G441">
        <v>440.86</v>
      </c>
      <c r="H441" t="s">
        <v>25</v>
      </c>
      <c r="I441" t="s">
        <v>3480</v>
      </c>
      <c r="J441" t="s">
        <v>3036</v>
      </c>
      <c r="K441">
        <v>454.34</v>
      </c>
    </row>
    <row r="442" spans="1:11" x14ac:dyDescent="0.25">
      <c r="A442" t="s">
        <v>3567</v>
      </c>
      <c r="B442" t="s">
        <v>1266</v>
      </c>
      <c r="C442" t="s">
        <v>3034</v>
      </c>
      <c r="D442" s="1">
        <v>46031.192789351851</v>
      </c>
      <c r="E442">
        <v>454.34</v>
      </c>
      <c r="F442">
        <v>13.48</v>
      </c>
      <c r="G442">
        <v>440.86</v>
      </c>
      <c r="H442" t="s">
        <v>25</v>
      </c>
      <c r="I442" t="s">
        <v>3480</v>
      </c>
      <c r="J442" t="s">
        <v>3036</v>
      </c>
      <c r="K442">
        <v>454.34</v>
      </c>
    </row>
    <row r="443" spans="1:11" x14ac:dyDescent="0.25">
      <c r="A443" t="s">
        <v>3568</v>
      </c>
      <c r="B443" t="s">
        <v>1269</v>
      </c>
      <c r="C443" t="s">
        <v>3034</v>
      </c>
      <c r="D443" s="1">
        <v>46031.274224537039</v>
      </c>
      <c r="E443">
        <v>1572.78</v>
      </c>
      <c r="F443">
        <v>45.91</v>
      </c>
      <c r="G443">
        <v>1526.87</v>
      </c>
      <c r="H443" t="s">
        <v>52</v>
      </c>
      <c r="I443" t="s">
        <v>3569</v>
      </c>
      <c r="J443" t="s">
        <v>3036</v>
      </c>
      <c r="K443">
        <v>1572.78</v>
      </c>
    </row>
    <row r="444" spans="1:11" x14ac:dyDescent="0.25">
      <c r="A444" t="s">
        <v>3570</v>
      </c>
      <c r="B444" t="s">
        <v>1272</v>
      </c>
      <c r="C444" t="s">
        <v>3034</v>
      </c>
      <c r="D444" s="1">
        <v>46032.374398148146</v>
      </c>
      <c r="E444">
        <v>157.30000000000001</v>
      </c>
      <c r="F444">
        <v>4.8600000000000003</v>
      </c>
      <c r="G444">
        <v>152.44</v>
      </c>
      <c r="H444" t="s">
        <v>52</v>
      </c>
      <c r="I444" t="s">
        <v>3571</v>
      </c>
      <c r="J444" t="s">
        <v>3036</v>
      </c>
      <c r="K444">
        <v>157.30000000000001</v>
      </c>
    </row>
    <row r="445" spans="1:11" x14ac:dyDescent="0.25">
      <c r="A445" t="s">
        <v>3572</v>
      </c>
      <c r="B445" t="s">
        <v>1275</v>
      </c>
      <c r="C445" t="s">
        <v>3034</v>
      </c>
      <c r="D445" s="1">
        <v>46033.489652777775</v>
      </c>
      <c r="E445">
        <v>1890.06</v>
      </c>
      <c r="F445">
        <v>55.11</v>
      </c>
      <c r="G445">
        <v>1834.95</v>
      </c>
      <c r="H445" t="s">
        <v>25</v>
      </c>
      <c r="I445" t="s">
        <v>3510</v>
      </c>
      <c r="J445" t="s">
        <v>3036</v>
      </c>
      <c r="K445">
        <v>1890.06</v>
      </c>
    </row>
    <row r="446" spans="1:11" x14ac:dyDescent="0.25">
      <c r="A446" t="s">
        <v>3573</v>
      </c>
      <c r="B446" t="s">
        <v>1278</v>
      </c>
      <c r="C446" t="s">
        <v>3034</v>
      </c>
      <c r="D446" s="1">
        <v>46034.549120370371</v>
      </c>
      <c r="E446">
        <v>2138.48</v>
      </c>
      <c r="F446">
        <v>62.32</v>
      </c>
      <c r="G446">
        <v>2076.16</v>
      </c>
      <c r="H446" t="s">
        <v>25</v>
      </c>
      <c r="I446" t="s">
        <v>3553</v>
      </c>
      <c r="J446" t="s">
        <v>3036</v>
      </c>
      <c r="K446">
        <v>2138.48</v>
      </c>
    </row>
    <row r="447" spans="1:11" x14ac:dyDescent="0.25">
      <c r="A447" t="s">
        <v>3574</v>
      </c>
      <c r="B447" t="s">
        <v>1281</v>
      </c>
      <c r="C447" t="s">
        <v>3034</v>
      </c>
      <c r="D447" s="1">
        <v>46035.649606481478</v>
      </c>
      <c r="E447">
        <v>1578.53</v>
      </c>
      <c r="F447">
        <v>46.08</v>
      </c>
      <c r="G447">
        <v>1532.45</v>
      </c>
      <c r="H447" t="s">
        <v>25</v>
      </c>
      <c r="I447" t="s">
        <v>3490</v>
      </c>
      <c r="J447" t="s">
        <v>3036</v>
      </c>
      <c r="K447">
        <v>1578.53</v>
      </c>
    </row>
    <row r="448" spans="1:11" x14ac:dyDescent="0.25">
      <c r="A448" t="s">
        <v>3575</v>
      </c>
      <c r="B448" t="s">
        <v>1284</v>
      </c>
      <c r="C448" t="s">
        <v>3034</v>
      </c>
      <c r="D448" s="1">
        <v>46036.747708333336</v>
      </c>
      <c r="E448">
        <v>937.27</v>
      </c>
      <c r="F448">
        <v>27.48</v>
      </c>
      <c r="G448">
        <v>909.79</v>
      </c>
      <c r="H448" t="s">
        <v>52</v>
      </c>
      <c r="I448" t="s">
        <v>3576</v>
      </c>
      <c r="J448" t="s">
        <v>3036</v>
      </c>
      <c r="K448">
        <v>937.27</v>
      </c>
    </row>
    <row r="449" spans="1:11" x14ac:dyDescent="0.25">
      <c r="A449" t="s">
        <v>3577</v>
      </c>
      <c r="B449" t="s">
        <v>1287</v>
      </c>
      <c r="C449" t="s">
        <v>3034</v>
      </c>
      <c r="D449" s="1">
        <v>46023.829618055555</v>
      </c>
      <c r="E449">
        <v>595.5</v>
      </c>
      <c r="F449">
        <v>17.57</v>
      </c>
      <c r="G449">
        <v>577.92999999999995</v>
      </c>
      <c r="H449" t="s">
        <v>19</v>
      </c>
      <c r="I449" t="s">
        <v>3466</v>
      </c>
      <c r="J449" t="s">
        <v>3036</v>
      </c>
      <c r="K449">
        <v>595.5</v>
      </c>
    </row>
    <row r="450" spans="1:11" x14ac:dyDescent="0.25">
      <c r="A450" t="s">
        <v>3578</v>
      </c>
      <c r="B450" t="s">
        <v>1290</v>
      </c>
      <c r="C450" t="s">
        <v>3034</v>
      </c>
      <c r="D450" s="1">
        <v>46024.93545138889</v>
      </c>
      <c r="E450">
        <v>1002.7</v>
      </c>
      <c r="F450">
        <v>29.38</v>
      </c>
      <c r="G450">
        <v>973.32</v>
      </c>
      <c r="H450" t="s">
        <v>25</v>
      </c>
      <c r="I450" t="s">
        <v>3468</v>
      </c>
      <c r="J450" t="s">
        <v>3036</v>
      </c>
      <c r="K450">
        <v>1002.7</v>
      </c>
    </row>
    <row r="451" spans="1:11" x14ac:dyDescent="0.25">
      <c r="A451" t="s">
        <v>3579</v>
      </c>
      <c r="B451" t="s">
        <v>1293</v>
      </c>
      <c r="C451" t="s">
        <v>3034</v>
      </c>
      <c r="D451" s="1">
        <v>46026.021874999999</v>
      </c>
      <c r="E451">
        <v>395.55</v>
      </c>
      <c r="F451">
        <v>11.77</v>
      </c>
      <c r="G451">
        <v>383.78</v>
      </c>
      <c r="H451" t="s">
        <v>25</v>
      </c>
      <c r="I451" t="s">
        <v>3470</v>
      </c>
      <c r="J451" t="s">
        <v>3036</v>
      </c>
      <c r="K451">
        <v>395.55</v>
      </c>
    </row>
    <row r="452" spans="1:11" x14ac:dyDescent="0.25">
      <c r="A452" t="s">
        <v>3580</v>
      </c>
      <c r="B452" t="s">
        <v>1296</v>
      </c>
      <c r="C452" t="s">
        <v>3034</v>
      </c>
      <c r="D452" s="1">
        <v>46027.101550925923</v>
      </c>
      <c r="E452">
        <v>1404.64</v>
      </c>
      <c r="F452">
        <v>41.03</v>
      </c>
      <c r="G452">
        <v>1363.61</v>
      </c>
      <c r="H452" t="s">
        <v>25</v>
      </c>
      <c r="I452" t="s">
        <v>3472</v>
      </c>
      <c r="J452" t="s">
        <v>3036</v>
      </c>
      <c r="K452">
        <v>1404.64</v>
      </c>
    </row>
    <row r="453" spans="1:11" x14ac:dyDescent="0.25">
      <c r="A453" t="s">
        <v>3581</v>
      </c>
      <c r="B453" t="s">
        <v>1299</v>
      </c>
      <c r="C453" t="s">
        <v>3034</v>
      </c>
      <c r="D453" s="1">
        <v>46028.207384259258</v>
      </c>
      <c r="E453">
        <v>2033.45</v>
      </c>
      <c r="F453">
        <v>59.27</v>
      </c>
      <c r="G453">
        <v>1974.18</v>
      </c>
      <c r="H453" t="s">
        <v>25</v>
      </c>
      <c r="I453" t="s">
        <v>3582</v>
      </c>
      <c r="J453" t="s">
        <v>3036</v>
      </c>
      <c r="K453">
        <v>2033.45</v>
      </c>
    </row>
    <row r="454" spans="1:11" x14ac:dyDescent="0.25">
      <c r="A454" t="s">
        <v>3583</v>
      </c>
      <c r="B454" t="s">
        <v>1302</v>
      </c>
      <c r="C454" t="s">
        <v>3034</v>
      </c>
      <c r="D454" s="1">
        <v>46028.300787037035</v>
      </c>
      <c r="E454">
        <v>1717.99</v>
      </c>
      <c r="F454">
        <v>50.12</v>
      </c>
      <c r="G454">
        <v>1667.87</v>
      </c>
      <c r="H454" t="s">
        <v>52</v>
      </c>
      <c r="I454" t="s">
        <v>3584</v>
      </c>
      <c r="J454" t="s">
        <v>3036</v>
      </c>
      <c r="K454">
        <v>1717.99</v>
      </c>
    </row>
    <row r="455" spans="1:11" x14ac:dyDescent="0.25">
      <c r="A455" t="s">
        <v>3585</v>
      </c>
      <c r="B455" t="s">
        <v>1305</v>
      </c>
      <c r="C455" t="s">
        <v>3034</v>
      </c>
      <c r="D455" s="1">
        <v>46029.386284722219</v>
      </c>
      <c r="E455">
        <v>1222.3699999999999</v>
      </c>
      <c r="F455">
        <v>35.75</v>
      </c>
      <c r="G455">
        <v>1186.6199999999999</v>
      </c>
      <c r="H455" t="s">
        <v>25</v>
      </c>
      <c r="I455" t="s">
        <v>3478</v>
      </c>
      <c r="J455" t="s">
        <v>3036</v>
      </c>
      <c r="K455">
        <v>1222.3699999999999</v>
      </c>
    </row>
    <row r="456" spans="1:11" x14ac:dyDescent="0.25">
      <c r="A456" t="s">
        <v>3586</v>
      </c>
      <c r="B456" t="s">
        <v>1308</v>
      </c>
      <c r="C456" t="s">
        <v>3034</v>
      </c>
      <c r="D456" s="1">
        <v>46030.504965277774</v>
      </c>
      <c r="E456">
        <v>921.96</v>
      </c>
      <c r="F456">
        <v>27.04</v>
      </c>
      <c r="G456">
        <v>894.92</v>
      </c>
      <c r="H456" t="s">
        <v>25</v>
      </c>
      <c r="I456" t="s">
        <v>3480</v>
      </c>
      <c r="J456" t="s">
        <v>3036</v>
      </c>
      <c r="K456">
        <v>921.96</v>
      </c>
    </row>
    <row r="457" spans="1:11" x14ac:dyDescent="0.25">
      <c r="A457" t="s">
        <v>3587</v>
      </c>
      <c r="B457" t="s">
        <v>1311</v>
      </c>
      <c r="C457" t="s">
        <v>3034</v>
      </c>
      <c r="D457" s="1">
        <v>46031.556527777779</v>
      </c>
      <c r="E457">
        <v>1991.44</v>
      </c>
      <c r="F457">
        <v>58.05</v>
      </c>
      <c r="G457">
        <v>1933.39</v>
      </c>
      <c r="H457" t="s">
        <v>25</v>
      </c>
      <c r="I457" t="s">
        <v>3482</v>
      </c>
      <c r="J457" t="s">
        <v>3036</v>
      </c>
      <c r="K457">
        <v>1991.44</v>
      </c>
    </row>
    <row r="458" spans="1:11" x14ac:dyDescent="0.25">
      <c r="A458" t="s">
        <v>3588</v>
      </c>
      <c r="B458" t="s">
        <v>1314</v>
      </c>
      <c r="C458" t="s">
        <v>3034</v>
      </c>
      <c r="D458" s="1">
        <v>46032.676921296297</v>
      </c>
      <c r="E458">
        <v>1821.97</v>
      </c>
      <c r="F458">
        <v>53.14</v>
      </c>
      <c r="G458">
        <v>1768.83</v>
      </c>
      <c r="H458" t="s">
        <v>52</v>
      </c>
      <c r="I458" t="s">
        <v>3484</v>
      </c>
      <c r="J458" t="s">
        <v>3036</v>
      </c>
      <c r="K458">
        <v>1821.97</v>
      </c>
    </row>
    <row r="459" spans="1:11" x14ac:dyDescent="0.25">
      <c r="A459" t="s">
        <v>3589</v>
      </c>
      <c r="B459" t="s">
        <v>1317</v>
      </c>
      <c r="C459" t="s">
        <v>3034</v>
      </c>
      <c r="D459" s="1">
        <v>46033.774155092593</v>
      </c>
      <c r="E459">
        <v>1218.07</v>
      </c>
      <c r="F459">
        <v>35.619999999999997</v>
      </c>
      <c r="G459">
        <v>1182.45</v>
      </c>
      <c r="H459" t="s">
        <v>19</v>
      </c>
      <c r="I459" t="s">
        <v>3486</v>
      </c>
      <c r="J459" t="s">
        <v>3036</v>
      </c>
      <c r="K459">
        <v>1218.07</v>
      </c>
    </row>
    <row r="460" spans="1:11" x14ac:dyDescent="0.25">
      <c r="A460" t="s">
        <v>3590</v>
      </c>
      <c r="B460" t="s">
        <v>1317</v>
      </c>
      <c r="C460" t="s">
        <v>3076</v>
      </c>
      <c r="D460" s="1">
        <v>46034.767210648148</v>
      </c>
      <c r="E460">
        <v>-609.04</v>
      </c>
      <c r="F460">
        <v>0</v>
      </c>
      <c r="G460">
        <v>-609.04</v>
      </c>
      <c r="H460" t="s">
        <v>19</v>
      </c>
      <c r="I460" t="s">
        <v>3591</v>
      </c>
      <c r="J460" t="s">
        <v>3036</v>
      </c>
      <c r="K460">
        <v>-609.04</v>
      </c>
    </row>
    <row r="461" spans="1:11" x14ac:dyDescent="0.25">
      <c r="A461" t="s">
        <v>3592</v>
      </c>
      <c r="B461" t="s">
        <v>1320</v>
      </c>
      <c r="C461" t="s">
        <v>3034</v>
      </c>
      <c r="D461" s="1">
        <v>46034.869826388887</v>
      </c>
      <c r="E461">
        <v>19.22</v>
      </c>
      <c r="F461">
        <v>0.86</v>
      </c>
      <c r="G461">
        <v>18.36</v>
      </c>
      <c r="H461" t="s">
        <v>25</v>
      </c>
      <c r="I461" t="s">
        <v>3553</v>
      </c>
      <c r="J461" t="s">
        <v>3036</v>
      </c>
      <c r="K461">
        <v>19.22</v>
      </c>
    </row>
    <row r="462" spans="1:11" x14ac:dyDescent="0.25">
      <c r="A462" t="s">
        <v>3593</v>
      </c>
      <c r="B462" t="s">
        <v>1323</v>
      </c>
      <c r="C462" t="s">
        <v>3034</v>
      </c>
      <c r="D462" s="1">
        <v>46035.957731481481</v>
      </c>
      <c r="E462">
        <v>566.23</v>
      </c>
      <c r="F462">
        <v>16.72</v>
      </c>
      <c r="G462">
        <v>549.51</v>
      </c>
      <c r="H462" t="s">
        <v>25</v>
      </c>
      <c r="I462" t="s">
        <v>3490</v>
      </c>
      <c r="J462" t="s">
        <v>3036</v>
      </c>
      <c r="K462">
        <v>566.23</v>
      </c>
    </row>
    <row r="463" spans="1:11" x14ac:dyDescent="0.25">
      <c r="A463" t="s">
        <v>3594</v>
      </c>
      <c r="B463" t="s">
        <v>1326</v>
      </c>
      <c r="C463" t="s">
        <v>3034</v>
      </c>
      <c r="D463" s="1">
        <v>46037.051608796297</v>
      </c>
      <c r="E463">
        <v>1576.75</v>
      </c>
      <c r="F463">
        <v>46.03</v>
      </c>
      <c r="G463">
        <v>1530.72</v>
      </c>
      <c r="H463" t="s">
        <v>25</v>
      </c>
      <c r="I463" t="s">
        <v>3492</v>
      </c>
      <c r="J463" t="s">
        <v>3036</v>
      </c>
      <c r="K463">
        <v>1576.75</v>
      </c>
    </row>
    <row r="464" spans="1:11" x14ac:dyDescent="0.25">
      <c r="A464" t="s">
        <v>3595</v>
      </c>
      <c r="B464" t="s">
        <v>1329</v>
      </c>
      <c r="C464" t="s">
        <v>3034</v>
      </c>
      <c r="D464" s="1">
        <v>46024.146805555552</v>
      </c>
      <c r="E464">
        <v>1642.79</v>
      </c>
      <c r="F464">
        <v>47.94</v>
      </c>
      <c r="G464">
        <v>1594.85</v>
      </c>
      <c r="H464" t="s">
        <v>25</v>
      </c>
      <c r="I464" t="s">
        <v>3494</v>
      </c>
      <c r="J464" t="s">
        <v>3036</v>
      </c>
      <c r="K464">
        <v>1642.79</v>
      </c>
    </row>
    <row r="465" spans="1:11" x14ac:dyDescent="0.25">
      <c r="A465" t="s">
        <v>3596</v>
      </c>
      <c r="B465" t="s">
        <v>1332</v>
      </c>
      <c r="C465" t="s">
        <v>3034</v>
      </c>
      <c r="D465" s="1">
        <v>46025.211261574077</v>
      </c>
      <c r="E465">
        <v>1600.98</v>
      </c>
      <c r="F465">
        <v>46.73</v>
      </c>
      <c r="G465">
        <v>1554.25</v>
      </c>
      <c r="H465" t="s">
        <v>25</v>
      </c>
      <c r="I465" t="s">
        <v>3468</v>
      </c>
      <c r="J465" t="s">
        <v>3036</v>
      </c>
      <c r="K465">
        <v>1600.98</v>
      </c>
    </row>
    <row r="466" spans="1:11" x14ac:dyDescent="0.25">
      <c r="A466" t="s">
        <v>3597</v>
      </c>
      <c r="B466" t="s">
        <v>1335</v>
      </c>
      <c r="C466" t="s">
        <v>3034</v>
      </c>
      <c r="D466" s="1">
        <v>46025.319004629629</v>
      </c>
      <c r="E466">
        <v>1925.14</v>
      </c>
      <c r="F466">
        <v>56.13</v>
      </c>
      <c r="G466">
        <v>1869.01</v>
      </c>
      <c r="H466" t="s">
        <v>25</v>
      </c>
      <c r="I466" t="s">
        <v>3470</v>
      </c>
      <c r="J466" t="s">
        <v>3036</v>
      </c>
      <c r="K466">
        <v>1925.14</v>
      </c>
    </row>
    <row r="467" spans="1:11" x14ac:dyDescent="0.25">
      <c r="A467" t="s">
        <v>3598</v>
      </c>
      <c r="B467" t="s">
        <v>1338</v>
      </c>
      <c r="C467" t="s">
        <v>3034</v>
      </c>
      <c r="D467" s="1">
        <v>46026.397002314814</v>
      </c>
      <c r="E467">
        <v>2374.63</v>
      </c>
      <c r="F467">
        <v>69.16</v>
      </c>
      <c r="G467">
        <v>2305.4699999999998</v>
      </c>
      <c r="H467" t="s">
        <v>25</v>
      </c>
      <c r="I467" t="s">
        <v>3472</v>
      </c>
      <c r="J467" t="s">
        <v>3036</v>
      </c>
      <c r="K467">
        <v>2374.63</v>
      </c>
    </row>
    <row r="468" spans="1:11" x14ac:dyDescent="0.25">
      <c r="A468" t="s">
        <v>3599</v>
      </c>
      <c r="B468" t="s">
        <v>1341</v>
      </c>
      <c r="C468" t="s">
        <v>3034</v>
      </c>
      <c r="D468" s="1">
        <v>46027.49628472222</v>
      </c>
      <c r="E468">
        <v>822.81</v>
      </c>
      <c r="F468">
        <v>24.16</v>
      </c>
      <c r="G468">
        <v>798.65</v>
      </c>
      <c r="H468" t="s">
        <v>25</v>
      </c>
      <c r="I468" t="s">
        <v>3474</v>
      </c>
      <c r="J468" t="s">
        <v>3036</v>
      </c>
      <c r="K468">
        <v>822.81</v>
      </c>
    </row>
    <row r="469" spans="1:11" x14ac:dyDescent="0.25">
      <c r="A469" t="s">
        <v>3600</v>
      </c>
      <c r="B469" t="s">
        <v>1341</v>
      </c>
      <c r="C469" t="s">
        <v>3076</v>
      </c>
      <c r="D469" s="1">
        <v>46028.489340277774</v>
      </c>
      <c r="E469">
        <v>-822.81</v>
      </c>
      <c r="F469">
        <v>0</v>
      </c>
      <c r="G469">
        <v>-822.81</v>
      </c>
      <c r="H469" t="s">
        <v>25</v>
      </c>
      <c r="I469" t="s">
        <v>3601</v>
      </c>
      <c r="J469" t="s">
        <v>3036</v>
      </c>
      <c r="K469">
        <v>-822.81</v>
      </c>
    </row>
    <row r="470" spans="1:11" x14ac:dyDescent="0.25">
      <c r="A470" t="s">
        <v>3602</v>
      </c>
      <c r="B470" t="s">
        <v>1344</v>
      </c>
      <c r="C470" t="s">
        <v>3034</v>
      </c>
      <c r="D470" s="1">
        <v>46028.592766203707</v>
      </c>
      <c r="E470">
        <v>1814.6</v>
      </c>
      <c r="F470">
        <v>52.92</v>
      </c>
      <c r="G470">
        <v>1761.68</v>
      </c>
      <c r="H470" t="s">
        <v>52</v>
      </c>
      <c r="I470" t="s">
        <v>3502</v>
      </c>
      <c r="J470" t="s">
        <v>3036</v>
      </c>
      <c r="K470">
        <v>1814.6</v>
      </c>
    </row>
    <row r="471" spans="1:11" x14ac:dyDescent="0.25">
      <c r="A471" t="s">
        <v>3603</v>
      </c>
      <c r="B471" t="s">
        <v>1347</v>
      </c>
      <c r="C471" t="s">
        <v>3034</v>
      </c>
      <c r="D471" s="1">
        <v>46029.684259259258</v>
      </c>
      <c r="E471">
        <v>1656.51</v>
      </c>
      <c r="F471">
        <v>48.34</v>
      </c>
      <c r="G471">
        <v>1608.17</v>
      </c>
      <c r="H471" t="s">
        <v>19</v>
      </c>
      <c r="I471" t="s">
        <v>3504</v>
      </c>
      <c r="J471" t="s">
        <v>3036</v>
      </c>
      <c r="K471">
        <v>1656.51</v>
      </c>
    </row>
    <row r="472" spans="1:11" x14ac:dyDescent="0.25">
      <c r="A472" t="s">
        <v>3604</v>
      </c>
      <c r="B472" t="s">
        <v>1350</v>
      </c>
      <c r="C472" t="s">
        <v>3034</v>
      </c>
      <c r="D472" s="1">
        <v>46030.764884259261</v>
      </c>
      <c r="E472">
        <v>1449.6</v>
      </c>
      <c r="F472">
        <v>42.34</v>
      </c>
      <c r="G472">
        <v>1407.26</v>
      </c>
      <c r="H472" t="s">
        <v>25</v>
      </c>
      <c r="I472" t="s">
        <v>3480</v>
      </c>
      <c r="J472" t="s">
        <v>3036</v>
      </c>
      <c r="K472">
        <v>1449.6</v>
      </c>
    </row>
    <row r="473" spans="1:11" x14ac:dyDescent="0.25">
      <c r="A473" t="s">
        <v>3605</v>
      </c>
      <c r="B473" t="s">
        <v>1353</v>
      </c>
      <c r="C473" t="s">
        <v>3034</v>
      </c>
      <c r="D473" s="1">
        <v>46031.845625000002</v>
      </c>
      <c r="E473">
        <v>574.20000000000005</v>
      </c>
      <c r="F473">
        <v>16.95</v>
      </c>
      <c r="G473">
        <v>557.25</v>
      </c>
      <c r="H473" t="s">
        <v>25</v>
      </c>
      <c r="I473" t="s">
        <v>3482</v>
      </c>
      <c r="J473" t="s">
        <v>3036</v>
      </c>
      <c r="K473">
        <v>574.20000000000005</v>
      </c>
    </row>
    <row r="474" spans="1:11" x14ac:dyDescent="0.25">
      <c r="A474" t="s">
        <v>3606</v>
      </c>
      <c r="B474" t="s">
        <v>1356</v>
      </c>
      <c r="C474" t="s">
        <v>3034</v>
      </c>
      <c r="D474" s="1">
        <v>46032.960879629631</v>
      </c>
      <c r="E474">
        <v>808.18</v>
      </c>
      <c r="F474">
        <v>24.11</v>
      </c>
      <c r="G474">
        <v>784.07</v>
      </c>
      <c r="H474" t="s">
        <v>25</v>
      </c>
      <c r="I474" t="s">
        <v>3530</v>
      </c>
      <c r="J474" t="s">
        <v>3036</v>
      </c>
      <c r="K474">
        <v>808.18</v>
      </c>
    </row>
    <row r="475" spans="1:11" x14ac:dyDescent="0.25">
      <c r="A475" t="s">
        <v>3607</v>
      </c>
      <c r="B475" t="s">
        <v>1359</v>
      </c>
      <c r="C475" t="s">
        <v>3034</v>
      </c>
      <c r="D475" s="1">
        <v>46034.063090277778</v>
      </c>
      <c r="E475">
        <v>884.84</v>
      </c>
      <c r="F475">
        <v>25.96</v>
      </c>
      <c r="G475">
        <v>858.88</v>
      </c>
      <c r="H475" t="s">
        <v>25</v>
      </c>
      <c r="I475" t="s">
        <v>3510</v>
      </c>
      <c r="J475" t="s">
        <v>3036</v>
      </c>
      <c r="K475">
        <v>884.84</v>
      </c>
    </row>
    <row r="476" spans="1:11" x14ac:dyDescent="0.25">
      <c r="A476" t="s">
        <v>3608</v>
      </c>
      <c r="B476" t="s">
        <v>1359</v>
      </c>
      <c r="C476" t="s">
        <v>3076</v>
      </c>
      <c r="D476" s="1">
        <v>46035.056145833332</v>
      </c>
      <c r="E476">
        <v>-442.42</v>
      </c>
      <c r="F476">
        <v>0</v>
      </c>
      <c r="G476">
        <v>-442.42</v>
      </c>
      <c r="H476" t="s">
        <v>25</v>
      </c>
      <c r="I476" t="s">
        <v>3609</v>
      </c>
      <c r="J476" t="s">
        <v>3036</v>
      </c>
      <c r="K476">
        <v>-442.42</v>
      </c>
    </row>
    <row r="477" spans="1:11" x14ac:dyDescent="0.25">
      <c r="A477" t="s">
        <v>3610</v>
      </c>
      <c r="B477" t="s">
        <v>1362</v>
      </c>
      <c r="C477" t="s">
        <v>3034</v>
      </c>
      <c r="D477" s="1">
        <v>46035.124722222223</v>
      </c>
      <c r="E477">
        <v>1112.8599999999999</v>
      </c>
      <c r="F477">
        <v>32.57</v>
      </c>
      <c r="G477">
        <v>1080.29</v>
      </c>
      <c r="H477" t="s">
        <v>25</v>
      </c>
      <c r="I477" t="s">
        <v>3553</v>
      </c>
      <c r="J477" t="s">
        <v>3036</v>
      </c>
      <c r="K477">
        <v>1112.8599999999999</v>
      </c>
    </row>
    <row r="478" spans="1:11" x14ac:dyDescent="0.25">
      <c r="A478" t="s">
        <v>3611</v>
      </c>
      <c r="B478" t="s">
        <v>1365</v>
      </c>
      <c r="C478" t="s">
        <v>3034</v>
      </c>
      <c r="D478" s="1">
        <v>46036.210046296299</v>
      </c>
      <c r="E478">
        <v>556.37</v>
      </c>
      <c r="F478">
        <v>16.43</v>
      </c>
      <c r="G478">
        <v>539.94000000000005</v>
      </c>
      <c r="H478" t="s">
        <v>25</v>
      </c>
      <c r="I478" t="s">
        <v>3490</v>
      </c>
      <c r="J478" t="s">
        <v>3036</v>
      </c>
      <c r="K478">
        <v>556.37</v>
      </c>
    </row>
    <row r="479" spans="1:11" x14ac:dyDescent="0.25">
      <c r="A479" t="s">
        <v>3612</v>
      </c>
      <c r="B479" t="s">
        <v>1368</v>
      </c>
      <c r="C479" t="s">
        <v>3034</v>
      </c>
      <c r="D479" s="1">
        <v>46036.301041666666</v>
      </c>
      <c r="E479">
        <v>900.24</v>
      </c>
      <c r="F479">
        <v>26.41</v>
      </c>
      <c r="G479">
        <v>873.83</v>
      </c>
      <c r="H479" t="s">
        <v>25</v>
      </c>
      <c r="I479" t="s">
        <v>3492</v>
      </c>
      <c r="J479" t="s">
        <v>3036</v>
      </c>
      <c r="K479">
        <v>900.24</v>
      </c>
    </row>
    <row r="480" spans="1:11" x14ac:dyDescent="0.25">
      <c r="A480" t="s">
        <v>3613</v>
      </c>
      <c r="B480" t="s">
        <v>1371</v>
      </c>
      <c r="C480" t="s">
        <v>3034</v>
      </c>
      <c r="D480" s="1">
        <v>46023.430277777778</v>
      </c>
      <c r="E480">
        <v>1858.89</v>
      </c>
      <c r="F480">
        <v>54.21</v>
      </c>
      <c r="G480">
        <v>1804.68</v>
      </c>
      <c r="H480" t="s">
        <v>25</v>
      </c>
      <c r="I480" t="s">
        <v>3614</v>
      </c>
      <c r="J480" t="s">
        <v>3036</v>
      </c>
      <c r="K480">
        <v>1858.89</v>
      </c>
    </row>
    <row r="481" spans="1:11" x14ac:dyDescent="0.25">
      <c r="A481" t="s">
        <v>3615</v>
      </c>
      <c r="B481" t="s">
        <v>1374</v>
      </c>
      <c r="C481" t="s">
        <v>3034</v>
      </c>
      <c r="D481" s="1">
        <v>46024.511932870373</v>
      </c>
      <c r="E481">
        <v>1273.3499999999999</v>
      </c>
      <c r="F481">
        <v>37.229999999999997</v>
      </c>
      <c r="G481">
        <v>1236.1199999999999</v>
      </c>
      <c r="H481" t="s">
        <v>52</v>
      </c>
      <c r="I481" t="s">
        <v>3518</v>
      </c>
      <c r="J481" t="s">
        <v>3036</v>
      </c>
      <c r="K481">
        <v>1273.3499999999999</v>
      </c>
    </row>
    <row r="482" spans="1:11" x14ac:dyDescent="0.25">
      <c r="A482" t="s">
        <v>3616</v>
      </c>
      <c r="B482" t="s">
        <v>1377</v>
      </c>
      <c r="C482" t="s">
        <v>3034</v>
      </c>
      <c r="D482" s="1">
        <v>46025.574780092589</v>
      </c>
      <c r="E482">
        <v>2247.9299999999998</v>
      </c>
      <c r="F482">
        <v>65.489999999999995</v>
      </c>
      <c r="G482">
        <v>2182.44</v>
      </c>
      <c r="H482" t="s">
        <v>19</v>
      </c>
      <c r="I482" t="s">
        <v>3520</v>
      </c>
      <c r="J482" t="s">
        <v>3036</v>
      </c>
      <c r="K482">
        <v>2247.9299999999998</v>
      </c>
    </row>
    <row r="483" spans="1:11" x14ac:dyDescent="0.25">
      <c r="A483" t="s">
        <v>3617</v>
      </c>
      <c r="B483" t="s">
        <v>1380</v>
      </c>
      <c r="C483" t="s">
        <v>3034</v>
      </c>
      <c r="D483" s="1">
        <v>46026.666018518517</v>
      </c>
      <c r="E483">
        <v>1470.58</v>
      </c>
      <c r="F483">
        <v>42.95</v>
      </c>
      <c r="G483">
        <v>1427.63</v>
      </c>
      <c r="H483" t="s">
        <v>25</v>
      </c>
      <c r="I483" t="s">
        <v>3472</v>
      </c>
      <c r="J483" t="s">
        <v>3036</v>
      </c>
      <c r="K483">
        <v>1470.58</v>
      </c>
    </row>
    <row r="484" spans="1:11" x14ac:dyDescent="0.25">
      <c r="A484" t="s">
        <v>3618</v>
      </c>
      <c r="B484" t="s">
        <v>1383</v>
      </c>
      <c r="C484" t="s">
        <v>3034</v>
      </c>
      <c r="D484" s="1">
        <v>46027.778761574074</v>
      </c>
      <c r="E484">
        <v>1029.44</v>
      </c>
      <c r="F484">
        <v>30.15</v>
      </c>
      <c r="G484">
        <v>999.29</v>
      </c>
      <c r="H484" t="s">
        <v>25</v>
      </c>
      <c r="I484" t="s">
        <v>3474</v>
      </c>
      <c r="J484" t="s">
        <v>3036</v>
      </c>
      <c r="K484">
        <v>1029.44</v>
      </c>
    </row>
    <row r="485" spans="1:11" x14ac:dyDescent="0.25">
      <c r="A485" t="s">
        <v>3619</v>
      </c>
      <c r="B485" t="s">
        <v>1386</v>
      </c>
      <c r="C485" t="s">
        <v>3034</v>
      </c>
      <c r="D485" s="1">
        <v>46028.877604166664</v>
      </c>
      <c r="E485">
        <v>2163.9699999999998</v>
      </c>
      <c r="F485">
        <v>63.06</v>
      </c>
      <c r="G485">
        <v>2100.91</v>
      </c>
      <c r="H485" t="s">
        <v>25</v>
      </c>
      <c r="I485" t="s">
        <v>3476</v>
      </c>
      <c r="J485" t="s">
        <v>3036</v>
      </c>
      <c r="K485">
        <v>2163.9699999999998</v>
      </c>
    </row>
    <row r="486" spans="1:11" x14ac:dyDescent="0.25">
      <c r="A486" t="s">
        <v>3620</v>
      </c>
      <c r="B486" t="s">
        <v>1392</v>
      </c>
      <c r="C486" t="s">
        <v>3034</v>
      </c>
      <c r="D486" s="1">
        <v>46031.051550925928</v>
      </c>
      <c r="E486">
        <v>2498.21</v>
      </c>
      <c r="F486">
        <v>72.75</v>
      </c>
      <c r="G486">
        <v>2425.46</v>
      </c>
      <c r="H486" t="s">
        <v>25</v>
      </c>
      <c r="I486" t="s">
        <v>3480</v>
      </c>
      <c r="J486" t="s">
        <v>3036</v>
      </c>
      <c r="K486">
        <v>2498.21</v>
      </c>
    </row>
    <row r="487" spans="1:11" x14ac:dyDescent="0.25">
      <c r="A487" t="s">
        <v>3621</v>
      </c>
      <c r="B487" t="s">
        <v>1395</v>
      </c>
      <c r="C487" t="s">
        <v>3034</v>
      </c>
      <c r="D487" s="1">
        <v>46032.156493055554</v>
      </c>
      <c r="E487">
        <v>182.84</v>
      </c>
      <c r="F487">
        <v>5.6</v>
      </c>
      <c r="G487">
        <v>177.24</v>
      </c>
      <c r="H487" t="s">
        <v>25</v>
      </c>
      <c r="I487" t="s">
        <v>3482</v>
      </c>
      <c r="J487" t="s">
        <v>3036</v>
      </c>
      <c r="K487">
        <v>182.84</v>
      </c>
    </row>
    <row r="488" spans="1:11" x14ac:dyDescent="0.25">
      <c r="A488" t="s">
        <v>3622</v>
      </c>
      <c r="B488" t="s">
        <v>1398</v>
      </c>
      <c r="C488" t="s">
        <v>3034</v>
      </c>
      <c r="D488" s="1">
        <v>46032.250520833331</v>
      </c>
      <c r="E488">
        <v>1488.52</v>
      </c>
      <c r="F488">
        <v>43.47</v>
      </c>
      <c r="G488">
        <v>1445.05</v>
      </c>
      <c r="H488" t="s">
        <v>25</v>
      </c>
      <c r="I488" t="s">
        <v>3530</v>
      </c>
      <c r="J488" t="s">
        <v>3036</v>
      </c>
      <c r="K488">
        <v>1488.52</v>
      </c>
    </row>
    <row r="489" spans="1:11" x14ac:dyDescent="0.25">
      <c r="A489" t="s">
        <v>3623</v>
      </c>
      <c r="B489" t="s">
        <v>1401</v>
      </c>
      <c r="C489" t="s">
        <v>3034</v>
      </c>
      <c r="D489" s="1">
        <v>46033.326921296299</v>
      </c>
      <c r="E489">
        <v>2153.5300000000002</v>
      </c>
      <c r="F489">
        <v>62.75</v>
      </c>
      <c r="G489">
        <v>2090.7800000000002</v>
      </c>
      <c r="H489" t="s">
        <v>25</v>
      </c>
      <c r="I489" t="s">
        <v>3510</v>
      </c>
      <c r="J489" t="s">
        <v>3036</v>
      </c>
      <c r="K489">
        <v>2153.5300000000002</v>
      </c>
    </row>
    <row r="490" spans="1:11" x14ac:dyDescent="0.25">
      <c r="A490" t="s">
        <v>3624</v>
      </c>
      <c r="B490" t="s">
        <v>1404</v>
      </c>
      <c r="C490" t="s">
        <v>3034</v>
      </c>
      <c r="D490" s="1">
        <v>46034.406111111108</v>
      </c>
      <c r="E490">
        <v>1421.68</v>
      </c>
      <c r="F490">
        <v>41.53</v>
      </c>
      <c r="G490">
        <v>1380.15</v>
      </c>
      <c r="H490" t="s">
        <v>52</v>
      </c>
      <c r="I490" t="s">
        <v>3533</v>
      </c>
      <c r="J490" t="s">
        <v>3036</v>
      </c>
      <c r="K490">
        <v>1421.68</v>
      </c>
    </row>
    <row r="491" spans="1:11" x14ac:dyDescent="0.25">
      <c r="A491" t="s">
        <v>3625</v>
      </c>
      <c r="B491" t="s">
        <v>1407</v>
      </c>
      <c r="C491" t="s">
        <v>3034</v>
      </c>
      <c r="D491" s="1">
        <v>46035.504479166666</v>
      </c>
      <c r="E491">
        <v>1306.4100000000001</v>
      </c>
      <c r="F491">
        <v>38.19</v>
      </c>
      <c r="G491">
        <v>1268.22</v>
      </c>
      <c r="H491" t="s">
        <v>19</v>
      </c>
      <c r="I491" t="s">
        <v>3535</v>
      </c>
      <c r="J491" t="s">
        <v>3036</v>
      </c>
      <c r="K491">
        <v>1306.4100000000001</v>
      </c>
    </row>
    <row r="492" spans="1:11" x14ac:dyDescent="0.25">
      <c r="A492" t="s">
        <v>3626</v>
      </c>
      <c r="B492" t="s">
        <v>1410</v>
      </c>
      <c r="C492" t="s">
        <v>3034</v>
      </c>
      <c r="D492" s="1">
        <v>46036.592685185184</v>
      </c>
      <c r="E492">
        <v>304.58999999999997</v>
      </c>
      <c r="F492">
        <v>9.1300000000000008</v>
      </c>
      <c r="G492">
        <v>295.45999999999998</v>
      </c>
      <c r="H492" t="s">
        <v>25</v>
      </c>
      <c r="I492" t="s">
        <v>3492</v>
      </c>
      <c r="J492" t="s">
        <v>3036</v>
      </c>
      <c r="K492">
        <v>304.58999999999997</v>
      </c>
    </row>
    <row r="493" spans="1:11" x14ac:dyDescent="0.25">
      <c r="A493" t="s">
        <v>3627</v>
      </c>
      <c r="B493" t="s">
        <v>1413</v>
      </c>
      <c r="C493" t="s">
        <v>3034</v>
      </c>
      <c r="D493" s="1">
        <v>46023.68476851852</v>
      </c>
      <c r="E493">
        <v>2167.5700000000002</v>
      </c>
      <c r="F493">
        <v>63.16</v>
      </c>
      <c r="G493">
        <v>2104.41</v>
      </c>
      <c r="H493" t="s">
        <v>25</v>
      </c>
      <c r="I493" t="s">
        <v>3494</v>
      </c>
      <c r="J493" t="s">
        <v>3036</v>
      </c>
      <c r="K493">
        <v>2167.5700000000002</v>
      </c>
    </row>
    <row r="494" spans="1:11" x14ac:dyDescent="0.25">
      <c r="A494" t="s">
        <v>3628</v>
      </c>
      <c r="B494" t="s">
        <v>1416</v>
      </c>
      <c r="C494" t="s">
        <v>3034</v>
      </c>
      <c r="D494" s="1">
        <v>46024.783900462964</v>
      </c>
      <c r="E494">
        <v>306.08</v>
      </c>
      <c r="F494">
        <v>9.18</v>
      </c>
      <c r="G494">
        <v>296.89999999999998</v>
      </c>
      <c r="H494" t="s">
        <v>25</v>
      </c>
      <c r="I494" t="s">
        <v>3468</v>
      </c>
      <c r="J494" t="s">
        <v>3036</v>
      </c>
      <c r="K494">
        <v>306.08</v>
      </c>
    </row>
    <row r="495" spans="1:11" x14ac:dyDescent="0.25">
      <c r="A495" t="s">
        <v>3629</v>
      </c>
      <c r="B495" t="s">
        <v>1422</v>
      </c>
      <c r="C495" t="s">
        <v>3034</v>
      </c>
      <c r="D495" s="1">
        <v>46026.956828703704</v>
      </c>
      <c r="E495">
        <v>2138.7600000000002</v>
      </c>
      <c r="F495">
        <v>62.32</v>
      </c>
      <c r="G495">
        <v>2076.44</v>
      </c>
      <c r="H495" t="s">
        <v>25</v>
      </c>
      <c r="I495" t="s">
        <v>3472</v>
      </c>
      <c r="J495" t="s">
        <v>3036</v>
      </c>
      <c r="K495">
        <v>2138.7600000000002</v>
      </c>
    </row>
    <row r="496" spans="1:11" x14ac:dyDescent="0.25">
      <c r="A496" t="s">
        <v>3630</v>
      </c>
      <c r="B496" t="s">
        <v>1425</v>
      </c>
      <c r="C496" t="s">
        <v>3034</v>
      </c>
      <c r="D496" s="1">
        <v>46028.075335648151</v>
      </c>
      <c r="E496">
        <v>313.99</v>
      </c>
      <c r="F496">
        <v>9.41</v>
      </c>
      <c r="G496">
        <v>304.58</v>
      </c>
      <c r="H496" t="s">
        <v>25</v>
      </c>
      <c r="I496" t="s">
        <v>3474</v>
      </c>
      <c r="J496" t="s">
        <v>3036</v>
      </c>
      <c r="K496">
        <v>313.99</v>
      </c>
    </row>
    <row r="497" spans="1:11" x14ac:dyDescent="0.25">
      <c r="A497" t="s">
        <v>3631</v>
      </c>
      <c r="B497" t="s">
        <v>1431</v>
      </c>
      <c r="C497" t="s">
        <v>3034</v>
      </c>
      <c r="D497" s="1">
        <v>46029.257222222222</v>
      </c>
      <c r="E497">
        <v>722.27</v>
      </c>
      <c r="F497">
        <v>21.25</v>
      </c>
      <c r="G497">
        <v>701.02</v>
      </c>
      <c r="H497" t="s">
        <v>25</v>
      </c>
      <c r="I497" t="s">
        <v>3478</v>
      </c>
      <c r="J497" t="s">
        <v>3036</v>
      </c>
      <c r="K497">
        <v>722.27</v>
      </c>
    </row>
    <row r="498" spans="1:11" x14ac:dyDescent="0.25">
      <c r="A498" t="s">
        <v>3632</v>
      </c>
      <c r="B498" t="s">
        <v>1431</v>
      </c>
      <c r="C498" t="s">
        <v>3076</v>
      </c>
      <c r="D498" s="1">
        <v>46030.250277777777</v>
      </c>
      <c r="E498">
        <v>-722.27</v>
      </c>
      <c r="F498">
        <v>0</v>
      </c>
      <c r="G498">
        <v>-722.27</v>
      </c>
      <c r="H498" t="s">
        <v>25</v>
      </c>
      <c r="I498" t="s">
        <v>3633</v>
      </c>
      <c r="J498" t="s">
        <v>3036</v>
      </c>
      <c r="K498">
        <v>-722.27</v>
      </c>
    </row>
    <row r="499" spans="1:11" x14ac:dyDescent="0.25">
      <c r="A499" t="s">
        <v>3634</v>
      </c>
      <c r="B499" t="s">
        <v>1434</v>
      </c>
      <c r="C499" t="s">
        <v>3034</v>
      </c>
      <c r="D499" s="1">
        <v>46030.32203703704</v>
      </c>
      <c r="E499">
        <v>363.72</v>
      </c>
      <c r="F499">
        <v>10.85</v>
      </c>
      <c r="G499">
        <v>352.87</v>
      </c>
      <c r="H499" t="s">
        <v>52</v>
      </c>
      <c r="I499" t="s">
        <v>3545</v>
      </c>
      <c r="J499" t="s">
        <v>3036</v>
      </c>
      <c r="K499">
        <v>363.72</v>
      </c>
    </row>
    <row r="500" spans="1:11" x14ac:dyDescent="0.25">
      <c r="A500" t="s">
        <v>3635</v>
      </c>
      <c r="B500" t="s">
        <v>1437</v>
      </c>
      <c r="C500" t="s">
        <v>3034</v>
      </c>
      <c r="D500" s="1">
        <v>46031.439108796294</v>
      </c>
      <c r="E500">
        <v>2499.0500000000002</v>
      </c>
      <c r="F500">
        <v>72.77</v>
      </c>
      <c r="G500">
        <v>2426.2800000000002</v>
      </c>
      <c r="H500" t="s">
        <v>19</v>
      </c>
      <c r="I500" t="s">
        <v>3549</v>
      </c>
      <c r="J500" t="s">
        <v>3036</v>
      </c>
      <c r="K500">
        <v>2499.0500000000002</v>
      </c>
    </row>
    <row r="501" spans="1:11" x14ac:dyDescent="0.25">
      <c r="A501" t="s">
        <v>3636</v>
      </c>
      <c r="B501" t="s">
        <v>1440</v>
      </c>
      <c r="C501" t="s">
        <v>3034</v>
      </c>
      <c r="D501" s="1">
        <v>46032.523958333331</v>
      </c>
      <c r="E501">
        <v>1134.32</v>
      </c>
      <c r="F501">
        <v>33.200000000000003</v>
      </c>
      <c r="G501">
        <v>1101.1199999999999</v>
      </c>
      <c r="H501" t="s">
        <v>25</v>
      </c>
      <c r="I501" t="s">
        <v>3637</v>
      </c>
      <c r="J501" t="s">
        <v>3036</v>
      </c>
      <c r="K501">
        <v>1134.32</v>
      </c>
    </row>
    <row r="502" spans="1:11" x14ac:dyDescent="0.25">
      <c r="A502" t="s">
        <v>3638</v>
      </c>
      <c r="B502" t="s">
        <v>1443</v>
      </c>
      <c r="C502" t="s">
        <v>3034</v>
      </c>
      <c r="D502" s="1">
        <v>46033.599293981482</v>
      </c>
      <c r="E502">
        <v>597.30999999999995</v>
      </c>
      <c r="F502">
        <v>17.62</v>
      </c>
      <c r="G502">
        <v>579.69000000000005</v>
      </c>
      <c r="H502" t="s">
        <v>25</v>
      </c>
      <c r="I502" t="s">
        <v>3510</v>
      </c>
      <c r="J502" t="s">
        <v>3036</v>
      </c>
      <c r="K502">
        <v>597.30999999999995</v>
      </c>
    </row>
    <row r="503" spans="1:11" x14ac:dyDescent="0.25">
      <c r="A503" t="s">
        <v>3639</v>
      </c>
      <c r="B503" t="s">
        <v>1446</v>
      </c>
      <c r="C503" t="s">
        <v>3034</v>
      </c>
      <c r="D503" s="1">
        <v>46034.707974537036</v>
      </c>
      <c r="E503">
        <v>1371.03</v>
      </c>
      <c r="F503">
        <v>40.06</v>
      </c>
      <c r="G503">
        <v>1330.97</v>
      </c>
      <c r="H503" t="s">
        <v>25</v>
      </c>
      <c r="I503" t="s">
        <v>3553</v>
      </c>
      <c r="J503" t="s">
        <v>3036</v>
      </c>
      <c r="K503">
        <v>1371.03</v>
      </c>
    </row>
    <row r="504" spans="1:11" x14ac:dyDescent="0.25">
      <c r="A504" t="s">
        <v>3640</v>
      </c>
      <c r="B504" t="s">
        <v>1449</v>
      </c>
      <c r="C504" t="s">
        <v>3034</v>
      </c>
      <c r="D504" s="1">
        <v>46035.790381944447</v>
      </c>
      <c r="E504">
        <v>1228.1500000000001</v>
      </c>
      <c r="F504">
        <v>35.92</v>
      </c>
      <c r="G504">
        <v>1192.23</v>
      </c>
      <c r="H504" t="s">
        <v>25</v>
      </c>
      <c r="I504" t="s">
        <v>3490</v>
      </c>
      <c r="J504" t="s">
        <v>3036</v>
      </c>
      <c r="K504">
        <v>1228.1500000000001</v>
      </c>
    </row>
    <row r="505" spans="1:11" x14ac:dyDescent="0.25">
      <c r="A505" t="s">
        <v>3640</v>
      </c>
      <c r="B505" t="s">
        <v>1449</v>
      </c>
      <c r="C505" t="s">
        <v>3034</v>
      </c>
      <c r="D505" s="1">
        <v>46035.790381944447</v>
      </c>
      <c r="E505">
        <v>1228.1500000000001</v>
      </c>
      <c r="F505">
        <v>35.92</v>
      </c>
      <c r="G505">
        <v>1192.23</v>
      </c>
      <c r="H505" t="s">
        <v>25</v>
      </c>
      <c r="I505" t="s">
        <v>3490</v>
      </c>
      <c r="J505" t="s">
        <v>3036</v>
      </c>
      <c r="K505">
        <v>1228.1500000000001</v>
      </c>
    </row>
    <row r="506" spans="1:11" x14ac:dyDescent="0.25">
      <c r="A506" t="s">
        <v>3641</v>
      </c>
      <c r="B506" t="s">
        <v>1452</v>
      </c>
      <c r="C506" t="s">
        <v>3034</v>
      </c>
      <c r="D506" s="1">
        <v>46036.878263888888</v>
      </c>
      <c r="E506">
        <v>952.14</v>
      </c>
      <c r="F506">
        <v>27.91</v>
      </c>
      <c r="G506">
        <v>924.23</v>
      </c>
      <c r="H506" t="s">
        <v>25</v>
      </c>
      <c r="I506" t="s">
        <v>3492</v>
      </c>
      <c r="J506" t="s">
        <v>3036</v>
      </c>
      <c r="K506">
        <v>952.14</v>
      </c>
    </row>
    <row r="507" spans="1:11" x14ac:dyDescent="0.25">
      <c r="A507" t="s">
        <v>3642</v>
      </c>
      <c r="B507" t="s">
        <v>1452</v>
      </c>
      <c r="C507" t="s">
        <v>3076</v>
      </c>
      <c r="D507" s="1">
        <v>46037.871319444443</v>
      </c>
      <c r="E507">
        <v>-952.14</v>
      </c>
      <c r="F507">
        <v>0</v>
      </c>
      <c r="G507">
        <v>-952.14</v>
      </c>
      <c r="H507" t="s">
        <v>25</v>
      </c>
      <c r="I507" t="s">
        <v>3643</v>
      </c>
      <c r="J507" t="s">
        <v>3036</v>
      </c>
      <c r="K507">
        <v>-952.14</v>
      </c>
    </row>
    <row r="508" spans="1:11" x14ac:dyDescent="0.25">
      <c r="A508" t="s">
        <v>3644</v>
      </c>
      <c r="B508" t="s">
        <v>1455</v>
      </c>
      <c r="C508" t="s">
        <v>3034</v>
      </c>
      <c r="D508" s="1">
        <v>46023.98642361111</v>
      </c>
      <c r="E508">
        <v>491.27</v>
      </c>
      <c r="F508">
        <v>14.55</v>
      </c>
      <c r="G508">
        <v>476.72</v>
      </c>
      <c r="H508" t="s">
        <v>25</v>
      </c>
      <c r="I508" t="s">
        <v>3494</v>
      </c>
      <c r="J508" t="s">
        <v>3036</v>
      </c>
      <c r="K508">
        <v>491.27</v>
      </c>
    </row>
    <row r="509" spans="1:11" x14ac:dyDescent="0.25">
      <c r="A509" t="s">
        <v>3645</v>
      </c>
      <c r="B509" t="s">
        <v>1458</v>
      </c>
      <c r="C509" t="s">
        <v>3034</v>
      </c>
      <c r="D509" s="1">
        <v>46025.05978009259</v>
      </c>
      <c r="E509">
        <v>2014.85</v>
      </c>
      <c r="F509">
        <v>58.73</v>
      </c>
      <c r="G509">
        <v>1956.12</v>
      </c>
      <c r="H509" t="s">
        <v>25</v>
      </c>
      <c r="I509" t="s">
        <v>3468</v>
      </c>
      <c r="J509" t="s">
        <v>3036</v>
      </c>
      <c r="K509">
        <v>2014.85</v>
      </c>
    </row>
    <row r="510" spans="1:11" x14ac:dyDescent="0.25">
      <c r="A510" t="s">
        <v>3646</v>
      </c>
      <c r="B510" t="s">
        <v>1461</v>
      </c>
      <c r="C510" t="s">
        <v>3034</v>
      </c>
      <c r="D510" s="1">
        <v>46026.16783564815</v>
      </c>
      <c r="E510">
        <v>1331.4</v>
      </c>
      <c r="F510">
        <v>39.28</v>
      </c>
      <c r="G510">
        <v>1292.1199999999999</v>
      </c>
      <c r="H510" t="s">
        <v>25</v>
      </c>
      <c r="I510" t="s">
        <v>3470</v>
      </c>
      <c r="J510" t="s">
        <v>3036</v>
      </c>
      <c r="K510">
        <v>1331.4</v>
      </c>
    </row>
    <row r="511" spans="1:11" x14ac:dyDescent="0.25">
      <c r="A511" t="s">
        <v>3647</v>
      </c>
      <c r="B511" t="s">
        <v>1464</v>
      </c>
      <c r="C511" t="s">
        <v>3034</v>
      </c>
      <c r="D511" s="1">
        <v>46026.239398148151</v>
      </c>
      <c r="E511">
        <v>585.12</v>
      </c>
      <c r="F511">
        <v>17.27</v>
      </c>
      <c r="G511">
        <v>567.85</v>
      </c>
      <c r="H511" t="s">
        <v>52</v>
      </c>
      <c r="I511" t="s">
        <v>3561</v>
      </c>
      <c r="J511" t="s">
        <v>3036</v>
      </c>
      <c r="K511">
        <v>585.12</v>
      </c>
    </row>
    <row r="512" spans="1:11" x14ac:dyDescent="0.25">
      <c r="A512" t="s">
        <v>3648</v>
      </c>
      <c r="B512" t="s">
        <v>1467</v>
      </c>
      <c r="C512" t="s">
        <v>3034</v>
      </c>
      <c r="D512" s="1">
        <v>46027.361481481479</v>
      </c>
      <c r="E512">
        <v>1823.83</v>
      </c>
      <c r="F512">
        <v>53.19</v>
      </c>
      <c r="G512">
        <v>1770.64</v>
      </c>
      <c r="H512" t="s">
        <v>19</v>
      </c>
      <c r="I512" t="s">
        <v>3563</v>
      </c>
      <c r="J512" t="s">
        <v>3036</v>
      </c>
      <c r="K512">
        <v>1823.83</v>
      </c>
    </row>
    <row r="513" spans="1:11" x14ac:dyDescent="0.25">
      <c r="A513" t="s">
        <v>3649</v>
      </c>
      <c r="B513" t="s">
        <v>1470</v>
      </c>
      <c r="C513" t="s">
        <v>3034</v>
      </c>
      <c r="D513" s="1">
        <v>46028.444548611114</v>
      </c>
      <c r="E513">
        <v>719.73</v>
      </c>
      <c r="F513">
        <v>21.17</v>
      </c>
      <c r="G513">
        <v>698.56</v>
      </c>
      <c r="H513" t="s">
        <v>25</v>
      </c>
      <c r="I513" t="s">
        <v>3476</v>
      </c>
      <c r="J513" t="s">
        <v>3036</v>
      </c>
      <c r="K513">
        <v>719.73</v>
      </c>
    </row>
    <row r="514" spans="1:11" x14ac:dyDescent="0.25">
      <c r="A514" t="s">
        <v>3650</v>
      </c>
      <c r="B514" t="s">
        <v>1473</v>
      </c>
      <c r="C514" t="s">
        <v>3034</v>
      </c>
      <c r="D514" s="1">
        <v>46029.513078703705</v>
      </c>
      <c r="E514">
        <v>1083.48</v>
      </c>
      <c r="F514">
        <v>31.72</v>
      </c>
      <c r="G514">
        <v>1051.76</v>
      </c>
      <c r="H514" t="s">
        <v>25</v>
      </c>
      <c r="I514" t="s">
        <v>3478</v>
      </c>
      <c r="J514" t="s">
        <v>3036</v>
      </c>
      <c r="K514">
        <v>1083.48</v>
      </c>
    </row>
    <row r="515" spans="1:11" x14ac:dyDescent="0.25">
      <c r="A515" t="s">
        <v>3651</v>
      </c>
      <c r="B515" t="s">
        <v>1476</v>
      </c>
      <c r="C515" t="s">
        <v>3034</v>
      </c>
      <c r="D515" s="1">
        <v>46030.600324074076</v>
      </c>
      <c r="E515">
        <v>894.83</v>
      </c>
      <c r="F515">
        <v>26.25</v>
      </c>
      <c r="G515">
        <v>868.58</v>
      </c>
      <c r="H515" t="s">
        <v>25</v>
      </c>
      <c r="I515" t="s">
        <v>3480</v>
      </c>
      <c r="J515" t="s">
        <v>3036</v>
      </c>
      <c r="K515">
        <v>894.83</v>
      </c>
    </row>
    <row r="516" spans="1:11" x14ac:dyDescent="0.25">
      <c r="A516" t="s">
        <v>3652</v>
      </c>
      <c r="B516" t="s">
        <v>1479</v>
      </c>
      <c r="C516" t="s">
        <v>3034</v>
      </c>
      <c r="D516" s="1">
        <v>46031.696458333332</v>
      </c>
      <c r="E516">
        <v>1227.3499999999999</v>
      </c>
      <c r="F516">
        <v>35.89</v>
      </c>
      <c r="G516">
        <v>1191.46</v>
      </c>
      <c r="H516" t="s">
        <v>25</v>
      </c>
      <c r="I516" t="s">
        <v>3653</v>
      </c>
      <c r="J516" t="s">
        <v>3036</v>
      </c>
      <c r="K516">
        <v>1227.3499999999999</v>
      </c>
    </row>
    <row r="517" spans="1:11" x14ac:dyDescent="0.25">
      <c r="A517" t="s">
        <v>3654</v>
      </c>
      <c r="B517" t="s">
        <v>1482</v>
      </c>
      <c r="C517" t="s">
        <v>3034</v>
      </c>
      <c r="D517" s="1">
        <v>46032.803854166668</v>
      </c>
      <c r="E517">
        <v>1111.55</v>
      </c>
      <c r="F517">
        <v>32.53</v>
      </c>
      <c r="G517">
        <v>1079.02</v>
      </c>
      <c r="H517" t="s">
        <v>25</v>
      </c>
      <c r="I517" t="s">
        <v>3530</v>
      </c>
      <c r="J517" t="s">
        <v>3036</v>
      </c>
      <c r="K517">
        <v>1111.55</v>
      </c>
    </row>
    <row r="518" spans="1:11" x14ac:dyDescent="0.25">
      <c r="A518" t="s">
        <v>3655</v>
      </c>
      <c r="B518" t="s">
        <v>1485</v>
      </c>
      <c r="C518" t="s">
        <v>3034</v>
      </c>
      <c r="D518" s="1">
        <v>46033.90347222222</v>
      </c>
      <c r="E518">
        <v>1066.55</v>
      </c>
      <c r="F518">
        <v>31.23</v>
      </c>
      <c r="G518">
        <v>1035.32</v>
      </c>
      <c r="H518" t="s">
        <v>25</v>
      </c>
      <c r="I518" t="s">
        <v>3510</v>
      </c>
      <c r="J518" t="s">
        <v>3036</v>
      </c>
      <c r="K518">
        <v>1066.55</v>
      </c>
    </row>
    <row r="519" spans="1:11" x14ac:dyDescent="0.25">
      <c r="A519" t="s">
        <v>3656</v>
      </c>
      <c r="B519" t="s">
        <v>1485</v>
      </c>
      <c r="C519" t="s">
        <v>3076</v>
      </c>
      <c r="D519" s="1">
        <v>46034.896527777775</v>
      </c>
      <c r="E519">
        <v>-533.28</v>
      </c>
      <c r="F519">
        <v>0</v>
      </c>
      <c r="G519">
        <v>-533.28</v>
      </c>
      <c r="H519" t="s">
        <v>25</v>
      </c>
      <c r="I519" t="s">
        <v>3657</v>
      </c>
      <c r="J519" t="s">
        <v>3036</v>
      </c>
      <c r="K519">
        <v>-533.28</v>
      </c>
    </row>
    <row r="520" spans="1:11" x14ac:dyDescent="0.25">
      <c r="A520" t="s">
        <v>3658</v>
      </c>
      <c r="B520" t="s">
        <v>1488</v>
      </c>
      <c r="C520" t="s">
        <v>3034</v>
      </c>
      <c r="D520" s="1">
        <v>46035.004594907405</v>
      </c>
      <c r="E520">
        <v>2273.65</v>
      </c>
      <c r="F520">
        <v>66.239999999999995</v>
      </c>
      <c r="G520">
        <v>2207.41</v>
      </c>
      <c r="H520" t="s">
        <v>25</v>
      </c>
      <c r="I520" t="s">
        <v>3553</v>
      </c>
      <c r="J520" t="s">
        <v>3036</v>
      </c>
      <c r="K520">
        <v>2273.65</v>
      </c>
    </row>
    <row r="521" spans="1:11" x14ac:dyDescent="0.25">
      <c r="A521" t="s">
        <v>3659</v>
      </c>
      <c r="B521" t="s">
        <v>1491</v>
      </c>
      <c r="C521" t="s">
        <v>3034</v>
      </c>
      <c r="D521" s="1">
        <v>46036.068483796298</v>
      </c>
      <c r="E521">
        <v>1878.14</v>
      </c>
      <c r="F521">
        <v>54.77</v>
      </c>
      <c r="G521">
        <v>1823.37</v>
      </c>
      <c r="H521" t="s">
        <v>25</v>
      </c>
      <c r="I521" t="s">
        <v>3490</v>
      </c>
      <c r="J521" t="s">
        <v>3036</v>
      </c>
      <c r="K521">
        <v>1878.14</v>
      </c>
    </row>
    <row r="522" spans="1:11" x14ac:dyDescent="0.25">
      <c r="A522" t="s">
        <v>3660</v>
      </c>
      <c r="B522" t="s">
        <v>1497</v>
      </c>
      <c r="C522" t="s">
        <v>3034</v>
      </c>
      <c r="D522" s="1">
        <v>46023.248252314814</v>
      </c>
      <c r="E522">
        <v>2096.2600000000002</v>
      </c>
      <c r="F522">
        <v>61.09</v>
      </c>
      <c r="G522">
        <v>2035.17</v>
      </c>
      <c r="H522" t="s">
        <v>19</v>
      </c>
      <c r="I522" t="s">
        <v>3661</v>
      </c>
      <c r="J522" t="s">
        <v>3036</v>
      </c>
      <c r="K522">
        <v>2096.2600000000002</v>
      </c>
    </row>
    <row r="523" spans="1:11" x14ac:dyDescent="0.25">
      <c r="A523" t="s">
        <v>3662</v>
      </c>
      <c r="B523" t="s">
        <v>1500</v>
      </c>
      <c r="C523" t="s">
        <v>3034</v>
      </c>
      <c r="D523" s="1">
        <v>46024.343425925923</v>
      </c>
      <c r="E523">
        <v>616.87</v>
      </c>
      <c r="F523">
        <v>18.190000000000001</v>
      </c>
      <c r="G523">
        <v>598.67999999999995</v>
      </c>
      <c r="H523" t="s">
        <v>25</v>
      </c>
      <c r="I523" t="s">
        <v>3468</v>
      </c>
      <c r="J523" t="s">
        <v>3036</v>
      </c>
      <c r="K523">
        <v>616.87</v>
      </c>
    </row>
    <row r="524" spans="1:11" x14ac:dyDescent="0.25">
      <c r="A524" t="s">
        <v>3663</v>
      </c>
      <c r="B524" t="s">
        <v>1503</v>
      </c>
      <c r="C524" t="s">
        <v>3034</v>
      </c>
      <c r="D524" s="1">
        <v>46025.460798611108</v>
      </c>
      <c r="E524">
        <v>1810.8</v>
      </c>
      <c r="F524">
        <v>52.81</v>
      </c>
      <c r="G524">
        <v>1757.99</v>
      </c>
      <c r="H524" t="s">
        <v>25</v>
      </c>
      <c r="I524" t="s">
        <v>3470</v>
      </c>
      <c r="J524" t="s">
        <v>3036</v>
      </c>
      <c r="K524">
        <v>1810.8</v>
      </c>
    </row>
    <row r="525" spans="1:11" x14ac:dyDescent="0.25">
      <c r="A525" t="s">
        <v>3664</v>
      </c>
      <c r="B525" t="s">
        <v>1506</v>
      </c>
      <c r="C525" t="s">
        <v>3034</v>
      </c>
      <c r="D525" s="1">
        <v>46026.554502314815</v>
      </c>
      <c r="E525">
        <v>1419.1</v>
      </c>
      <c r="F525">
        <v>41.45</v>
      </c>
      <c r="G525">
        <v>1377.65</v>
      </c>
      <c r="H525" t="s">
        <v>25</v>
      </c>
      <c r="I525" t="s">
        <v>3472</v>
      </c>
      <c r="J525" t="s">
        <v>3036</v>
      </c>
      <c r="K525">
        <v>1419.1</v>
      </c>
    </row>
    <row r="526" spans="1:11" x14ac:dyDescent="0.25">
      <c r="A526" t="s">
        <v>3665</v>
      </c>
      <c r="B526" t="s">
        <v>1509</v>
      </c>
      <c r="C526" t="s">
        <v>3034</v>
      </c>
      <c r="D526" s="1">
        <v>46027.645358796297</v>
      </c>
      <c r="E526">
        <v>984.03</v>
      </c>
      <c r="F526">
        <v>28.84</v>
      </c>
      <c r="G526">
        <v>955.19</v>
      </c>
      <c r="H526" t="s">
        <v>25</v>
      </c>
      <c r="I526" t="s">
        <v>3474</v>
      </c>
      <c r="J526" t="s">
        <v>3036</v>
      </c>
      <c r="K526">
        <v>984.03</v>
      </c>
    </row>
    <row r="527" spans="1:11" x14ac:dyDescent="0.25">
      <c r="A527" t="s">
        <v>3666</v>
      </c>
      <c r="B527" t="s">
        <v>1512</v>
      </c>
      <c r="C527" t="s">
        <v>3034</v>
      </c>
      <c r="D527" s="1">
        <v>46028.702303240738</v>
      </c>
      <c r="E527">
        <v>1129.74</v>
      </c>
      <c r="F527">
        <v>33.06</v>
      </c>
      <c r="G527">
        <v>1096.68</v>
      </c>
      <c r="H527" t="s">
        <v>25</v>
      </c>
      <c r="I527" t="s">
        <v>3476</v>
      </c>
      <c r="J527" t="s">
        <v>3036</v>
      </c>
      <c r="K527">
        <v>1129.74</v>
      </c>
    </row>
    <row r="528" spans="1:11" x14ac:dyDescent="0.25">
      <c r="A528" t="s">
        <v>3667</v>
      </c>
      <c r="B528" t="s">
        <v>1515</v>
      </c>
      <c r="C528" t="s">
        <v>3034</v>
      </c>
      <c r="D528" s="1">
        <v>46029.79277777778</v>
      </c>
      <c r="E528">
        <v>1283.3</v>
      </c>
      <c r="F528">
        <v>37.520000000000003</v>
      </c>
      <c r="G528">
        <v>1245.78</v>
      </c>
      <c r="H528" t="s">
        <v>25</v>
      </c>
      <c r="I528" t="s">
        <v>3478</v>
      </c>
      <c r="J528" t="s">
        <v>3036</v>
      </c>
      <c r="K528">
        <v>1283.3</v>
      </c>
    </row>
    <row r="529" spans="1:11" x14ac:dyDescent="0.25">
      <c r="A529" t="s">
        <v>3668</v>
      </c>
      <c r="B529" t="s">
        <v>1518</v>
      </c>
      <c r="C529" t="s">
        <v>3034</v>
      </c>
      <c r="D529" s="1">
        <v>46030.884745370371</v>
      </c>
      <c r="E529">
        <v>577.48</v>
      </c>
      <c r="F529">
        <v>17.05</v>
      </c>
      <c r="G529">
        <v>560.42999999999995</v>
      </c>
      <c r="H529" t="s">
        <v>25</v>
      </c>
      <c r="I529" t="s">
        <v>3480</v>
      </c>
      <c r="J529" t="s">
        <v>3036</v>
      </c>
      <c r="K529">
        <v>577.48</v>
      </c>
    </row>
    <row r="530" spans="1:11" x14ac:dyDescent="0.25">
      <c r="A530" t="s">
        <v>3669</v>
      </c>
      <c r="B530" t="s">
        <v>1521</v>
      </c>
      <c r="C530" t="s">
        <v>3034</v>
      </c>
      <c r="D530" s="1">
        <v>46031.983530092592</v>
      </c>
      <c r="E530">
        <v>2080.63</v>
      </c>
      <c r="F530">
        <v>60.64</v>
      </c>
      <c r="G530">
        <v>2019.99</v>
      </c>
      <c r="H530" t="s">
        <v>25</v>
      </c>
      <c r="I530" t="s">
        <v>3482</v>
      </c>
      <c r="J530" t="s">
        <v>3036</v>
      </c>
      <c r="K530">
        <v>2080.63</v>
      </c>
    </row>
    <row r="531" spans="1:11" x14ac:dyDescent="0.25">
      <c r="A531" t="s">
        <v>3670</v>
      </c>
      <c r="B531" t="s">
        <v>1524</v>
      </c>
      <c r="C531" t="s">
        <v>3034</v>
      </c>
      <c r="D531" s="1">
        <v>46033.090555555558</v>
      </c>
      <c r="E531">
        <v>2159.4299999999998</v>
      </c>
      <c r="F531">
        <v>62.92</v>
      </c>
      <c r="G531">
        <v>2096.5100000000002</v>
      </c>
      <c r="H531" t="s">
        <v>52</v>
      </c>
      <c r="I531" t="s">
        <v>3484</v>
      </c>
      <c r="J531" t="s">
        <v>3036</v>
      </c>
      <c r="K531">
        <v>2159.4299999999998</v>
      </c>
    </row>
    <row r="532" spans="1:11" x14ac:dyDescent="0.25">
      <c r="A532" t="s">
        <v>3670</v>
      </c>
      <c r="B532" t="s">
        <v>1524</v>
      </c>
      <c r="C532" t="s">
        <v>3034</v>
      </c>
      <c r="D532" s="1">
        <v>46033.090555555558</v>
      </c>
      <c r="E532">
        <v>2159.4299999999998</v>
      </c>
      <c r="F532">
        <v>62.92</v>
      </c>
      <c r="G532">
        <v>2096.5100000000002</v>
      </c>
      <c r="H532" t="s">
        <v>52</v>
      </c>
      <c r="I532" t="s">
        <v>3484</v>
      </c>
      <c r="J532" t="s">
        <v>3036</v>
      </c>
      <c r="K532">
        <v>2159.4299999999998</v>
      </c>
    </row>
    <row r="533" spans="1:11" x14ac:dyDescent="0.25">
      <c r="A533" t="s">
        <v>3671</v>
      </c>
      <c r="B533" t="s">
        <v>1527</v>
      </c>
      <c r="C533" t="s">
        <v>3034</v>
      </c>
      <c r="D533" s="1">
        <v>46034.165578703702</v>
      </c>
      <c r="E533">
        <v>1122.44</v>
      </c>
      <c r="F533">
        <v>32.85</v>
      </c>
      <c r="G533">
        <v>1089.5899999999999</v>
      </c>
      <c r="H533" t="s">
        <v>19</v>
      </c>
      <c r="I533" t="s">
        <v>3486</v>
      </c>
      <c r="J533" t="s">
        <v>3036</v>
      </c>
      <c r="K533">
        <v>1122.44</v>
      </c>
    </row>
    <row r="534" spans="1:11" x14ac:dyDescent="0.25">
      <c r="A534" t="s">
        <v>3672</v>
      </c>
      <c r="B534" t="s">
        <v>1530</v>
      </c>
      <c r="C534" t="s">
        <v>3034</v>
      </c>
      <c r="D534" s="1">
        <v>46034.251331018517</v>
      </c>
      <c r="E534">
        <v>895</v>
      </c>
      <c r="F534">
        <v>26.26</v>
      </c>
      <c r="G534">
        <v>868.74</v>
      </c>
      <c r="H534" t="s">
        <v>25</v>
      </c>
      <c r="I534" t="s">
        <v>3553</v>
      </c>
      <c r="J534" t="s">
        <v>3036</v>
      </c>
      <c r="K534">
        <v>895</v>
      </c>
    </row>
    <row r="535" spans="1:11" x14ac:dyDescent="0.25">
      <c r="A535" t="s">
        <v>3673</v>
      </c>
      <c r="B535" t="s">
        <v>1533</v>
      </c>
      <c r="C535" t="s">
        <v>3034</v>
      </c>
      <c r="D535" s="1">
        <v>46035.349699074075</v>
      </c>
      <c r="E535">
        <v>2491.7600000000002</v>
      </c>
      <c r="F535">
        <v>72.56</v>
      </c>
      <c r="G535">
        <v>2419.1999999999998</v>
      </c>
      <c r="H535" t="s">
        <v>25</v>
      </c>
      <c r="I535" t="s">
        <v>3490</v>
      </c>
      <c r="J535" t="s">
        <v>3036</v>
      </c>
      <c r="K535">
        <v>2491.7600000000002</v>
      </c>
    </row>
    <row r="536" spans="1:11" x14ac:dyDescent="0.25">
      <c r="A536" t="s">
        <v>3674</v>
      </c>
      <c r="B536" t="s">
        <v>1536</v>
      </c>
      <c r="C536" t="s">
        <v>3034</v>
      </c>
      <c r="D536" s="1">
        <v>46036.460844907408</v>
      </c>
      <c r="E536">
        <v>2339.1799999999998</v>
      </c>
      <c r="F536">
        <v>68.14</v>
      </c>
      <c r="G536">
        <v>2271.04</v>
      </c>
      <c r="H536" t="s">
        <v>25</v>
      </c>
      <c r="I536" t="s">
        <v>3492</v>
      </c>
      <c r="J536" t="s">
        <v>3036</v>
      </c>
      <c r="K536">
        <v>2339.1799999999998</v>
      </c>
    </row>
    <row r="537" spans="1:11" x14ac:dyDescent="0.25">
      <c r="A537" t="s">
        <v>3675</v>
      </c>
      <c r="B537" t="s">
        <v>1539</v>
      </c>
      <c r="C537" t="s">
        <v>3034</v>
      </c>
      <c r="D537" s="1">
        <v>46023.545659722222</v>
      </c>
      <c r="E537">
        <v>676.71</v>
      </c>
      <c r="F537">
        <v>19.920000000000002</v>
      </c>
      <c r="G537">
        <v>656.79</v>
      </c>
      <c r="H537" t="s">
        <v>25</v>
      </c>
      <c r="I537" t="s">
        <v>3494</v>
      </c>
      <c r="J537" t="s">
        <v>3036</v>
      </c>
      <c r="K537">
        <v>676.71</v>
      </c>
    </row>
    <row r="538" spans="1:11" x14ac:dyDescent="0.25">
      <c r="A538" t="s">
        <v>3676</v>
      </c>
      <c r="B538" t="s">
        <v>1542</v>
      </c>
      <c r="C538" t="s">
        <v>3034</v>
      </c>
      <c r="D538" s="1">
        <v>46024.619884259257</v>
      </c>
      <c r="E538">
        <v>471.67</v>
      </c>
      <c r="F538">
        <v>13.98</v>
      </c>
      <c r="G538">
        <v>457.69</v>
      </c>
      <c r="H538" t="s">
        <v>25</v>
      </c>
      <c r="I538" t="s">
        <v>3468</v>
      </c>
      <c r="J538" t="s">
        <v>3036</v>
      </c>
      <c r="K538">
        <v>471.67</v>
      </c>
    </row>
    <row r="539" spans="1:11" x14ac:dyDescent="0.25">
      <c r="A539" t="s">
        <v>3677</v>
      </c>
      <c r="B539" t="s">
        <v>1545</v>
      </c>
      <c r="C539" t="s">
        <v>3034</v>
      </c>
      <c r="D539" s="1">
        <v>46025.745567129627</v>
      </c>
      <c r="E539">
        <v>1422.47</v>
      </c>
      <c r="F539">
        <v>41.55</v>
      </c>
      <c r="G539">
        <v>1380.92</v>
      </c>
      <c r="H539" t="s">
        <v>25</v>
      </c>
      <c r="I539" t="s">
        <v>3470</v>
      </c>
      <c r="J539" t="s">
        <v>3036</v>
      </c>
      <c r="K539">
        <v>1422.47</v>
      </c>
    </row>
    <row r="540" spans="1:11" x14ac:dyDescent="0.25">
      <c r="A540" t="s">
        <v>3677</v>
      </c>
      <c r="B540" t="s">
        <v>1545</v>
      </c>
      <c r="C540" t="s">
        <v>3034</v>
      </c>
      <c r="D540" s="1">
        <v>46025.745567129627</v>
      </c>
      <c r="E540">
        <v>1422.47</v>
      </c>
      <c r="F540">
        <v>41.55</v>
      </c>
      <c r="G540">
        <v>1380.92</v>
      </c>
      <c r="H540" t="s">
        <v>25</v>
      </c>
      <c r="I540" t="s">
        <v>3470</v>
      </c>
      <c r="J540" t="s">
        <v>3036</v>
      </c>
      <c r="K540">
        <v>1422.47</v>
      </c>
    </row>
    <row r="541" spans="1:11" x14ac:dyDescent="0.25">
      <c r="A541" t="s">
        <v>3678</v>
      </c>
      <c r="B541" t="s">
        <v>1548</v>
      </c>
      <c r="C541" t="s">
        <v>3034</v>
      </c>
      <c r="D541" s="1">
        <v>46026.802789351852</v>
      </c>
      <c r="E541">
        <v>1694.06</v>
      </c>
      <c r="F541">
        <v>49.43</v>
      </c>
      <c r="G541">
        <v>1644.63</v>
      </c>
      <c r="H541" t="s">
        <v>25</v>
      </c>
      <c r="I541" t="s">
        <v>3679</v>
      </c>
      <c r="J541" t="s">
        <v>3036</v>
      </c>
      <c r="K541">
        <v>1694.06</v>
      </c>
    </row>
    <row r="542" spans="1:11" x14ac:dyDescent="0.25">
      <c r="A542" t="s">
        <v>3680</v>
      </c>
      <c r="B542" t="s">
        <v>1551</v>
      </c>
      <c r="C542" t="s">
        <v>3034</v>
      </c>
      <c r="D542" s="1">
        <v>46027.900196759256</v>
      </c>
      <c r="E542">
        <v>1080.8399999999999</v>
      </c>
      <c r="F542">
        <v>31.64</v>
      </c>
      <c r="G542">
        <v>1049.2</v>
      </c>
      <c r="H542" t="s">
        <v>25</v>
      </c>
      <c r="I542" t="s">
        <v>3474</v>
      </c>
      <c r="J542" t="s">
        <v>3036</v>
      </c>
      <c r="K542">
        <v>1080.8399999999999</v>
      </c>
    </row>
    <row r="543" spans="1:11" x14ac:dyDescent="0.25">
      <c r="A543" t="s">
        <v>3681</v>
      </c>
      <c r="B543" t="s">
        <v>1554</v>
      </c>
      <c r="C543" t="s">
        <v>3034</v>
      </c>
      <c r="D543" s="1">
        <v>46029.010613425926</v>
      </c>
      <c r="E543">
        <v>926.01</v>
      </c>
      <c r="F543">
        <v>27.15</v>
      </c>
      <c r="G543">
        <v>898.86</v>
      </c>
      <c r="H543" t="s">
        <v>52</v>
      </c>
      <c r="I543" t="s">
        <v>3502</v>
      </c>
      <c r="J543" t="s">
        <v>3036</v>
      </c>
      <c r="K543">
        <v>926.01</v>
      </c>
    </row>
    <row r="544" spans="1:11" x14ac:dyDescent="0.25">
      <c r="A544" t="s">
        <v>3682</v>
      </c>
      <c r="B544" t="s">
        <v>1557</v>
      </c>
      <c r="C544" t="s">
        <v>3034</v>
      </c>
      <c r="D544" s="1">
        <v>46030.096597222226</v>
      </c>
      <c r="E544">
        <v>814.76</v>
      </c>
      <c r="F544">
        <v>23.93</v>
      </c>
      <c r="G544">
        <v>790.83</v>
      </c>
      <c r="H544" t="s">
        <v>19</v>
      </c>
      <c r="I544" t="s">
        <v>3504</v>
      </c>
      <c r="J544" t="s">
        <v>3036</v>
      </c>
      <c r="K544">
        <v>814.76</v>
      </c>
    </row>
    <row r="545" spans="1:11" x14ac:dyDescent="0.25">
      <c r="A545" t="s">
        <v>3683</v>
      </c>
      <c r="B545" t="s">
        <v>1560</v>
      </c>
      <c r="C545" t="s">
        <v>3034</v>
      </c>
      <c r="D545" s="1">
        <v>46031.199120370373</v>
      </c>
      <c r="E545">
        <v>1931.09</v>
      </c>
      <c r="F545">
        <v>56.3</v>
      </c>
      <c r="G545">
        <v>1874.79</v>
      </c>
      <c r="H545" t="s">
        <v>25</v>
      </c>
      <c r="I545" t="s">
        <v>3480</v>
      </c>
      <c r="J545" t="s">
        <v>3036</v>
      </c>
      <c r="K545">
        <v>1931.09</v>
      </c>
    </row>
    <row r="546" spans="1:11" x14ac:dyDescent="0.25">
      <c r="A546" t="s">
        <v>3684</v>
      </c>
      <c r="B546" t="s">
        <v>1563</v>
      </c>
      <c r="C546" t="s">
        <v>3034</v>
      </c>
      <c r="D546" s="1">
        <v>46031.261087962965</v>
      </c>
      <c r="E546">
        <v>1834.13</v>
      </c>
      <c r="F546">
        <v>53.49</v>
      </c>
      <c r="G546">
        <v>1780.64</v>
      </c>
      <c r="H546" t="s">
        <v>25</v>
      </c>
      <c r="I546" t="s">
        <v>3482</v>
      </c>
      <c r="J546" t="s">
        <v>3036</v>
      </c>
      <c r="K546">
        <v>1834.13</v>
      </c>
    </row>
    <row r="547" spans="1:11" x14ac:dyDescent="0.25">
      <c r="A547" t="s">
        <v>3685</v>
      </c>
      <c r="B547" t="s">
        <v>1566</v>
      </c>
      <c r="C547" t="s">
        <v>3034</v>
      </c>
      <c r="D547" s="1">
        <v>46032.357361111113</v>
      </c>
      <c r="E547">
        <v>1811.31</v>
      </c>
      <c r="F547">
        <v>52.83</v>
      </c>
      <c r="G547">
        <v>1758.48</v>
      </c>
      <c r="H547" t="s">
        <v>25</v>
      </c>
      <c r="I547" t="s">
        <v>3530</v>
      </c>
      <c r="J547" t="s">
        <v>3036</v>
      </c>
      <c r="K547">
        <v>1811.31</v>
      </c>
    </row>
    <row r="548" spans="1:11" x14ac:dyDescent="0.25">
      <c r="A548" t="s">
        <v>3686</v>
      </c>
      <c r="B548" t="s">
        <v>1569</v>
      </c>
      <c r="C548" t="s">
        <v>3034</v>
      </c>
      <c r="D548" s="1">
        <v>46033.456712962965</v>
      </c>
      <c r="E548">
        <v>1135.72</v>
      </c>
      <c r="F548">
        <v>33.24</v>
      </c>
      <c r="G548">
        <v>1102.48</v>
      </c>
      <c r="H548" t="s">
        <v>25</v>
      </c>
      <c r="I548" t="s">
        <v>3510</v>
      </c>
      <c r="J548" t="s">
        <v>3036</v>
      </c>
      <c r="K548">
        <v>1135.72</v>
      </c>
    </row>
    <row r="549" spans="1:11" x14ac:dyDescent="0.25">
      <c r="A549" t="s">
        <v>3687</v>
      </c>
      <c r="B549" t="s">
        <v>1572</v>
      </c>
      <c r="C549" t="s">
        <v>3034</v>
      </c>
      <c r="D549" s="1">
        <v>46034.57068287037</v>
      </c>
      <c r="E549">
        <v>409.76</v>
      </c>
      <c r="F549">
        <v>12.18</v>
      </c>
      <c r="G549">
        <v>397.58</v>
      </c>
      <c r="H549" t="s">
        <v>25</v>
      </c>
      <c r="I549" t="s">
        <v>3688</v>
      </c>
      <c r="J549" t="s">
        <v>3036</v>
      </c>
      <c r="K549">
        <v>409.76</v>
      </c>
    </row>
    <row r="550" spans="1:11" x14ac:dyDescent="0.25">
      <c r="A550" t="s">
        <v>3689</v>
      </c>
      <c r="B550" t="s">
        <v>1575</v>
      </c>
      <c r="C550" t="s">
        <v>3034</v>
      </c>
      <c r="D550" s="1">
        <v>46035.651273148149</v>
      </c>
      <c r="E550">
        <v>773.07</v>
      </c>
      <c r="F550">
        <v>22.72</v>
      </c>
      <c r="G550">
        <v>750.35</v>
      </c>
      <c r="H550" t="s">
        <v>25</v>
      </c>
      <c r="I550" t="s">
        <v>3490</v>
      </c>
      <c r="J550" t="s">
        <v>3036</v>
      </c>
      <c r="K550">
        <v>773.07</v>
      </c>
    </row>
    <row r="551" spans="1:11" x14ac:dyDescent="0.25">
      <c r="A551" t="s">
        <v>3690</v>
      </c>
      <c r="B551" t="s">
        <v>1578</v>
      </c>
      <c r="C551" t="s">
        <v>3034</v>
      </c>
      <c r="D551" s="1">
        <v>46036.750127314815</v>
      </c>
      <c r="E551">
        <v>1175.8499999999999</v>
      </c>
      <c r="F551">
        <v>34.4</v>
      </c>
      <c r="G551">
        <v>1141.45</v>
      </c>
      <c r="H551" t="s">
        <v>25</v>
      </c>
      <c r="I551" t="s">
        <v>3492</v>
      </c>
      <c r="J551" t="s">
        <v>3036</v>
      </c>
      <c r="K551">
        <v>1175.8499999999999</v>
      </c>
    </row>
    <row r="552" spans="1:11" x14ac:dyDescent="0.25">
      <c r="A552" t="s">
        <v>3691</v>
      </c>
      <c r="B552" t="s">
        <v>1578</v>
      </c>
      <c r="C552" t="s">
        <v>3076</v>
      </c>
      <c r="D552" s="1">
        <v>46037.74318287037</v>
      </c>
      <c r="E552">
        <v>-1175.8499999999999</v>
      </c>
      <c r="F552">
        <v>0</v>
      </c>
      <c r="G552">
        <v>-1175.8499999999999</v>
      </c>
      <c r="H552" t="s">
        <v>25</v>
      </c>
      <c r="I552" t="s">
        <v>3692</v>
      </c>
      <c r="J552" t="s">
        <v>3036</v>
      </c>
      <c r="K552">
        <v>-1175.8499999999999</v>
      </c>
    </row>
    <row r="553" spans="1:11" x14ac:dyDescent="0.25">
      <c r="A553" t="s">
        <v>3693</v>
      </c>
      <c r="B553" t="s">
        <v>1581</v>
      </c>
      <c r="C553" t="s">
        <v>3034</v>
      </c>
      <c r="D553" s="1">
        <v>46023.805231481485</v>
      </c>
      <c r="E553">
        <v>2341.44</v>
      </c>
      <c r="F553">
        <v>68.2</v>
      </c>
      <c r="G553">
        <v>2273.2399999999998</v>
      </c>
      <c r="H553" t="s">
        <v>25</v>
      </c>
      <c r="I553" t="s">
        <v>3494</v>
      </c>
      <c r="J553" t="s">
        <v>3036</v>
      </c>
      <c r="K553">
        <v>2341.44</v>
      </c>
    </row>
    <row r="554" spans="1:11" x14ac:dyDescent="0.25">
      <c r="A554" t="s">
        <v>3694</v>
      </c>
      <c r="B554" t="s">
        <v>1584</v>
      </c>
      <c r="C554" t="s">
        <v>3034</v>
      </c>
      <c r="D554" s="1">
        <v>46024.897164351853</v>
      </c>
      <c r="E554">
        <v>673.28</v>
      </c>
      <c r="F554">
        <v>19.829999999999998</v>
      </c>
      <c r="G554">
        <v>653.45000000000005</v>
      </c>
      <c r="H554" t="s">
        <v>52</v>
      </c>
      <c r="I554" t="s">
        <v>3518</v>
      </c>
      <c r="J554" t="s">
        <v>3036</v>
      </c>
      <c r="K554">
        <v>673.28</v>
      </c>
    </row>
    <row r="555" spans="1:11" x14ac:dyDescent="0.25">
      <c r="A555" t="s">
        <v>3695</v>
      </c>
      <c r="B555" t="s">
        <v>1587</v>
      </c>
      <c r="C555" t="s">
        <v>3034</v>
      </c>
      <c r="D555" s="1">
        <v>46025.994120370371</v>
      </c>
      <c r="E555">
        <v>1814.1</v>
      </c>
      <c r="F555">
        <v>52.91</v>
      </c>
      <c r="G555">
        <v>1761.19</v>
      </c>
      <c r="H555" t="s">
        <v>19</v>
      </c>
      <c r="I555" t="s">
        <v>3520</v>
      </c>
      <c r="J555" t="s">
        <v>3036</v>
      </c>
      <c r="K555">
        <v>1814.1</v>
      </c>
    </row>
    <row r="556" spans="1:11" x14ac:dyDescent="0.25">
      <c r="A556" t="s">
        <v>3696</v>
      </c>
      <c r="B556" t="s">
        <v>1590</v>
      </c>
      <c r="C556" t="s">
        <v>3034</v>
      </c>
      <c r="D556" s="1">
        <v>46027.085798611108</v>
      </c>
      <c r="E556">
        <v>508.29</v>
      </c>
      <c r="F556">
        <v>15.04</v>
      </c>
      <c r="G556">
        <v>493.25</v>
      </c>
      <c r="H556" t="s">
        <v>25</v>
      </c>
      <c r="I556" t="s">
        <v>3472</v>
      </c>
      <c r="J556" t="s">
        <v>3036</v>
      </c>
      <c r="K556">
        <v>508.29</v>
      </c>
    </row>
    <row r="557" spans="1:11" x14ac:dyDescent="0.25">
      <c r="A557" t="s">
        <v>3697</v>
      </c>
      <c r="B557" t="s">
        <v>1593</v>
      </c>
      <c r="C557" t="s">
        <v>3034</v>
      </c>
      <c r="D557" s="1">
        <v>46028.174571759257</v>
      </c>
      <c r="E557">
        <v>228.86</v>
      </c>
      <c r="F557">
        <v>6.94</v>
      </c>
      <c r="G557">
        <v>221.92</v>
      </c>
      <c r="H557" t="s">
        <v>25</v>
      </c>
      <c r="I557" t="s">
        <v>3474</v>
      </c>
      <c r="J557" t="s">
        <v>3036</v>
      </c>
      <c r="K557">
        <v>228.86</v>
      </c>
    </row>
    <row r="558" spans="1:11" x14ac:dyDescent="0.25">
      <c r="A558" t="s">
        <v>3698</v>
      </c>
      <c r="B558" t="s">
        <v>1596</v>
      </c>
      <c r="C558" t="s">
        <v>3034</v>
      </c>
      <c r="D558" s="1">
        <v>46028.288576388892</v>
      </c>
      <c r="E558">
        <v>1181.33</v>
      </c>
      <c r="F558">
        <v>34.56</v>
      </c>
      <c r="G558">
        <v>1146.77</v>
      </c>
      <c r="H558" t="s">
        <v>25</v>
      </c>
      <c r="I558" t="s">
        <v>3476</v>
      </c>
      <c r="J558" t="s">
        <v>3036</v>
      </c>
      <c r="K558">
        <v>1181.33</v>
      </c>
    </row>
    <row r="559" spans="1:11" x14ac:dyDescent="0.25">
      <c r="A559" t="s">
        <v>3699</v>
      </c>
      <c r="B559" t="s">
        <v>1599</v>
      </c>
      <c r="C559" t="s">
        <v>3034</v>
      </c>
      <c r="D559" s="1">
        <v>46029.373981481483</v>
      </c>
      <c r="E559">
        <v>1132.8900000000001</v>
      </c>
      <c r="F559">
        <v>33.15</v>
      </c>
      <c r="G559">
        <v>1099.74</v>
      </c>
      <c r="H559" t="s">
        <v>25</v>
      </c>
      <c r="I559" t="s">
        <v>3478</v>
      </c>
      <c r="J559" t="s">
        <v>3036</v>
      </c>
      <c r="K559">
        <v>1132.8900000000001</v>
      </c>
    </row>
    <row r="560" spans="1:11" x14ac:dyDescent="0.25">
      <c r="A560" t="s">
        <v>3700</v>
      </c>
      <c r="B560" t="s">
        <v>1602</v>
      </c>
      <c r="C560" t="s">
        <v>3034</v>
      </c>
      <c r="D560" s="1">
        <v>46030.447233796294</v>
      </c>
      <c r="E560">
        <v>2280.5500000000002</v>
      </c>
      <c r="F560">
        <v>66.44</v>
      </c>
      <c r="G560">
        <v>2214.11</v>
      </c>
      <c r="H560" t="s">
        <v>25</v>
      </c>
      <c r="I560" t="s">
        <v>3480</v>
      </c>
      <c r="J560" t="s">
        <v>3036</v>
      </c>
      <c r="K560">
        <v>2280.5500000000002</v>
      </c>
    </row>
    <row r="561" spans="1:11" x14ac:dyDescent="0.25">
      <c r="A561" t="s">
        <v>3701</v>
      </c>
      <c r="B561" t="s">
        <v>1608</v>
      </c>
      <c r="C561" t="s">
        <v>3034</v>
      </c>
      <c r="D561" s="1">
        <v>46032.63989583333</v>
      </c>
      <c r="E561">
        <v>2427.46</v>
      </c>
      <c r="F561">
        <v>70.7</v>
      </c>
      <c r="G561">
        <v>2356.7600000000002</v>
      </c>
      <c r="H561" t="s">
        <v>25</v>
      </c>
      <c r="I561" t="s">
        <v>3530</v>
      </c>
      <c r="J561" t="s">
        <v>3036</v>
      </c>
      <c r="K561">
        <v>2427.46</v>
      </c>
    </row>
    <row r="562" spans="1:11" x14ac:dyDescent="0.25">
      <c r="A562" t="s">
        <v>3702</v>
      </c>
      <c r="B562" t="s">
        <v>1611</v>
      </c>
      <c r="C562" t="s">
        <v>3034</v>
      </c>
      <c r="D562" s="1">
        <v>46033.727719907409</v>
      </c>
      <c r="E562">
        <v>979.63</v>
      </c>
      <c r="F562">
        <v>28.71</v>
      </c>
      <c r="G562">
        <v>950.92</v>
      </c>
      <c r="H562" t="s">
        <v>25</v>
      </c>
      <c r="I562" t="s">
        <v>3510</v>
      </c>
      <c r="J562" t="s">
        <v>3036</v>
      </c>
      <c r="K562">
        <v>979.63</v>
      </c>
    </row>
    <row r="563" spans="1:11" x14ac:dyDescent="0.25">
      <c r="A563" t="s">
        <v>3703</v>
      </c>
      <c r="B563" t="s">
        <v>1614</v>
      </c>
      <c r="C563" t="s">
        <v>3034</v>
      </c>
      <c r="D563" s="1">
        <v>46034.84238425926</v>
      </c>
      <c r="E563">
        <v>1587.87</v>
      </c>
      <c r="F563">
        <v>46.35</v>
      </c>
      <c r="G563">
        <v>1541.52</v>
      </c>
      <c r="H563" t="s">
        <v>52</v>
      </c>
      <c r="I563" t="s">
        <v>3533</v>
      </c>
      <c r="J563" t="s">
        <v>3036</v>
      </c>
      <c r="K563">
        <v>1587.87</v>
      </c>
    </row>
    <row r="564" spans="1:11" x14ac:dyDescent="0.25">
      <c r="A564" t="s">
        <v>3704</v>
      </c>
      <c r="B564" t="s">
        <v>1617</v>
      </c>
      <c r="C564" t="s">
        <v>3034</v>
      </c>
      <c r="D564" s="1">
        <v>46035.943483796298</v>
      </c>
      <c r="E564">
        <v>883.1</v>
      </c>
      <c r="F564">
        <v>26.28</v>
      </c>
      <c r="G564">
        <v>856.82</v>
      </c>
      <c r="H564" t="s">
        <v>19</v>
      </c>
      <c r="I564" t="s">
        <v>3535</v>
      </c>
      <c r="J564" t="s">
        <v>3036</v>
      </c>
      <c r="K564">
        <v>883.1</v>
      </c>
    </row>
    <row r="565" spans="1:11" x14ac:dyDescent="0.25">
      <c r="A565" t="s">
        <v>3705</v>
      </c>
      <c r="B565" t="s">
        <v>1620</v>
      </c>
      <c r="C565" t="s">
        <v>3034</v>
      </c>
      <c r="D565" s="1">
        <v>46037.022118055553</v>
      </c>
      <c r="E565">
        <v>2283.86</v>
      </c>
      <c r="F565">
        <v>66.53</v>
      </c>
      <c r="G565">
        <v>2217.33</v>
      </c>
      <c r="H565" t="s">
        <v>25</v>
      </c>
      <c r="I565" t="s">
        <v>3492</v>
      </c>
      <c r="J565" t="s">
        <v>3036</v>
      </c>
      <c r="K565">
        <v>2283.86</v>
      </c>
    </row>
    <row r="566" spans="1:11" x14ac:dyDescent="0.25">
      <c r="A566" t="s">
        <v>3706</v>
      </c>
      <c r="B566" t="s">
        <v>1623</v>
      </c>
      <c r="C566" t="s">
        <v>3034</v>
      </c>
      <c r="D566" s="1">
        <v>46024.114374999997</v>
      </c>
      <c r="E566">
        <v>962.37</v>
      </c>
      <c r="F566">
        <v>28.21</v>
      </c>
      <c r="G566">
        <v>934.16</v>
      </c>
      <c r="H566" t="s">
        <v>25</v>
      </c>
      <c r="I566" t="s">
        <v>3494</v>
      </c>
      <c r="J566" t="s">
        <v>3036</v>
      </c>
      <c r="K566">
        <v>962.37</v>
      </c>
    </row>
    <row r="567" spans="1:11" x14ac:dyDescent="0.25">
      <c r="A567" t="s">
        <v>3707</v>
      </c>
      <c r="B567" t="s">
        <v>1626</v>
      </c>
      <c r="C567" t="s">
        <v>3034</v>
      </c>
      <c r="D567" s="1">
        <v>46025.209837962961</v>
      </c>
      <c r="E567">
        <v>1620.21</v>
      </c>
      <c r="F567">
        <v>47.29</v>
      </c>
      <c r="G567">
        <v>1572.92</v>
      </c>
      <c r="H567" t="s">
        <v>25</v>
      </c>
      <c r="I567" t="s">
        <v>3468</v>
      </c>
      <c r="J567" t="s">
        <v>3036</v>
      </c>
      <c r="K567">
        <v>1620.21</v>
      </c>
    </row>
    <row r="568" spans="1:11" x14ac:dyDescent="0.25">
      <c r="A568" t="s">
        <v>3708</v>
      </c>
      <c r="B568" t="s">
        <v>1629</v>
      </c>
      <c r="C568" t="s">
        <v>3034</v>
      </c>
      <c r="D568" s="1">
        <v>46025.275405092594</v>
      </c>
      <c r="E568">
        <v>876.95</v>
      </c>
      <c r="F568">
        <v>25.73</v>
      </c>
      <c r="G568">
        <v>851.22</v>
      </c>
      <c r="H568" t="s">
        <v>25</v>
      </c>
      <c r="I568" t="s">
        <v>3470</v>
      </c>
      <c r="J568" t="s">
        <v>3036</v>
      </c>
      <c r="K568">
        <v>876.95</v>
      </c>
    </row>
    <row r="569" spans="1:11" x14ac:dyDescent="0.25">
      <c r="A569" t="s">
        <v>3709</v>
      </c>
      <c r="B569" t="s">
        <v>1632</v>
      </c>
      <c r="C569" t="s">
        <v>3034</v>
      </c>
      <c r="D569" s="1">
        <v>46026.398564814815</v>
      </c>
      <c r="E569">
        <v>1158.08</v>
      </c>
      <c r="F569">
        <v>33.880000000000003</v>
      </c>
      <c r="G569">
        <v>1124.2</v>
      </c>
      <c r="H569" t="s">
        <v>25</v>
      </c>
      <c r="I569" t="s">
        <v>3472</v>
      </c>
      <c r="J569" t="s">
        <v>3036</v>
      </c>
      <c r="K569">
        <v>1158.08</v>
      </c>
    </row>
    <row r="570" spans="1:11" x14ac:dyDescent="0.25">
      <c r="A570" t="s">
        <v>3710</v>
      </c>
      <c r="B570" t="s">
        <v>1635</v>
      </c>
      <c r="C570" t="s">
        <v>3034</v>
      </c>
      <c r="D570" s="1">
        <v>46027.484548611108</v>
      </c>
      <c r="E570">
        <v>2204.52</v>
      </c>
      <c r="F570">
        <v>64.23</v>
      </c>
      <c r="G570">
        <v>2140.29</v>
      </c>
      <c r="H570" t="s">
        <v>25</v>
      </c>
      <c r="I570" t="s">
        <v>3474</v>
      </c>
      <c r="J570" t="s">
        <v>3036</v>
      </c>
      <c r="K570">
        <v>2204.52</v>
      </c>
    </row>
    <row r="571" spans="1:11" x14ac:dyDescent="0.25">
      <c r="A571" t="s">
        <v>3711</v>
      </c>
      <c r="B571" t="s">
        <v>1638</v>
      </c>
      <c r="C571" t="s">
        <v>3034</v>
      </c>
      <c r="D571" s="1">
        <v>46028.58425925926</v>
      </c>
      <c r="E571">
        <v>2263.1799999999998</v>
      </c>
      <c r="F571">
        <v>65.930000000000007</v>
      </c>
      <c r="G571">
        <v>2197.25</v>
      </c>
      <c r="H571" t="s">
        <v>25</v>
      </c>
      <c r="I571" t="s">
        <v>3476</v>
      </c>
      <c r="J571" t="s">
        <v>3036</v>
      </c>
      <c r="K571">
        <v>2263.1799999999998</v>
      </c>
    </row>
    <row r="572" spans="1:11" x14ac:dyDescent="0.25">
      <c r="A572" t="s">
        <v>3712</v>
      </c>
      <c r="B572" t="s">
        <v>1641</v>
      </c>
      <c r="C572" t="s">
        <v>3034</v>
      </c>
      <c r="D572" s="1">
        <v>46029.662893518522</v>
      </c>
      <c r="E572">
        <v>2388.0700000000002</v>
      </c>
      <c r="F572">
        <v>69.55</v>
      </c>
      <c r="G572">
        <v>2318.52</v>
      </c>
      <c r="H572" t="s">
        <v>25</v>
      </c>
      <c r="I572" t="s">
        <v>3478</v>
      </c>
      <c r="J572" t="s">
        <v>3036</v>
      </c>
      <c r="K572">
        <v>2388.0700000000002</v>
      </c>
    </row>
    <row r="573" spans="1:11" x14ac:dyDescent="0.25">
      <c r="A573" t="s">
        <v>3713</v>
      </c>
      <c r="B573" t="s">
        <v>1644</v>
      </c>
      <c r="C573" t="s">
        <v>3034</v>
      </c>
      <c r="D573" s="1">
        <v>46030.732083333336</v>
      </c>
      <c r="E573">
        <v>2284.62</v>
      </c>
      <c r="F573">
        <v>66.55</v>
      </c>
      <c r="G573">
        <v>2218.0700000000002</v>
      </c>
      <c r="H573" t="s">
        <v>52</v>
      </c>
      <c r="I573" t="s">
        <v>3545</v>
      </c>
      <c r="J573" t="s">
        <v>3036</v>
      </c>
      <c r="K573">
        <v>2284.62</v>
      </c>
    </row>
    <row r="574" spans="1:11" x14ac:dyDescent="0.25">
      <c r="A574" t="s">
        <v>3714</v>
      </c>
      <c r="B574" t="s">
        <v>1647</v>
      </c>
      <c r="C574" t="s">
        <v>3034</v>
      </c>
      <c r="D574" s="1">
        <v>46031.859606481485</v>
      </c>
      <c r="E574">
        <v>1321.87</v>
      </c>
      <c r="F574">
        <v>38.630000000000003</v>
      </c>
      <c r="G574">
        <v>1283.24</v>
      </c>
      <c r="H574" t="s">
        <v>19</v>
      </c>
      <c r="I574" t="s">
        <v>3549</v>
      </c>
      <c r="J574" t="s">
        <v>3036</v>
      </c>
      <c r="K574">
        <v>1321.87</v>
      </c>
    </row>
    <row r="575" spans="1:11" x14ac:dyDescent="0.25">
      <c r="A575" t="s">
        <v>3715</v>
      </c>
      <c r="B575" t="s">
        <v>1650</v>
      </c>
      <c r="C575" t="s">
        <v>3034</v>
      </c>
      <c r="D575" s="1">
        <v>46032.946030092593</v>
      </c>
      <c r="E575">
        <v>1256.48</v>
      </c>
      <c r="F575">
        <v>36.74</v>
      </c>
      <c r="G575">
        <v>1219.74</v>
      </c>
      <c r="H575" t="s">
        <v>25</v>
      </c>
      <c r="I575" t="s">
        <v>3530</v>
      </c>
      <c r="J575" t="s">
        <v>3036</v>
      </c>
      <c r="K575">
        <v>1256.48</v>
      </c>
    </row>
    <row r="576" spans="1:11" x14ac:dyDescent="0.25">
      <c r="A576" t="s">
        <v>3716</v>
      </c>
      <c r="B576" t="s">
        <v>1653</v>
      </c>
      <c r="C576" t="s">
        <v>3034</v>
      </c>
      <c r="D576" s="1">
        <v>46034.020798611113</v>
      </c>
      <c r="E576">
        <v>1530.72</v>
      </c>
      <c r="F576">
        <v>44.69</v>
      </c>
      <c r="G576">
        <v>1486.03</v>
      </c>
      <c r="H576" t="s">
        <v>25</v>
      </c>
      <c r="I576" t="s">
        <v>3510</v>
      </c>
      <c r="J576" t="s">
        <v>3036</v>
      </c>
      <c r="K576">
        <v>1530.72</v>
      </c>
    </row>
    <row r="577" spans="1:11" x14ac:dyDescent="0.25">
      <c r="A577" t="s">
        <v>3717</v>
      </c>
      <c r="B577" t="s">
        <v>1656</v>
      </c>
      <c r="C577" t="s">
        <v>3034</v>
      </c>
      <c r="D577" s="1">
        <v>46035.11614583333</v>
      </c>
      <c r="E577">
        <v>805.35</v>
      </c>
      <c r="F577">
        <v>23.66</v>
      </c>
      <c r="G577">
        <v>781.69</v>
      </c>
      <c r="H577" t="s">
        <v>25</v>
      </c>
      <c r="I577" t="s">
        <v>3553</v>
      </c>
      <c r="J577" t="s">
        <v>3036</v>
      </c>
      <c r="K577">
        <v>805.35</v>
      </c>
    </row>
    <row r="578" spans="1:11" x14ac:dyDescent="0.25">
      <c r="A578" t="s">
        <v>3718</v>
      </c>
      <c r="B578" t="s">
        <v>1659</v>
      </c>
      <c r="C578" t="s">
        <v>3034</v>
      </c>
      <c r="D578" s="1">
        <v>46036.209594907406</v>
      </c>
      <c r="E578">
        <v>2441.1799999999998</v>
      </c>
      <c r="F578">
        <v>71.09</v>
      </c>
      <c r="G578">
        <v>2370.09</v>
      </c>
      <c r="H578" t="s">
        <v>25</v>
      </c>
      <c r="I578" t="s">
        <v>3719</v>
      </c>
      <c r="J578" t="s">
        <v>3036</v>
      </c>
      <c r="K578">
        <v>2441.1799999999998</v>
      </c>
    </row>
    <row r="579" spans="1:11" x14ac:dyDescent="0.25">
      <c r="A579" t="s">
        <v>3720</v>
      </c>
      <c r="B579" t="s">
        <v>1662</v>
      </c>
      <c r="C579" t="s">
        <v>3034</v>
      </c>
      <c r="D579" s="1">
        <v>46036.287557870368</v>
      </c>
      <c r="E579">
        <v>1171.99</v>
      </c>
      <c r="F579">
        <v>34.29</v>
      </c>
      <c r="G579">
        <v>1137.7</v>
      </c>
      <c r="H579" t="s">
        <v>25</v>
      </c>
      <c r="I579" t="s">
        <v>3492</v>
      </c>
      <c r="J579" t="s">
        <v>3036</v>
      </c>
      <c r="K579">
        <v>1171.99</v>
      </c>
    </row>
    <row r="580" spans="1:11" x14ac:dyDescent="0.25">
      <c r="A580" t="s">
        <v>3721</v>
      </c>
      <c r="B580" t="s">
        <v>1665</v>
      </c>
      <c r="C580" t="s">
        <v>3034</v>
      </c>
      <c r="D580" s="1">
        <v>46023.409537037034</v>
      </c>
      <c r="E580">
        <v>1358.04</v>
      </c>
      <c r="F580">
        <v>39.68</v>
      </c>
      <c r="G580">
        <v>1318.36</v>
      </c>
      <c r="H580" t="s">
        <v>25</v>
      </c>
      <c r="I580" t="s">
        <v>3722</v>
      </c>
      <c r="J580" t="s">
        <v>3036</v>
      </c>
      <c r="K580">
        <v>1358.04</v>
      </c>
    </row>
    <row r="581" spans="1:11" x14ac:dyDescent="0.25">
      <c r="A581" t="s">
        <v>3723</v>
      </c>
      <c r="B581" t="s">
        <v>1668</v>
      </c>
      <c r="C581" t="s">
        <v>3034</v>
      </c>
      <c r="D581" s="1">
        <v>46024.474016203705</v>
      </c>
      <c r="E581">
        <v>703.32</v>
      </c>
      <c r="F581">
        <v>20.7</v>
      </c>
      <c r="G581">
        <v>682.62</v>
      </c>
      <c r="H581" t="s">
        <v>25</v>
      </c>
      <c r="I581" t="s">
        <v>3468</v>
      </c>
      <c r="J581" t="s">
        <v>3036</v>
      </c>
      <c r="K581">
        <v>703.32</v>
      </c>
    </row>
    <row r="582" spans="1:11" x14ac:dyDescent="0.25">
      <c r="A582" t="s">
        <v>3724</v>
      </c>
      <c r="B582" t="s">
        <v>1671</v>
      </c>
      <c r="C582" t="s">
        <v>3034</v>
      </c>
      <c r="D582" s="1">
        <v>46025.594976851855</v>
      </c>
      <c r="E582">
        <v>1849.68</v>
      </c>
      <c r="F582">
        <v>53.94</v>
      </c>
      <c r="G582">
        <v>1795.74</v>
      </c>
      <c r="H582" t="s">
        <v>25</v>
      </c>
      <c r="I582" t="s">
        <v>3470</v>
      </c>
      <c r="J582" t="s">
        <v>3036</v>
      </c>
      <c r="K582">
        <v>1849.68</v>
      </c>
    </row>
    <row r="583" spans="1:11" x14ac:dyDescent="0.25">
      <c r="A583" t="s">
        <v>3725</v>
      </c>
      <c r="B583" t="s">
        <v>1674</v>
      </c>
      <c r="C583" t="s">
        <v>3034</v>
      </c>
      <c r="D583" s="1">
        <v>46026.647835648146</v>
      </c>
      <c r="E583">
        <v>1265.25</v>
      </c>
      <c r="F583">
        <v>36.99</v>
      </c>
      <c r="G583">
        <v>1228.26</v>
      </c>
      <c r="H583" t="s">
        <v>52</v>
      </c>
      <c r="I583" t="s">
        <v>3561</v>
      </c>
      <c r="J583" t="s">
        <v>3036</v>
      </c>
      <c r="K583">
        <v>1265.25</v>
      </c>
    </row>
    <row r="584" spans="1:11" x14ac:dyDescent="0.25">
      <c r="A584" t="s">
        <v>3726</v>
      </c>
      <c r="B584" t="s">
        <v>1677</v>
      </c>
      <c r="C584" t="s">
        <v>3034</v>
      </c>
      <c r="D584" s="1">
        <v>46027.755567129629</v>
      </c>
      <c r="E584">
        <v>1121.67</v>
      </c>
      <c r="F584">
        <v>32.83</v>
      </c>
      <c r="G584">
        <v>1088.8399999999999</v>
      </c>
      <c r="H584" t="s">
        <v>19</v>
      </c>
      <c r="I584" t="s">
        <v>3563</v>
      </c>
      <c r="J584" t="s">
        <v>3036</v>
      </c>
      <c r="K584">
        <v>1121.67</v>
      </c>
    </row>
    <row r="585" spans="1:11" x14ac:dyDescent="0.25">
      <c r="A585" t="s">
        <v>3727</v>
      </c>
      <c r="B585" t="s">
        <v>1680</v>
      </c>
      <c r="C585" t="s">
        <v>3034</v>
      </c>
      <c r="D585" s="1">
        <v>46028.831354166665</v>
      </c>
      <c r="E585">
        <v>2005.44</v>
      </c>
      <c r="F585">
        <v>58.46</v>
      </c>
      <c r="G585">
        <v>1946.98</v>
      </c>
      <c r="H585" t="s">
        <v>25</v>
      </c>
      <c r="I585" t="s">
        <v>3476</v>
      </c>
      <c r="J585" t="s">
        <v>3036</v>
      </c>
      <c r="K585">
        <v>2005.44</v>
      </c>
    </row>
    <row r="586" spans="1:11" x14ac:dyDescent="0.25">
      <c r="A586" t="s">
        <v>3728</v>
      </c>
      <c r="B586" t="s">
        <v>1683</v>
      </c>
      <c r="C586" t="s">
        <v>3034</v>
      </c>
      <c r="D586" s="1">
        <v>46029.956226851849</v>
      </c>
      <c r="E586">
        <v>2105.8200000000002</v>
      </c>
      <c r="F586">
        <v>61.37</v>
      </c>
      <c r="G586">
        <v>2044.45</v>
      </c>
      <c r="H586" t="s">
        <v>25</v>
      </c>
      <c r="I586" t="s">
        <v>3478</v>
      </c>
      <c r="J586" t="s">
        <v>3036</v>
      </c>
      <c r="K586">
        <v>2105.8200000000002</v>
      </c>
    </row>
    <row r="587" spans="1:11" x14ac:dyDescent="0.25">
      <c r="A587" t="s">
        <v>3729</v>
      </c>
      <c r="B587" t="s">
        <v>1686</v>
      </c>
      <c r="C587" t="s">
        <v>3034</v>
      </c>
      <c r="D587" s="1">
        <v>46031.026863425926</v>
      </c>
      <c r="E587">
        <v>1397.38</v>
      </c>
      <c r="F587">
        <v>40.82</v>
      </c>
      <c r="G587">
        <v>1356.56</v>
      </c>
      <c r="H587" t="s">
        <v>25</v>
      </c>
      <c r="I587" t="s">
        <v>3730</v>
      </c>
      <c r="J587" t="s">
        <v>3036</v>
      </c>
      <c r="K587">
        <v>1397.38</v>
      </c>
    </row>
    <row r="588" spans="1:11" x14ac:dyDescent="0.25">
      <c r="A588" t="s">
        <v>3731</v>
      </c>
      <c r="B588" t="s">
        <v>1689</v>
      </c>
      <c r="C588" t="s">
        <v>3034</v>
      </c>
      <c r="D588" s="1">
        <v>46032.1403587963</v>
      </c>
      <c r="E588">
        <v>2419.94</v>
      </c>
      <c r="F588">
        <v>70.48</v>
      </c>
      <c r="G588">
        <v>2349.46</v>
      </c>
      <c r="H588" t="s">
        <v>25</v>
      </c>
      <c r="I588" t="s">
        <v>3482</v>
      </c>
      <c r="J588" t="s">
        <v>3036</v>
      </c>
      <c r="K588">
        <v>2419.94</v>
      </c>
    </row>
    <row r="589" spans="1:11" x14ac:dyDescent="0.25">
      <c r="A589" t="s">
        <v>3732</v>
      </c>
      <c r="B589" t="s">
        <v>1692</v>
      </c>
      <c r="C589" t="s">
        <v>3034</v>
      </c>
      <c r="D589" s="1">
        <v>46033.211527777778</v>
      </c>
      <c r="E589">
        <v>1679.42</v>
      </c>
      <c r="F589">
        <v>49</v>
      </c>
      <c r="G589">
        <v>1630.42</v>
      </c>
      <c r="H589" t="s">
        <v>25</v>
      </c>
      <c r="I589" t="s">
        <v>3530</v>
      </c>
      <c r="J589" t="s">
        <v>3036</v>
      </c>
      <c r="K589">
        <v>1679.42</v>
      </c>
    </row>
    <row r="590" spans="1:11" x14ac:dyDescent="0.25">
      <c r="A590" t="s">
        <v>3733</v>
      </c>
      <c r="B590" t="s">
        <v>1695</v>
      </c>
      <c r="C590" t="s">
        <v>3034</v>
      </c>
      <c r="D590" s="1">
        <v>46033.329444444447</v>
      </c>
      <c r="E590">
        <v>331.94</v>
      </c>
      <c r="F590">
        <v>9.93</v>
      </c>
      <c r="G590">
        <v>322.01</v>
      </c>
      <c r="H590" t="s">
        <v>25</v>
      </c>
      <c r="I590" t="s">
        <v>3510</v>
      </c>
      <c r="J590" t="s">
        <v>3036</v>
      </c>
      <c r="K590">
        <v>331.94</v>
      </c>
    </row>
    <row r="591" spans="1:11" x14ac:dyDescent="0.25">
      <c r="A591" t="s">
        <v>3734</v>
      </c>
      <c r="B591" t="s">
        <v>1698</v>
      </c>
      <c r="C591" t="s">
        <v>3034</v>
      </c>
      <c r="D591" s="1">
        <v>46034.40215277778</v>
      </c>
      <c r="E591">
        <v>289.45999999999998</v>
      </c>
      <c r="F591">
        <v>8.69</v>
      </c>
      <c r="G591">
        <v>280.77</v>
      </c>
      <c r="H591" t="s">
        <v>25</v>
      </c>
      <c r="I591" t="s">
        <v>3553</v>
      </c>
      <c r="J591" t="s">
        <v>3036</v>
      </c>
      <c r="K591">
        <v>289.45999999999998</v>
      </c>
    </row>
    <row r="592" spans="1:11" x14ac:dyDescent="0.25">
      <c r="A592" t="s">
        <v>3735</v>
      </c>
      <c r="B592" t="s">
        <v>1701</v>
      </c>
      <c r="C592" t="s">
        <v>3034</v>
      </c>
      <c r="D592" s="1">
        <v>46035.498136574075</v>
      </c>
      <c r="E592">
        <v>2332.38</v>
      </c>
      <c r="F592">
        <v>67.94</v>
      </c>
      <c r="G592">
        <v>2264.44</v>
      </c>
      <c r="H592" t="s">
        <v>25</v>
      </c>
      <c r="I592" t="s">
        <v>3736</v>
      </c>
      <c r="J592" t="s">
        <v>3036</v>
      </c>
      <c r="K592">
        <v>2332.38</v>
      </c>
    </row>
    <row r="593" spans="1:11" x14ac:dyDescent="0.25">
      <c r="A593" t="s">
        <v>3737</v>
      </c>
      <c r="B593" t="s">
        <v>1704</v>
      </c>
      <c r="C593" t="s">
        <v>3034</v>
      </c>
      <c r="D593" s="1">
        <v>46036.581863425927</v>
      </c>
      <c r="E593">
        <v>674.55</v>
      </c>
      <c r="F593">
        <v>19.86</v>
      </c>
      <c r="G593">
        <v>654.69000000000005</v>
      </c>
      <c r="H593" t="s">
        <v>52</v>
      </c>
      <c r="I593" t="s">
        <v>3576</v>
      </c>
      <c r="J593" t="s">
        <v>3036</v>
      </c>
      <c r="K593">
        <v>674.55</v>
      </c>
    </row>
    <row r="594" spans="1:11" x14ac:dyDescent="0.25">
      <c r="A594" t="s">
        <v>3738</v>
      </c>
      <c r="B594" t="s">
        <v>1707</v>
      </c>
      <c r="C594" t="s">
        <v>3034</v>
      </c>
      <c r="D594" s="1">
        <v>46023.692361111112</v>
      </c>
      <c r="E594">
        <v>1393.3</v>
      </c>
      <c r="F594">
        <v>40.71</v>
      </c>
      <c r="G594">
        <v>1352.59</v>
      </c>
      <c r="H594" t="s">
        <v>19</v>
      </c>
      <c r="I594" t="s">
        <v>3466</v>
      </c>
      <c r="J594" t="s">
        <v>3036</v>
      </c>
      <c r="K594">
        <v>1393.3</v>
      </c>
    </row>
    <row r="595" spans="1:11" x14ac:dyDescent="0.25">
      <c r="A595" t="s">
        <v>3739</v>
      </c>
      <c r="B595" t="s">
        <v>1710</v>
      </c>
      <c r="C595" t="s">
        <v>3034</v>
      </c>
      <c r="D595" s="1">
        <v>46024.753032407411</v>
      </c>
      <c r="E595">
        <v>1311</v>
      </c>
      <c r="F595">
        <v>38.32</v>
      </c>
      <c r="G595">
        <v>1272.68</v>
      </c>
      <c r="H595" t="s">
        <v>25</v>
      </c>
      <c r="I595" t="s">
        <v>3468</v>
      </c>
      <c r="J595" t="s">
        <v>3036</v>
      </c>
      <c r="K595">
        <v>1311</v>
      </c>
    </row>
    <row r="596" spans="1:11" x14ac:dyDescent="0.25">
      <c r="A596" t="s">
        <v>3740</v>
      </c>
      <c r="B596" t="s">
        <v>1716</v>
      </c>
      <c r="C596" t="s">
        <v>3034</v>
      </c>
      <c r="D596" s="1">
        <v>46026.962395833332</v>
      </c>
      <c r="E596">
        <v>557.15</v>
      </c>
      <c r="F596">
        <v>16.46</v>
      </c>
      <c r="G596">
        <v>540.69000000000005</v>
      </c>
      <c r="H596" t="s">
        <v>25</v>
      </c>
      <c r="I596" t="s">
        <v>3472</v>
      </c>
      <c r="J596" t="s">
        <v>3036</v>
      </c>
      <c r="K596">
        <v>557.15</v>
      </c>
    </row>
    <row r="597" spans="1:11" x14ac:dyDescent="0.25">
      <c r="A597" t="s">
        <v>3741</v>
      </c>
      <c r="B597" t="s">
        <v>1719</v>
      </c>
      <c r="C597" t="s">
        <v>3034</v>
      </c>
      <c r="D597" s="1">
        <v>46028.02988425926</v>
      </c>
      <c r="E597">
        <v>1010.54</v>
      </c>
      <c r="F597">
        <v>29.61</v>
      </c>
      <c r="G597">
        <v>980.93</v>
      </c>
      <c r="H597" t="s">
        <v>25</v>
      </c>
      <c r="I597" t="s">
        <v>3474</v>
      </c>
      <c r="J597" t="s">
        <v>3036</v>
      </c>
      <c r="K597">
        <v>1010.54</v>
      </c>
    </row>
    <row r="598" spans="1:11" x14ac:dyDescent="0.25">
      <c r="A598" t="s">
        <v>3741</v>
      </c>
      <c r="B598" t="s">
        <v>1719</v>
      </c>
      <c r="C598" t="s">
        <v>3034</v>
      </c>
      <c r="D598" s="1">
        <v>46028.02988425926</v>
      </c>
      <c r="E598">
        <v>1010.54</v>
      </c>
      <c r="F598">
        <v>29.61</v>
      </c>
      <c r="G598">
        <v>980.93</v>
      </c>
      <c r="H598" t="s">
        <v>25</v>
      </c>
      <c r="I598" t="s">
        <v>3474</v>
      </c>
      <c r="J598" t="s">
        <v>3036</v>
      </c>
      <c r="K598">
        <v>1010.54</v>
      </c>
    </row>
    <row r="599" spans="1:11" x14ac:dyDescent="0.25">
      <c r="A599" t="s">
        <v>3742</v>
      </c>
      <c r="B599" t="s">
        <v>1722</v>
      </c>
      <c r="C599" t="s">
        <v>3034</v>
      </c>
      <c r="D599" s="1">
        <v>46029.120289351849</v>
      </c>
      <c r="E599">
        <v>1494.4</v>
      </c>
      <c r="F599">
        <v>43.64</v>
      </c>
      <c r="G599">
        <v>1450.76</v>
      </c>
      <c r="H599" t="s">
        <v>25</v>
      </c>
      <c r="I599" t="s">
        <v>3743</v>
      </c>
      <c r="J599" t="s">
        <v>3036</v>
      </c>
      <c r="K599">
        <v>1494.4</v>
      </c>
    </row>
    <row r="600" spans="1:11" x14ac:dyDescent="0.25">
      <c r="A600" t="s">
        <v>3744</v>
      </c>
      <c r="B600" t="s">
        <v>1725</v>
      </c>
      <c r="C600" t="s">
        <v>3034</v>
      </c>
      <c r="D600" s="1">
        <v>46030.223298611112</v>
      </c>
      <c r="E600">
        <v>1738.63</v>
      </c>
      <c r="F600">
        <v>50.72</v>
      </c>
      <c r="G600">
        <v>1687.91</v>
      </c>
      <c r="H600" t="s">
        <v>25</v>
      </c>
      <c r="I600" t="s">
        <v>3478</v>
      </c>
      <c r="J600" t="s">
        <v>3036</v>
      </c>
      <c r="K600">
        <v>1738.63</v>
      </c>
    </row>
    <row r="601" spans="1:11" x14ac:dyDescent="0.25">
      <c r="A601" t="s">
        <v>3745</v>
      </c>
      <c r="B601" t="s">
        <v>1728</v>
      </c>
      <c r="C601" t="s">
        <v>3034</v>
      </c>
      <c r="D601" s="1">
        <v>46030.318229166667</v>
      </c>
      <c r="E601">
        <v>2070.0700000000002</v>
      </c>
      <c r="F601">
        <v>60.33</v>
      </c>
      <c r="G601">
        <v>2009.74</v>
      </c>
      <c r="H601" t="s">
        <v>25</v>
      </c>
      <c r="I601" t="s">
        <v>3480</v>
      </c>
      <c r="J601" t="s">
        <v>3036</v>
      </c>
      <c r="K601">
        <v>2070.0700000000002</v>
      </c>
    </row>
    <row r="602" spans="1:11" x14ac:dyDescent="0.25">
      <c r="A602" t="s">
        <v>3746</v>
      </c>
      <c r="B602" t="s">
        <v>1731</v>
      </c>
      <c r="C602" t="s">
        <v>3034</v>
      </c>
      <c r="D602" s="1">
        <v>46031.426064814812</v>
      </c>
      <c r="E602">
        <v>2385.5700000000002</v>
      </c>
      <c r="F602">
        <v>69.48</v>
      </c>
      <c r="G602">
        <v>2316.09</v>
      </c>
      <c r="H602" t="s">
        <v>25</v>
      </c>
      <c r="I602" t="s">
        <v>3482</v>
      </c>
      <c r="J602" t="s">
        <v>3036</v>
      </c>
      <c r="K602">
        <v>2385.5700000000002</v>
      </c>
    </row>
    <row r="603" spans="1:11" x14ac:dyDescent="0.25">
      <c r="A603" t="s">
        <v>3747</v>
      </c>
      <c r="B603" t="s">
        <v>1734</v>
      </c>
      <c r="C603" t="s">
        <v>3034</v>
      </c>
      <c r="D603" s="1">
        <v>46032.493981481479</v>
      </c>
      <c r="E603">
        <v>1810.31</v>
      </c>
      <c r="F603">
        <v>52.8</v>
      </c>
      <c r="G603">
        <v>1757.51</v>
      </c>
      <c r="H603" t="s">
        <v>52</v>
      </c>
      <c r="I603" t="s">
        <v>3484</v>
      </c>
      <c r="J603" t="s">
        <v>3036</v>
      </c>
      <c r="K603">
        <v>1810.31</v>
      </c>
    </row>
    <row r="604" spans="1:11" x14ac:dyDescent="0.25">
      <c r="A604" t="s">
        <v>3748</v>
      </c>
      <c r="B604" t="s">
        <v>1737</v>
      </c>
      <c r="C604" t="s">
        <v>3034</v>
      </c>
      <c r="D604" s="1">
        <v>46033.602094907408</v>
      </c>
      <c r="E604">
        <v>1693.55</v>
      </c>
      <c r="F604">
        <v>49.41</v>
      </c>
      <c r="G604">
        <v>1644.14</v>
      </c>
      <c r="H604" t="s">
        <v>19</v>
      </c>
      <c r="I604" t="s">
        <v>3486</v>
      </c>
      <c r="J604" t="s">
        <v>3036</v>
      </c>
      <c r="K604">
        <v>1693.55</v>
      </c>
    </row>
    <row r="605" spans="1:11" x14ac:dyDescent="0.25">
      <c r="A605" t="s">
        <v>3749</v>
      </c>
      <c r="B605" t="s">
        <v>1740</v>
      </c>
      <c r="C605" t="s">
        <v>3034</v>
      </c>
      <c r="D605" s="1">
        <v>46034.67459490741</v>
      </c>
      <c r="E605">
        <v>1845.31</v>
      </c>
      <c r="F605">
        <v>54.18</v>
      </c>
      <c r="G605">
        <v>1791.13</v>
      </c>
      <c r="H605" t="s">
        <v>25</v>
      </c>
      <c r="I605" t="s">
        <v>3553</v>
      </c>
      <c r="J605" t="s">
        <v>3036</v>
      </c>
      <c r="K605">
        <v>1845.31</v>
      </c>
    </row>
    <row r="606" spans="1:11" x14ac:dyDescent="0.25">
      <c r="A606" t="s">
        <v>3750</v>
      </c>
      <c r="B606" t="s">
        <v>1743</v>
      </c>
      <c r="C606" t="s">
        <v>3034</v>
      </c>
      <c r="D606" s="1">
        <v>46035.785324074073</v>
      </c>
      <c r="E606">
        <v>916.87</v>
      </c>
      <c r="F606">
        <v>26.89</v>
      </c>
      <c r="G606">
        <v>889.98</v>
      </c>
      <c r="H606" t="s">
        <v>25</v>
      </c>
      <c r="I606" t="s">
        <v>3490</v>
      </c>
      <c r="J606" t="s">
        <v>3036</v>
      </c>
      <c r="K606">
        <v>916.87</v>
      </c>
    </row>
    <row r="607" spans="1:11" x14ac:dyDescent="0.25">
      <c r="A607" t="s">
        <v>3751</v>
      </c>
      <c r="B607" t="s">
        <v>1746</v>
      </c>
      <c r="C607" t="s">
        <v>3034</v>
      </c>
      <c r="D607" s="1">
        <v>46036.850914351853</v>
      </c>
      <c r="E607">
        <v>1926.29</v>
      </c>
      <c r="F607">
        <v>56.16</v>
      </c>
      <c r="G607">
        <v>1870.13</v>
      </c>
      <c r="H607" t="s">
        <v>25</v>
      </c>
      <c r="I607" t="s">
        <v>3492</v>
      </c>
      <c r="J607" t="s">
        <v>3036</v>
      </c>
      <c r="K607">
        <v>1926.29</v>
      </c>
    </row>
    <row r="608" spans="1:11" x14ac:dyDescent="0.25">
      <c r="A608" t="s">
        <v>3752</v>
      </c>
      <c r="B608" t="s">
        <v>1749</v>
      </c>
      <c r="C608" t="s">
        <v>3034</v>
      </c>
      <c r="D608" s="1">
        <v>46023.969930555555</v>
      </c>
      <c r="E608">
        <v>55.6</v>
      </c>
      <c r="F608">
        <v>1.91</v>
      </c>
      <c r="G608">
        <v>53.69</v>
      </c>
      <c r="H608" t="s">
        <v>25</v>
      </c>
      <c r="I608" t="s">
        <v>3494</v>
      </c>
      <c r="J608" t="s">
        <v>3036</v>
      </c>
      <c r="K608">
        <v>55.6</v>
      </c>
    </row>
    <row r="609" spans="1:11" x14ac:dyDescent="0.25">
      <c r="A609" t="s">
        <v>3753</v>
      </c>
      <c r="B609" t="s">
        <v>1752</v>
      </c>
      <c r="C609" t="s">
        <v>3034</v>
      </c>
      <c r="D609" s="1">
        <v>46025.031018518515</v>
      </c>
      <c r="E609">
        <v>214.83</v>
      </c>
      <c r="F609">
        <v>6.53</v>
      </c>
      <c r="G609">
        <v>208.3</v>
      </c>
      <c r="H609" t="s">
        <v>25</v>
      </c>
      <c r="I609" t="s">
        <v>3468</v>
      </c>
      <c r="J609" t="s">
        <v>3036</v>
      </c>
      <c r="K609">
        <v>214.83</v>
      </c>
    </row>
    <row r="610" spans="1:11" x14ac:dyDescent="0.25">
      <c r="A610" t="s">
        <v>3754</v>
      </c>
      <c r="B610" t="s">
        <v>1755</v>
      </c>
      <c r="C610" t="s">
        <v>3034</v>
      </c>
      <c r="D610" s="1">
        <v>46026.129479166666</v>
      </c>
      <c r="E610">
        <v>582.35</v>
      </c>
      <c r="F610">
        <v>17.190000000000001</v>
      </c>
      <c r="G610">
        <v>565.16</v>
      </c>
      <c r="H610" t="s">
        <v>25</v>
      </c>
      <c r="I610" t="s">
        <v>3470</v>
      </c>
      <c r="J610" t="s">
        <v>3036</v>
      </c>
      <c r="K610">
        <v>582.35</v>
      </c>
    </row>
    <row r="611" spans="1:11" x14ac:dyDescent="0.25">
      <c r="A611" t="s">
        <v>3755</v>
      </c>
      <c r="B611" t="s">
        <v>1758</v>
      </c>
      <c r="C611" t="s">
        <v>3034</v>
      </c>
      <c r="D611" s="1">
        <v>46026.241481481484</v>
      </c>
      <c r="E611">
        <v>1524.39</v>
      </c>
      <c r="F611">
        <v>44.51</v>
      </c>
      <c r="G611">
        <v>1479.88</v>
      </c>
      <c r="H611" t="s">
        <v>25</v>
      </c>
      <c r="I611" t="s">
        <v>3472</v>
      </c>
      <c r="J611" t="s">
        <v>3036</v>
      </c>
      <c r="K611">
        <v>1524.39</v>
      </c>
    </row>
    <row r="612" spans="1:11" x14ac:dyDescent="0.25">
      <c r="A612" t="s">
        <v>3756</v>
      </c>
      <c r="B612" t="s">
        <v>1761</v>
      </c>
      <c r="C612" t="s">
        <v>3034</v>
      </c>
      <c r="D612" s="1">
        <v>46027.338645833333</v>
      </c>
      <c r="E612">
        <v>1385.87</v>
      </c>
      <c r="F612">
        <v>40.49</v>
      </c>
      <c r="G612">
        <v>1345.38</v>
      </c>
      <c r="H612" t="s">
        <v>25</v>
      </c>
      <c r="I612" t="s">
        <v>3474</v>
      </c>
      <c r="J612" t="s">
        <v>3036</v>
      </c>
      <c r="K612">
        <v>1385.87</v>
      </c>
    </row>
    <row r="613" spans="1:11" x14ac:dyDescent="0.25">
      <c r="A613" t="s">
        <v>3757</v>
      </c>
      <c r="B613" t="s">
        <v>1764</v>
      </c>
      <c r="C613" t="s">
        <v>3034</v>
      </c>
      <c r="D613" s="1">
        <v>46028.423333333332</v>
      </c>
      <c r="E613">
        <v>196.4</v>
      </c>
      <c r="F613">
        <v>6</v>
      </c>
      <c r="G613">
        <v>190.4</v>
      </c>
      <c r="H613" t="s">
        <v>52</v>
      </c>
      <c r="I613" t="s">
        <v>3502</v>
      </c>
      <c r="J613" t="s">
        <v>3036</v>
      </c>
      <c r="K613">
        <v>196.4</v>
      </c>
    </row>
    <row r="614" spans="1:11" x14ac:dyDescent="0.25">
      <c r="A614" t="s">
        <v>3758</v>
      </c>
      <c r="B614" t="s">
        <v>1767</v>
      </c>
      <c r="C614" t="s">
        <v>3034</v>
      </c>
      <c r="D614" s="1">
        <v>46029.513310185182</v>
      </c>
      <c r="E614">
        <v>310.01</v>
      </c>
      <c r="F614">
        <v>9.2899999999999991</v>
      </c>
      <c r="G614">
        <v>300.72000000000003</v>
      </c>
      <c r="H614" t="s">
        <v>19</v>
      </c>
      <c r="I614" t="s">
        <v>3759</v>
      </c>
      <c r="J614" t="s">
        <v>3036</v>
      </c>
      <c r="K614">
        <v>310.01</v>
      </c>
    </row>
    <row r="615" spans="1:11" x14ac:dyDescent="0.25">
      <c r="A615" t="s">
        <v>3760</v>
      </c>
      <c r="B615" t="s">
        <v>1770</v>
      </c>
      <c r="C615" t="s">
        <v>3034</v>
      </c>
      <c r="D615" s="1">
        <v>46030.585405092592</v>
      </c>
      <c r="E615">
        <v>2030.37</v>
      </c>
      <c r="F615">
        <v>59.18</v>
      </c>
      <c r="G615">
        <v>1971.19</v>
      </c>
      <c r="H615" t="s">
        <v>25</v>
      </c>
      <c r="I615" t="s">
        <v>3480</v>
      </c>
      <c r="J615" t="s">
        <v>3036</v>
      </c>
      <c r="K615">
        <v>2030.37</v>
      </c>
    </row>
    <row r="616" spans="1:11" x14ac:dyDescent="0.25">
      <c r="A616" t="s">
        <v>3761</v>
      </c>
      <c r="B616" t="s">
        <v>1773</v>
      </c>
      <c r="C616" t="s">
        <v>3034</v>
      </c>
      <c r="D616" s="1">
        <v>46031.68037037037</v>
      </c>
      <c r="E616">
        <v>1042.3499999999999</v>
      </c>
      <c r="F616">
        <v>30.53</v>
      </c>
      <c r="G616">
        <v>1011.82</v>
      </c>
      <c r="H616" t="s">
        <v>25</v>
      </c>
      <c r="I616" t="s">
        <v>3482</v>
      </c>
      <c r="J616" t="s">
        <v>3036</v>
      </c>
      <c r="K616">
        <v>1042.3499999999999</v>
      </c>
    </row>
    <row r="617" spans="1:11" x14ac:dyDescent="0.25">
      <c r="A617" t="s">
        <v>3762</v>
      </c>
      <c r="B617" t="s">
        <v>1776</v>
      </c>
      <c r="C617" t="s">
        <v>3034</v>
      </c>
      <c r="D617" s="1">
        <v>46032.796932870369</v>
      </c>
      <c r="E617">
        <v>1252.4000000000001</v>
      </c>
      <c r="F617">
        <v>36.619999999999997</v>
      </c>
      <c r="G617">
        <v>1215.78</v>
      </c>
      <c r="H617" t="s">
        <v>25</v>
      </c>
      <c r="I617" t="s">
        <v>3530</v>
      </c>
      <c r="J617" t="s">
        <v>3036</v>
      </c>
      <c r="K617">
        <v>1252.4000000000001</v>
      </c>
    </row>
    <row r="618" spans="1:11" x14ac:dyDescent="0.25">
      <c r="A618" t="s">
        <v>3763</v>
      </c>
      <c r="B618" t="s">
        <v>1779</v>
      </c>
      <c r="C618" t="s">
        <v>3034</v>
      </c>
      <c r="D618" s="1">
        <v>46033.876145833332</v>
      </c>
      <c r="E618">
        <v>1404.41</v>
      </c>
      <c r="F618">
        <v>41.4</v>
      </c>
      <c r="G618">
        <v>1363.01</v>
      </c>
      <c r="H618" t="s">
        <v>25</v>
      </c>
      <c r="I618" t="s">
        <v>3510</v>
      </c>
      <c r="J618" t="s">
        <v>3036</v>
      </c>
      <c r="K618">
        <v>1404.41</v>
      </c>
    </row>
    <row r="619" spans="1:11" x14ac:dyDescent="0.25">
      <c r="A619" t="s">
        <v>3764</v>
      </c>
      <c r="B619" t="s">
        <v>1782</v>
      </c>
      <c r="C619" t="s">
        <v>3034</v>
      </c>
      <c r="D619" s="1">
        <v>46034.984293981484</v>
      </c>
      <c r="E619">
        <v>1821.7</v>
      </c>
      <c r="F619">
        <v>53.13</v>
      </c>
      <c r="G619">
        <v>1768.57</v>
      </c>
      <c r="H619" t="s">
        <v>25</v>
      </c>
      <c r="I619" t="s">
        <v>3765</v>
      </c>
      <c r="J619" t="s">
        <v>3036</v>
      </c>
      <c r="K619">
        <v>1821.7</v>
      </c>
    </row>
    <row r="620" spans="1:11" x14ac:dyDescent="0.25">
      <c r="A620" t="s">
        <v>3766</v>
      </c>
      <c r="B620" t="s">
        <v>1785</v>
      </c>
      <c r="C620" t="s">
        <v>3034</v>
      </c>
      <c r="D620" s="1">
        <v>46036.058344907404</v>
      </c>
      <c r="E620">
        <v>1001.13</v>
      </c>
      <c r="F620">
        <v>29.33</v>
      </c>
      <c r="G620">
        <v>971.8</v>
      </c>
      <c r="H620" t="s">
        <v>25</v>
      </c>
      <c r="I620" t="s">
        <v>3490</v>
      </c>
      <c r="J620" t="s">
        <v>3036</v>
      </c>
      <c r="K620">
        <v>1001.13</v>
      </c>
    </row>
    <row r="621" spans="1:11" x14ac:dyDescent="0.25">
      <c r="A621" t="s">
        <v>3767</v>
      </c>
      <c r="B621" t="s">
        <v>1788</v>
      </c>
      <c r="C621" t="s">
        <v>3034</v>
      </c>
      <c r="D621" s="1">
        <v>46037.143333333333</v>
      </c>
      <c r="E621">
        <v>2272.7199999999998</v>
      </c>
      <c r="F621">
        <v>66.209999999999994</v>
      </c>
      <c r="G621">
        <v>2206.5100000000002</v>
      </c>
      <c r="H621" t="s">
        <v>25</v>
      </c>
      <c r="I621" t="s">
        <v>3492</v>
      </c>
      <c r="J621" t="s">
        <v>3036</v>
      </c>
      <c r="K621">
        <v>2272.7199999999998</v>
      </c>
    </row>
    <row r="622" spans="1:11" x14ac:dyDescent="0.25">
      <c r="A622" t="s">
        <v>3768</v>
      </c>
      <c r="B622" t="s">
        <v>1791</v>
      </c>
      <c r="C622" t="s">
        <v>3034</v>
      </c>
      <c r="D622" s="1">
        <v>46023.26185185185</v>
      </c>
      <c r="E622">
        <v>2290.2800000000002</v>
      </c>
      <c r="F622">
        <v>66.72</v>
      </c>
      <c r="G622">
        <v>2223.56</v>
      </c>
      <c r="H622" t="s">
        <v>25</v>
      </c>
      <c r="I622" t="s">
        <v>3494</v>
      </c>
      <c r="J622" t="s">
        <v>3036</v>
      </c>
      <c r="K622">
        <v>2290.2800000000002</v>
      </c>
    </row>
    <row r="623" spans="1:11" x14ac:dyDescent="0.25">
      <c r="A623" t="s">
        <v>3769</v>
      </c>
      <c r="B623" t="s">
        <v>1794</v>
      </c>
      <c r="C623" t="s">
        <v>3034</v>
      </c>
      <c r="D623" s="1">
        <v>46024.325324074074</v>
      </c>
      <c r="E623">
        <v>1626.72</v>
      </c>
      <c r="F623">
        <v>47.84</v>
      </c>
      <c r="G623">
        <v>1578.88</v>
      </c>
      <c r="H623" t="s">
        <v>52</v>
      </c>
      <c r="I623" t="s">
        <v>3518</v>
      </c>
      <c r="J623" t="s">
        <v>3036</v>
      </c>
      <c r="K623">
        <v>1626.72</v>
      </c>
    </row>
    <row r="624" spans="1:11" x14ac:dyDescent="0.25">
      <c r="A624" t="s">
        <v>3770</v>
      </c>
      <c r="B624" t="s">
        <v>1797</v>
      </c>
      <c r="C624" t="s">
        <v>3034</v>
      </c>
      <c r="D624" s="1">
        <v>46025.445474537039</v>
      </c>
      <c r="E624">
        <v>674.9</v>
      </c>
      <c r="F624">
        <v>20.239999999999998</v>
      </c>
      <c r="G624">
        <v>654.66</v>
      </c>
      <c r="H624" t="s">
        <v>19</v>
      </c>
      <c r="I624" t="s">
        <v>3520</v>
      </c>
      <c r="J624" t="s">
        <v>3036</v>
      </c>
      <c r="K624">
        <v>674.9</v>
      </c>
    </row>
    <row r="625" spans="1:11" x14ac:dyDescent="0.25">
      <c r="A625" t="s">
        <v>3771</v>
      </c>
      <c r="B625" t="s">
        <v>1800</v>
      </c>
      <c r="C625" t="s">
        <v>3034</v>
      </c>
      <c r="D625" s="1">
        <v>46026.537499999999</v>
      </c>
      <c r="E625">
        <v>960.49</v>
      </c>
      <c r="F625">
        <v>28.15</v>
      </c>
      <c r="G625">
        <v>932.34</v>
      </c>
      <c r="H625" t="s">
        <v>25</v>
      </c>
      <c r="I625" t="s">
        <v>3472</v>
      </c>
      <c r="J625" t="s">
        <v>3036</v>
      </c>
      <c r="K625">
        <v>960.49</v>
      </c>
    </row>
    <row r="626" spans="1:11" x14ac:dyDescent="0.25">
      <c r="A626" t="s">
        <v>3772</v>
      </c>
      <c r="B626" t="s">
        <v>1803</v>
      </c>
      <c r="C626" t="s">
        <v>3034</v>
      </c>
      <c r="D626" s="1">
        <v>46027.618321759262</v>
      </c>
      <c r="E626">
        <v>606.83000000000004</v>
      </c>
      <c r="F626">
        <v>17.899999999999999</v>
      </c>
      <c r="G626">
        <v>588.92999999999995</v>
      </c>
      <c r="H626" t="s">
        <v>25</v>
      </c>
      <c r="I626" t="s">
        <v>3474</v>
      </c>
      <c r="J626" t="s">
        <v>3036</v>
      </c>
      <c r="K626">
        <v>606.83000000000004</v>
      </c>
    </row>
    <row r="627" spans="1:11" x14ac:dyDescent="0.25">
      <c r="A627" t="s">
        <v>3773</v>
      </c>
      <c r="B627" t="s">
        <v>1806</v>
      </c>
      <c r="C627" t="s">
        <v>3034</v>
      </c>
      <c r="D627" s="1">
        <v>46028.689756944441</v>
      </c>
      <c r="E627">
        <v>660.26</v>
      </c>
      <c r="F627">
        <v>19.45</v>
      </c>
      <c r="G627">
        <v>640.80999999999995</v>
      </c>
      <c r="H627" t="s">
        <v>25</v>
      </c>
      <c r="I627" t="s">
        <v>3476</v>
      </c>
      <c r="J627" t="s">
        <v>3036</v>
      </c>
      <c r="K627">
        <v>660.26</v>
      </c>
    </row>
    <row r="628" spans="1:11" x14ac:dyDescent="0.25">
      <c r="A628" t="s">
        <v>3774</v>
      </c>
      <c r="B628" t="s">
        <v>1809</v>
      </c>
      <c r="C628" t="s">
        <v>3034</v>
      </c>
      <c r="D628" s="1">
        <v>46029.779004629629</v>
      </c>
      <c r="E628">
        <v>150.6</v>
      </c>
      <c r="F628">
        <v>4.67</v>
      </c>
      <c r="G628">
        <v>145.93</v>
      </c>
      <c r="H628" t="s">
        <v>25</v>
      </c>
      <c r="I628" t="s">
        <v>3478</v>
      </c>
      <c r="J628" t="s">
        <v>3036</v>
      </c>
      <c r="K628">
        <v>150.6</v>
      </c>
    </row>
    <row r="629" spans="1:11" x14ac:dyDescent="0.25">
      <c r="A629" t="s">
        <v>3775</v>
      </c>
      <c r="B629" t="s">
        <v>1812</v>
      </c>
      <c r="C629" t="s">
        <v>3034</v>
      </c>
      <c r="D629" s="1">
        <v>46030.892245370371</v>
      </c>
      <c r="E629">
        <v>1245.53</v>
      </c>
      <c r="F629">
        <v>36.42</v>
      </c>
      <c r="G629">
        <v>1209.1099999999999</v>
      </c>
      <c r="H629" t="s">
        <v>25</v>
      </c>
      <c r="I629" t="s">
        <v>3480</v>
      </c>
      <c r="J629" t="s">
        <v>3036</v>
      </c>
      <c r="K629">
        <v>1245.53</v>
      </c>
    </row>
    <row r="630" spans="1:11" x14ac:dyDescent="0.25">
      <c r="A630" t="s">
        <v>3776</v>
      </c>
      <c r="B630" t="s">
        <v>1815</v>
      </c>
      <c r="C630" t="s">
        <v>3034</v>
      </c>
      <c r="D630" s="1">
        <v>46031.95884259259</v>
      </c>
      <c r="E630">
        <v>1303.46</v>
      </c>
      <c r="F630">
        <v>38.1</v>
      </c>
      <c r="G630">
        <v>1265.3599999999999</v>
      </c>
      <c r="H630" t="s">
        <v>25</v>
      </c>
      <c r="I630" t="s">
        <v>3482</v>
      </c>
      <c r="J630" t="s">
        <v>3036</v>
      </c>
      <c r="K630">
        <v>1303.46</v>
      </c>
    </row>
    <row r="631" spans="1:11" x14ac:dyDescent="0.25">
      <c r="A631" t="s">
        <v>3777</v>
      </c>
      <c r="B631" t="s">
        <v>1818</v>
      </c>
      <c r="C631" t="s">
        <v>3034</v>
      </c>
      <c r="D631" s="1">
        <v>46033.049270833333</v>
      </c>
      <c r="E631">
        <v>92.71</v>
      </c>
      <c r="F631">
        <v>2.99</v>
      </c>
      <c r="G631">
        <v>89.72</v>
      </c>
      <c r="H631" t="s">
        <v>25</v>
      </c>
      <c r="I631" t="s">
        <v>3530</v>
      </c>
      <c r="J631" t="s">
        <v>3036</v>
      </c>
      <c r="K631">
        <v>92.71</v>
      </c>
    </row>
    <row r="632" spans="1:11" x14ac:dyDescent="0.25">
      <c r="A632" t="s">
        <v>3778</v>
      </c>
      <c r="B632" t="s">
        <v>1821</v>
      </c>
      <c r="C632" t="s">
        <v>3034</v>
      </c>
      <c r="D632" s="1">
        <v>46034.177233796298</v>
      </c>
      <c r="E632">
        <v>21.8</v>
      </c>
      <c r="F632">
        <v>0.93</v>
      </c>
      <c r="G632">
        <v>20.87</v>
      </c>
      <c r="H632" t="s">
        <v>25</v>
      </c>
      <c r="I632" t="s">
        <v>3510</v>
      </c>
      <c r="J632" t="s">
        <v>3036</v>
      </c>
      <c r="K632">
        <v>21.8</v>
      </c>
    </row>
    <row r="633" spans="1:11" x14ac:dyDescent="0.25">
      <c r="A633" t="s">
        <v>3779</v>
      </c>
      <c r="B633" t="s">
        <v>1824</v>
      </c>
      <c r="C633" t="s">
        <v>3034</v>
      </c>
      <c r="D633" s="1">
        <v>46034.252962962964</v>
      </c>
      <c r="E633">
        <v>26.36</v>
      </c>
      <c r="F633">
        <v>1.06</v>
      </c>
      <c r="G633">
        <v>25.3</v>
      </c>
      <c r="H633" t="s">
        <v>52</v>
      </c>
      <c r="I633" t="s">
        <v>3533</v>
      </c>
      <c r="J633" t="s">
        <v>3036</v>
      </c>
      <c r="K633">
        <v>26.36</v>
      </c>
    </row>
    <row r="634" spans="1:11" x14ac:dyDescent="0.25">
      <c r="A634" t="s">
        <v>3780</v>
      </c>
      <c r="B634" t="s">
        <v>1827</v>
      </c>
      <c r="C634" t="s">
        <v>3034</v>
      </c>
      <c r="D634" s="1">
        <v>46035.334907407407</v>
      </c>
      <c r="E634">
        <v>1466.25</v>
      </c>
      <c r="F634">
        <v>42.82</v>
      </c>
      <c r="G634">
        <v>1423.43</v>
      </c>
      <c r="H634" t="s">
        <v>19</v>
      </c>
      <c r="I634" t="s">
        <v>3535</v>
      </c>
      <c r="J634" t="s">
        <v>3036</v>
      </c>
      <c r="K634">
        <v>1466.25</v>
      </c>
    </row>
    <row r="635" spans="1:11" x14ac:dyDescent="0.25">
      <c r="A635" t="s">
        <v>3781</v>
      </c>
      <c r="B635" t="s">
        <v>1830</v>
      </c>
      <c r="C635" t="s">
        <v>3034</v>
      </c>
      <c r="D635" s="1">
        <v>46036.4137962963</v>
      </c>
      <c r="E635">
        <v>1804.93</v>
      </c>
      <c r="F635">
        <v>52.64</v>
      </c>
      <c r="G635">
        <v>1752.29</v>
      </c>
      <c r="H635" t="s">
        <v>25</v>
      </c>
      <c r="I635" t="s">
        <v>3492</v>
      </c>
      <c r="J635" t="s">
        <v>3036</v>
      </c>
      <c r="K635">
        <v>1804.93</v>
      </c>
    </row>
    <row r="636" spans="1:11" x14ac:dyDescent="0.25">
      <c r="A636" t="s">
        <v>3782</v>
      </c>
      <c r="B636" t="s">
        <v>1833</v>
      </c>
      <c r="C636" t="s">
        <v>3034</v>
      </c>
      <c r="D636" s="1">
        <v>46023.511018518519</v>
      </c>
      <c r="E636">
        <v>868.26</v>
      </c>
      <c r="F636">
        <v>25.48</v>
      </c>
      <c r="G636">
        <v>842.78</v>
      </c>
      <c r="H636" t="s">
        <v>25</v>
      </c>
      <c r="I636" t="s">
        <v>3494</v>
      </c>
      <c r="J636" t="s">
        <v>3036</v>
      </c>
      <c r="K636">
        <v>868.26</v>
      </c>
    </row>
    <row r="637" spans="1:11" x14ac:dyDescent="0.25">
      <c r="A637" t="s">
        <v>3783</v>
      </c>
      <c r="B637" t="s">
        <v>1836</v>
      </c>
      <c r="C637" t="s">
        <v>3034</v>
      </c>
      <c r="D637" s="1">
        <v>46024.624768518515</v>
      </c>
      <c r="E637">
        <v>55.83</v>
      </c>
      <c r="F637">
        <v>1.92</v>
      </c>
      <c r="G637">
        <v>53.91</v>
      </c>
      <c r="H637" t="s">
        <v>25</v>
      </c>
      <c r="I637" t="s">
        <v>3468</v>
      </c>
      <c r="J637" t="s">
        <v>3036</v>
      </c>
      <c r="K637">
        <v>55.83</v>
      </c>
    </row>
    <row r="638" spans="1:11" x14ac:dyDescent="0.25">
      <c r="A638" t="s">
        <v>3784</v>
      </c>
      <c r="B638" t="s">
        <v>1839</v>
      </c>
      <c r="C638" t="s">
        <v>3034</v>
      </c>
      <c r="D638" s="1">
        <v>46025.701990740738</v>
      </c>
      <c r="E638">
        <v>2036.82</v>
      </c>
      <c r="F638">
        <v>59.37</v>
      </c>
      <c r="G638">
        <v>1977.45</v>
      </c>
      <c r="H638" t="s">
        <v>25</v>
      </c>
      <c r="I638" t="s">
        <v>3470</v>
      </c>
      <c r="J638" t="s">
        <v>3036</v>
      </c>
      <c r="K638">
        <v>2036.82</v>
      </c>
    </row>
    <row r="639" spans="1:11" x14ac:dyDescent="0.25">
      <c r="A639" t="s">
        <v>3785</v>
      </c>
      <c r="B639" t="s">
        <v>1842</v>
      </c>
      <c r="C639" t="s">
        <v>3034</v>
      </c>
      <c r="D639" s="1">
        <v>46026.792870370373</v>
      </c>
      <c r="E639">
        <v>2310.1999999999998</v>
      </c>
      <c r="F639">
        <v>67.3</v>
      </c>
      <c r="G639">
        <v>2242.9</v>
      </c>
      <c r="H639" t="s">
        <v>25</v>
      </c>
      <c r="I639" t="s">
        <v>3472</v>
      </c>
      <c r="J639" t="s">
        <v>3036</v>
      </c>
      <c r="K639">
        <v>2310.1999999999998</v>
      </c>
    </row>
    <row r="640" spans="1:11" x14ac:dyDescent="0.25">
      <c r="A640" t="s">
        <v>3786</v>
      </c>
      <c r="B640" t="s">
        <v>1845</v>
      </c>
      <c r="C640" t="s">
        <v>3034</v>
      </c>
      <c r="D640" s="1">
        <v>46027.893854166665</v>
      </c>
      <c r="E640">
        <v>80.77</v>
      </c>
      <c r="F640">
        <v>2.64</v>
      </c>
      <c r="G640">
        <v>78.13</v>
      </c>
      <c r="H640" t="s">
        <v>25</v>
      </c>
      <c r="I640" t="s">
        <v>3474</v>
      </c>
      <c r="J640" t="s">
        <v>3036</v>
      </c>
      <c r="K640">
        <v>80.77</v>
      </c>
    </row>
    <row r="641" spans="1:11" x14ac:dyDescent="0.25">
      <c r="A641" t="s">
        <v>3787</v>
      </c>
      <c r="B641" t="s">
        <v>1848</v>
      </c>
      <c r="C641" t="s">
        <v>3034</v>
      </c>
      <c r="D641" s="1">
        <v>46028.998206018521</v>
      </c>
      <c r="E641">
        <v>1103.1400000000001</v>
      </c>
      <c r="F641">
        <v>32.29</v>
      </c>
      <c r="G641">
        <v>1070.8499999999999</v>
      </c>
      <c r="H641" t="s">
        <v>25</v>
      </c>
      <c r="I641" t="s">
        <v>3476</v>
      </c>
      <c r="J641" t="s">
        <v>3036</v>
      </c>
      <c r="K641">
        <v>1103.1400000000001</v>
      </c>
    </row>
    <row r="642" spans="1:11" x14ac:dyDescent="0.25">
      <c r="A642" t="s">
        <v>3788</v>
      </c>
      <c r="B642" t="s">
        <v>1848</v>
      </c>
      <c r="C642" t="s">
        <v>3076</v>
      </c>
      <c r="D642" s="1">
        <v>46029.991261574076</v>
      </c>
      <c r="E642">
        <v>-551.57000000000005</v>
      </c>
      <c r="F642">
        <v>0</v>
      </c>
      <c r="G642">
        <v>-551.57000000000005</v>
      </c>
      <c r="H642" t="s">
        <v>25</v>
      </c>
      <c r="I642" t="s">
        <v>3789</v>
      </c>
      <c r="J642" t="s">
        <v>3036</v>
      </c>
      <c r="K642">
        <v>-551.57000000000005</v>
      </c>
    </row>
    <row r="643" spans="1:11" x14ac:dyDescent="0.25">
      <c r="A643" t="s">
        <v>3790</v>
      </c>
      <c r="B643" t="s">
        <v>1851</v>
      </c>
      <c r="C643" t="s">
        <v>3034</v>
      </c>
      <c r="D643" s="1">
        <v>46030.078275462962</v>
      </c>
      <c r="E643">
        <v>994.14</v>
      </c>
      <c r="F643">
        <v>29.13</v>
      </c>
      <c r="G643">
        <v>965.01</v>
      </c>
      <c r="H643" t="s">
        <v>25</v>
      </c>
      <c r="I643" t="s">
        <v>3478</v>
      </c>
      <c r="J643" t="s">
        <v>3036</v>
      </c>
      <c r="K643">
        <v>994.14</v>
      </c>
    </row>
    <row r="644" spans="1:11" x14ac:dyDescent="0.25">
      <c r="A644" t="s">
        <v>3791</v>
      </c>
      <c r="B644" t="s">
        <v>1854</v>
      </c>
      <c r="C644" t="s">
        <v>3034</v>
      </c>
      <c r="D644" s="1">
        <v>46031.148275462961</v>
      </c>
      <c r="E644">
        <v>1262.3</v>
      </c>
      <c r="F644">
        <v>36.909999999999997</v>
      </c>
      <c r="G644">
        <v>1225.3900000000001</v>
      </c>
      <c r="H644" t="s">
        <v>52</v>
      </c>
      <c r="I644" t="s">
        <v>3545</v>
      </c>
      <c r="J644" t="s">
        <v>3036</v>
      </c>
      <c r="K644">
        <v>1262.3</v>
      </c>
    </row>
    <row r="645" spans="1:11" x14ac:dyDescent="0.25">
      <c r="A645" t="s">
        <v>3792</v>
      </c>
      <c r="B645" t="s">
        <v>1857</v>
      </c>
      <c r="C645" t="s">
        <v>3034</v>
      </c>
      <c r="D645" s="1">
        <v>46031.249675925923</v>
      </c>
      <c r="E645">
        <v>603.08000000000004</v>
      </c>
      <c r="F645">
        <v>17.79</v>
      </c>
      <c r="G645">
        <v>585.29</v>
      </c>
      <c r="H645" t="s">
        <v>19</v>
      </c>
      <c r="I645" t="s">
        <v>3549</v>
      </c>
      <c r="J645" t="s">
        <v>3036</v>
      </c>
      <c r="K645">
        <v>603.08000000000004</v>
      </c>
    </row>
    <row r="646" spans="1:11" x14ac:dyDescent="0.25">
      <c r="A646" t="s">
        <v>3793</v>
      </c>
      <c r="B646" t="s">
        <v>1860</v>
      </c>
      <c r="C646" t="s">
        <v>3034</v>
      </c>
      <c r="D646" s="1">
        <v>46032.359317129631</v>
      </c>
      <c r="E646">
        <v>2034.74</v>
      </c>
      <c r="F646">
        <v>59.31</v>
      </c>
      <c r="G646">
        <v>1975.43</v>
      </c>
      <c r="H646" t="s">
        <v>25</v>
      </c>
      <c r="I646" t="s">
        <v>3530</v>
      </c>
      <c r="J646" t="s">
        <v>3036</v>
      </c>
      <c r="K646">
        <v>2034.74</v>
      </c>
    </row>
    <row r="647" spans="1:11" x14ac:dyDescent="0.25">
      <c r="A647" t="s">
        <v>3794</v>
      </c>
      <c r="B647" t="s">
        <v>1863</v>
      </c>
      <c r="C647" t="s">
        <v>3034</v>
      </c>
      <c r="D647" s="1">
        <v>46033.440046296295</v>
      </c>
      <c r="E647">
        <v>344.54</v>
      </c>
      <c r="F647">
        <v>10.29</v>
      </c>
      <c r="G647">
        <v>334.25</v>
      </c>
      <c r="H647" t="s">
        <v>25</v>
      </c>
      <c r="I647" t="s">
        <v>3510</v>
      </c>
      <c r="J647" t="s">
        <v>3036</v>
      </c>
      <c r="K647">
        <v>344.54</v>
      </c>
    </row>
    <row r="648" spans="1:11" x14ac:dyDescent="0.25">
      <c r="A648" t="s">
        <v>3795</v>
      </c>
      <c r="B648" t="s">
        <v>1866</v>
      </c>
      <c r="C648" t="s">
        <v>3034</v>
      </c>
      <c r="D648" s="1">
        <v>46034.529583333337</v>
      </c>
      <c r="E648">
        <v>1430.55</v>
      </c>
      <c r="F648">
        <v>41.79</v>
      </c>
      <c r="G648">
        <v>1388.76</v>
      </c>
      <c r="H648" t="s">
        <v>25</v>
      </c>
      <c r="I648" t="s">
        <v>3553</v>
      </c>
      <c r="J648" t="s">
        <v>3036</v>
      </c>
      <c r="K648">
        <v>1430.55</v>
      </c>
    </row>
    <row r="649" spans="1:11" x14ac:dyDescent="0.25">
      <c r="A649" t="s">
        <v>3796</v>
      </c>
      <c r="B649" t="s">
        <v>1869</v>
      </c>
      <c r="C649" t="s">
        <v>3034</v>
      </c>
      <c r="D649" s="1">
        <v>46035.633414351854</v>
      </c>
      <c r="E649">
        <v>2224.5500000000002</v>
      </c>
      <c r="F649">
        <v>64.81</v>
      </c>
      <c r="G649">
        <v>2159.7399999999998</v>
      </c>
      <c r="H649" t="s">
        <v>25</v>
      </c>
      <c r="I649" t="s">
        <v>3490</v>
      </c>
      <c r="J649" t="s">
        <v>3036</v>
      </c>
      <c r="K649">
        <v>2224.5500000000002</v>
      </c>
    </row>
    <row r="650" spans="1:11" x14ac:dyDescent="0.25">
      <c r="A650" t="s">
        <v>3797</v>
      </c>
      <c r="B650" t="s">
        <v>1872</v>
      </c>
      <c r="C650" t="s">
        <v>3034</v>
      </c>
      <c r="D650" s="1">
        <v>46036.724652777775</v>
      </c>
      <c r="E650">
        <v>262.08</v>
      </c>
      <c r="F650">
        <v>7.9</v>
      </c>
      <c r="G650">
        <v>254.18</v>
      </c>
      <c r="H650" t="s">
        <v>25</v>
      </c>
      <c r="I650" t="s">
        <v>3492</v>
      </c>
      <c r="J650" t="s">
        <v>3036</v>
      </c>
      <c r="K650">
        <v>262.08</v>
      </c>
    </row>
    <row r="651" spans="1:11" x14ac:dyDescent="0.25">
      <c r="A651" t="s">
        <v>3798</v>
      </c>
      <c r="B651" t="s">
        <v>1875</v>
      </c>
      <c r="C651" t="s">
        <v>3034</v>
      </c>
      <c r="D651" s="1">
        <v>46023.805810185186</v>
      </c>
      <c r="E651">
        <v>1601.97</v>
      </c>
      <c r="F651">
        <v>46.76</v>
      </c>
      <c r="G651">
        <v>1555.21</v>
      </c>
      <c r="H651" t="s">
        <v>25</v>
      </c>
      <c r="I651" t="s">
        <v>3494</v>
      </c>
      <c r="J651" t="s">
        <v>3036</v>
      </c>
      <c r="K651">
        <v>1601.97</v>
      </c>
    </row>
    <row r="652" spans="1:11" x14ac:dyDescent="0.25">
      <c r="A652" t="s">
        <v>3799</v>
      </c>
      <c r="B652" t="s">
        <v>1878</v>
      </c>
      <c r="C652" t="s">
        <v>3034</v>
      </c>
      <c r="D652" s="1">
        <v>46024.88853009259</v>
      </c>
      <c r="E652">
        <v>2423.31</v>
      </c>
      <c r="F652">
        <v>70.58</v>
      </c>
      <c r="G652">
        <v>2352.73</v>
      </c>
      <c r="H652" t="s">
        <v>25</v>
      </c>
      <c r="I652" t="s">
        <v>3468</v>
      </c>
      <c r="J652" t="s">
        <v>3036</v>
      </c>
      <c r="K652">
        <v>2423.31</v>
      </c>
    </row>
    <row r="653" spans="1:11" x14ac:dyDescent="0.25">
      <c r="A653" t="s">
        <v>3800</v>
      </c>
      <c r="B653" t="s">
        <v>1881</v>
      </c>
      <c r="C653" t="s">
        <v>3034</v>
      </c>
      <c r="D653" s="1">
        <v>46025.994085648148</v>
      </c>
      <c r="E653">
        <v>329.07</v>
      </c>
      <c r="F653">
        <v>9.84</v>
      </c>
      <c r="G653">
        <v>319.23</v>
      </c>
      <c r="H653" t="s">
        <v>25</v>
      </c>
      <c r="I653" t="s">
        <v>3470</v>
      </c>
      <c r="J653" t="s">
        <v>3036</v>
      </c>
      <c r="K653">
        <v>329.07</v>
      </c>
    </row>
    <row r="654" spans="1:11" x14ac:dyDescent="0.25">
      <c r="A654" t="s">
        <v>3801</v>
      </c>
      <c r="B654" t="s">
        <v>1884</v>
      </c>
      <c r="C654" t="s">
        <v>3034</v>
      </c>
      <c r="D654" s="1">
        <v>46027.103078703702</v>
      </c>
      <c r="E654">
        <v>651.76</v>
      </c>
      <c r="F654">
        <v>19.2</v>
      </c>
      <c r="G654">
        <v>632.55999999999995</v>
      </c>
      <c r="H654" t="s">
        <v>52</v>
      </c>
      <c r="I654" t="s">
        <v>3561</v>
      </c>
      <c r="J654" t="s">
        <v>3036</v>
      </c>
      <c r="K654">
        <v>651.76</v>
      </c>
    </row>
    <row r="655" spans="1:11" x14ac:dyDescent="0.25">
      <c r="A655" t="s">
        <v>3802</v>
      </c>
      <c r="B655" t="s">
        <v>1887</v>
      </c>
      <c r="C655" t="s">
        <v>3034</v>
      </c>
      <c r="D655" s="1">
        <v>46028.192685185182</v>
      </c>
      <c r="E655">
        <v>912.9</v>
      </c>
      <c r="F655">
        <v>26.77</v>
      </c>
      <c r="G655">
        <v>886.13</v>
      </c>
      <c r="H655" t="s">
        <v>19</v>
      </c>
      <c r="I655" t="s">
        <v>3563</v>
      </c>
      <c r="J655" t="s">
        <v>3036</v>
      </c>
      <c r="K655">
        <v>912.9</v>
      </c>
    </row>
    <row r="656" spans="1:11" x14ac:dyDescent="0.25">
      <c r="A656" t="s">
        <v>3803</v>
      </c>
      <c r="B656" t="s">
        <v>1890</v>
      </c>
      <c r="C656" t="s">
        <v>3034</v>
      </c>
      <c r="D656" s="1">
        <v>46028.279583333337</v>
      </c>
      <c r="E656">
        <v>80.38</v>
      </c>
      <c r="F656">
        <v>2.63</v>
      </c>
      <c r="G656">
        <v>77.75</v>
      </c>
      <c r="H656" t="s">
        <v>25</v>
      </c>
      <c r="I656" t="s">
        <v>3476</v>
      </c>
      <c r="J656" t="s">
        <v>3036</v>
      </c>
      <c r="K656">
        <v>80.38</v>
      </c>
    </row>
    <row r="657" spans="1:11" x14ac:dyDescent="0.25">
      <c r="A657" t="s">
        <v>3804</v>
      </c>
      <c r="B657" t="s">
        <v>1893</v>
      </c>
      <c r="C657" t="s">
        <v>3034</v>
      </c>
      <c r="D657" s="1">
        <v>46029.343564814815</v>
      </c>
      <c r="E657">
        <v>1880.6</v>
      </c>
      <c r="F657">
        <v>54.84</v>
      </c>
      <c r="G657">
        <v>1825.76</v>
      </c>
      <c r="H657" t="s">
        <v>25</v>
      </c>
      <c r="I657" t="s">
        <v>3478</v>
      </c>
      <c r="J657" t="s">
        <v>3036</v>
      </c>
      <c r="K657">
        <v>1880.6</v>
      </c>
    </row>
    <row r="658" spans="1:11" x14ac:dyDescent="0.25">
      <c r="A658" t="s">
        <v>3804</v>
      </c>
      <c r="B658" t="s">
        <v>1893</v>
      </c>
      <c r="C658" t="s">
        <v>3034</v>
      </c>
      <c r="D658" s="1">
        <v>46029.343564814815</v>
      </c>
      <c r="E658">
        <v>1880.6</v>
      </c>
      <c r="F658">
        <v>54.84</v>
      </c>
      <c r="G658">
        <v>1825.76</v>
      </c>
      <c r="H658" t="s">
        <v>25</v>
      </c>
      <c r="I658" t="s">
        <v>3478</v>
      </c>
      <c r="J658" t="s">
        <v>3036</v>
      </c>
      <c r="K658">
        <v>1880.6</v>
      </c>
    </row>
    <row r="659" spans="1:11" x14ac:dyDescent="0.25">
      <c r="A659" t="s">
        <v>3805</v>
      </c>
      <c r="B659" t="s">
        <v>1896</v>
      </c>
      <c r="C659" t="s">
        <v>3034</v>
      </c>
      <c r="D659" s="1">
        <v>46030.450775462959</v>
      </c>
      <c r="E659">
        <v>876.28</v>
      </c>
      <c r="F659">
        <v>25.71</v>
      </c>
      <c r="G659">
        <v>850.57</v>
      </c>
      <c r="H659" t="s">
        <v>25</v>
      </c>
      <c r="I659" t="s">
        <v>3480</v>
      </c>
      <c r="J659" t="s">
        <v>3036</v>
      </c>
      <c r="K659">
        <v>876.28</v>
      </c>
    </row>
    <row r="660" spans="1:11" x14ac:dyDescent="0.25">
      <c r="A660" t="s">
        <v>3806</v>
      </c>
      <c r="B660" t="s">
        <v>1899</v>
      </c>
      <c r="C660" t="s">
        <v>3034</v>
      </c>
      <c r="D660" s="1">
        <v>46031.522141203706</v>
      </c>
      <c r="E660">
        <v>934.88</v>
      </c>
      <c r="F660">
        <v>27.41</v>
      </c>
      <c r="G660">
        <v>907.47</v>
      </c>
      <c r="H660" t="s">
        <v>25</v>
      </c>
      <c r="I660" t="s">
        <v>3482</v>
      </c>
      <c r="J660" t="s">
        <v>3036</v>
      </c>
      <c r="K660">
        <v>934.88</v>
      </c>
    </row>
    <row r="661" spans="1:11" x14ac:dyDescent="0.25">
      <c r="A661" t="s">
        <v>3807</v>
      </c>
      <c r="B661" t="s">
        <v>1902</v>
      </c>
      <c r="C661" t="s">
        <v>3034</v>
      </c>
      <c r="D661" s="1">
        <v>46032.617905092593</v>
      </c>
      <c r="E661">
        <v>376.75</v>
      </c>
      <c r="F661">
        <v>11.23</v>
      </c>
      <c r="G661">
        <v>365.52</v>
      </c>
      <c r="H661" t="s">
        <v>25</v>
      </c>
      <c r="I661" t="s">
        <v>3530</v>
      </c>
      <c r="J661" t="s">
        <v>3036</v>
      </c>
      <c r="K661">
        <v>376.75</v>
      </c>
    </row>
    <row r="662" spans="1:11" x14ac:dyDescent="0.25">
      <c r="A662" t="s">
        <v>3808</v>
      </c>
      <c r="B662" t="s">
        <v>1905</v>
      </c>
      <c r="C662" t="s">
        <v>3034</v>
      </c>
      <c r="D662" s="1">
        <v>46033.71912037037</v>
      </c>
      <c r="E662">
        <v>2000.87</v>
      </c>
      <c r="F662">
        <v>58.33</v>
      </c>
      <c r="G662">
        <v>1942.54</v>
      </c>
      <c r="H662" t="s">
        <v>25</v>
      </c>
      <c r="I662" t="s">
        <v>3510</v>
      </c>
      <c r="J662" t="s">
        <v>3036</v>
      </c>
      <c r="K662">
        <v>2000.87</v>
      </c>
    </row>
    <row r="663" spans="1:11" x14ac:dyDescent="0.25">
      <c r="A663" t="s">
        <v>3809</v>
      </c>
      <c r="B663" t="s">
        <v>1908</v>
      </c>
      <c r="C663" t="s">
        <v>3034</v>
      </c>
      <c r="D663" s="1">
        <v>46034.802256944444</v>
      </c>
      <c r="E663">
        <v>2363.73</v>
      </c>
      <c r="F663">
        <v>68.849999999999994</v>
      </c>
      <c r="G663">
        <v>2294.88</v>
      </c>
      <c r="H663" t="s">
        <v>25</v>
      </c>
      <c r="I663" t="s">
        <v>3553</v>
      </c>
      <c r="J663" t="s">
        <v>3036</v>
      </c>
      <c r="K663">
        <v>2363.73</v>
      </c>
    </row>
    <row r="664" spans="1:11" x14ac:dyDescent="0.25">
      <c r="A664" t="s">
        <v>3810</v>
      </c>
      <c r="B664" t="s">
        <v>1911</v>
      </c>
      <c r="C664" t="s">
        <v>3034</v>
      </c>
      <c r="D664" s="1">
        <v>46035.9</v>
      </c>
      <c r="E664">
        <v>955.41</v>
      </c>
      <c r="F664">
        <v>28.01</v>
      </c>
      <c r="G664">
        <v>927.4</v>
      </c>
      <c r="H664" t="s">
        <v>25</v>
      </c>
      <c r="I664" t="s">
        <v>3490</v>
      </c>
      <c r="J664" t="s">
        <v>3036</v>
      </c>
      <c r="K664">
        <v>955.41</v>
      </c>
    </row>
    <row r="665" spans="1:11" x14ac:dyDescent="0.25">
      <c r="A665" t="s">
        <v>3811</v>
      </c>
      <c r="B665" t="s">
        <v>1914</v>
      </c>
      <c r="C665" t="s">
        <v>3034</v>
      </c>
      <c r="D665" s="1">
        <v>46036.993310185186</v>
      </c>
      <c r="E665">
        <v>20.78</v>
      </c>
      <c r="F665">
        <v>0.9</v>
      </c>
      <c r="G665">
        <v>19.88</v>
      </c>
      <c r="H665" t="s">
        <v>52</v>
      </c>
      <c r="I665" t="s">
        <v>3576</v>
      </c>
      <c r="J665" t="s">
        <v>3036</v>
      </c>
      <c r="K665">
        <v>20.78</v>
      </c>
    </row>
    <row r="666" spans="1:11" x14ac:dyDescent="0.25">
      <c r="A666" t="s">
        <v>3812</v>
      </c>
      <c r="B666" t="s">
        <v>1917</v>
      </c>
      <c r="C666" t="s">
        <v>3034</v>
      </c>
      <c r="D666" s="1">
        <v>46024.078182870369</v>
      </c>
      <c r="E666">
        <v>1803.21</v>
      </c>
      <c r="F666">
        <v>52.59</v>
      </c>
      <c r="G666">
        <v>1750.62</v>
      </c>
      <c r="H666" t="s">
        <v>19</v>
      </c>
      <c r="I666" t="s">
        <v>3466</v>
      </c>
      <c r="J666" t="s">
        <v>3036</v>
      </c>
      <c r="K666">
        <v>1803.21</v>
      </c>
    </row>
    <row r="667" spans="1:11" x14ac:dyDescent="0.25">
      <c r="A667" t="s">
        <v>3813</v>
      </c>
      <c r="B667" t="s">
        <v>1920</v>
      </c>
      <c r="C667" t="s">
        <v>3034</v>
      </c>
      <c r="D667" s="1">
        <v>46025.178657407407</v>
      </c>
      <c r="E667">
        <v>1728.99</v>
      </c>
      <c r="F667">
        <v>50.44</v>
      </c>
      <c r="G667">
        <v>1678.55</v>
      </c>
      <c r="H667" t="s">
        <v>25</v>
      </c>
      <c r="I667" t="s">
        <v>3468</v>
      </c>
      <c r="J667" t="s">
        <v>3036</v>
      </c>
      <c r="K667">
        <v>1728.99</v>
      </c>
    </row>
    <row r="668" spans="1:11" x14ac:dyDescent="0.25">
      <c r="A668" t="s">
        <v>3814</v>
      </c>
      <c r="B668" t="s">
        <v>1923</v>
      </c>
      <c r="C668" t="s">
        <v>3034</v>
      </c>
      <c r="D668" s="1">
        <v>46025.2891087963</v>
      </c>
      <c r="E668">
        <v>2419.88</v>
      </c>
      <c r="F668">
        <v>70.48</v>
      </c>
      <c r="G668">
        <v>2349.4</v>
      </c>
      <c r="H668" t="s">
        <v>25</v>
      </c>
      <c r="I668" t="s">
        <v>3470</v>
      </c>
      <c r="J668" t="s">
        <v>3036</v>
      </c>
      <c r="K668">
        <v>2419.88</v>
      </c>
    </row>
    <row r="669" spans="1:11" x14ac:dyDescent="0.25">
      <c r="A669" t="s">
        <v>3815</v>
      </c>
      <c r="B669" t="s">
        <v>1926</v>
      </c>
      <c r="C669" t="s">
        <v>3034</v>
      </c>
      <c r="D669" s="1">
        <v>46026.354456018518</v>
      </c>
      <c r="E669">
        <v>172.49</v>
      </c>
      <c r="F669">
        <v>5.3</v>
      </c>
      <c r="G669">
        <v>167.19</v>
      </c>
      <c r="H669" t="s">
        <v>25</v>
      </c>
      <c r="I669" t="s">
        <v>3472</v>
      </c>
      <c r="J669" t="s">
        <v>3036</v>
      </c>
      <c r="K669">
        <v>172.49</v>
      </c>
    </row>
    <row r="670" spans="1:11" x14ac:dyDescent="0.25">
      <c r="A670" t="s">
        <v>3816</v>
      </c>
      <c r="B670" t="s">
        <v>1929</v>
      </c>
      <c r="C670" t="s">
        <v>3034</v>
      </c>
      <c r="D670" s="1">
        <v>46027.468333333331</v>
      </c>
      <c r="E670">
        <v>1950.81</v>
      </c>
      <c r="F670">
        <v>56.87</v>
      </c>
      <c r="G670">
        <v>1893.94</v>
      </c>
      <c r="H670" t="s">
        <v>25</v>
      </c>
      <c r="I670" t="s">
        <v>3474</v>
      </c>
      <c r="J670" t="s">
        <v>3036</v>
      </c>
      <c r="K670">
        <v>1950.81</v>
      </c>
    </row>
    <row r="671" spans="1:11" x14ac:dyDescent="0.25">
      <c r="A671" t="s">
        <v>3817</v>
      </c>
      <c r="B671" t="s">
        <v>1932</v>
      </c>
      <c r="C671" t="s">
        <v>3034</v>
      </c>
      <c r="D671" s="1">
        <v>46028.548657407409</v>
      </c>
      <c r="E671">
        <v>976.84</v>
      </c>
      <c r="F671">
        <v>28.63</v>
      </c>
      <c r="G671">
        <v>948.21</v>
      </c>
      <c r="H671" t="s">
        <v>25</v>
      </c>
      <c r="I671" t="s">
        <v>3476</v>
      </c>
      <c r="J671" t="s">
        <v>3036</v>
      </c>
      <c r="K671">
        <v>976.84</v>
      </c>
    </row>
    <row r="672" spans="1:11" x14ac:dyDescent="0.25">
      <c r="A672" t="s">
        <v>3818</v>
      </c>
      <c r="B672" t="s">
        <v>1935</v>
      </c>
      <c r="C672" t="s">
        <v>3034</v>
      </c>
      <c r="D672" s="1">
        <v>46029.640138888892</v>
      </c>
      <c r="E672">
        <v>2438.5</v>
      </c>
      <c r="F672">
        <v>71.02</v>
      </c>
      <c r="G672">
        <v>2367.48</v>
      </c>
      <c r="H672" t="s">
        <v>25</v>
      </c>
      <c r="I672" t="s">
        <v>3478</v>
      </c>
      <c r="J672" t="s">
        <v>3036</v>
      </c>
      <c r="K672">
        <v>2438.5</v>
      </c>
    </row>
    <row r="673" spans="1:11" x14ac:dyDescent="0.25">
      <c r="A673" t="s">
        <v>3818</v>
      </c>
      <c r="B673" t="s">
        <v>1935</v>
      </c>
      <c r="C673" t="s">
        <v>3034</v>
      </c>
      <c r="D673" s="1">
        <v>46029.640138888892</v>
      </c>
      <c r="E673">
        <v>2438.5</v>
      </c>
      <c r="F673">
        <v>71.02</v>
      </c>
      <c r="G673">
        <v>2367.48</v>
      </c>
      <c r="H673" t="s">
        <v>25</v>
      </c>
      <c r="I673" t="s">
        <v>3478</v>
      </c>
      <c r="J673" t="s">
        <v>3036</v>
      </c>
      <c r="K673">
        <v>2438.5</v>
      </c>
    </row>
    <row r="674" spans="1:11" x14ac:dyDescent="0.25">
      <c r="A674" t="s">
        <v>3819</v>
      </c>
      <c r="B674" t="s">
        <v>1938</v>
      </c>
      <c r="C674" t="s">
        <v>3034</v>
      </c>
      <c r="D674" s="1">
        <v>46030.747060185182</v>
      </c>
      <c r="E674">
        <v>706.29</v>
      </c>
      <c r="F674">
        <v>21.15</v>
      </c>
      <c r="G674">
        <v>685.14</v>
      </c>
      <c r="H674" t="s">
        <v>25</v>
      </c>
      <c r="I674" t="s">
        <v>3480</v>
      </c>
      <c r="J674" t="s">
        <v>3036</v>
      </c>
      <c r="K674">
        <v>706.29</v>
      </c>
    </row>
    <row r="675" spans="1:11" x14ac:dyDescent="0.25">
      <c r="A675" t="s">
        <v>3820</v>
      </c>
      <c r="B675" t="s">
        <v>1941</v>
      </c>
      <c r="C675" t="s">
        <v>3034</v>
      </c>
      <c r="D675" s="1">
        <v>46031.825254629628</v>
      </c>
      <c r="E675">
        <v>1795.33</v>
      </c>
      <c r="F675">
        <v>52.36</v>
      </c>
      <c r="G675">
        <v>1742.97</v>
      </c>
      <c r="H675" t="s">
        <v>25</v>
      </c>
      <c r="I675" t="s">
        <v>3482</v>
      </c>
      <c r="J675" t="s">
        <v>3036</v>
      </c>
      <c r="K675">
        <v>1795.33</v>
      </c>
    </row>
    <row r="676" spans="1:11" x14ac:dyDescent="0.25">
      <c r="A676" t="s">
        <v>3821</v>
      </c>
      <c r="B676" t="s">
        <v>1944</v>
      </c>
      <c r="C676" t="s">
        <v>3034</v>
      </c>
      <c r="D676" s="1">
        <v>46032.896550925929</v>
      </c>
      <c r="E676">
        <v>625.12</v>
      </c>
      <c r="F676">
        <v>18.43</v>
      </c>
      <c r="G676">
        <v>606.69000000000005</v>
      </c>
      <c r="H676" t="s">
        <v>52</v>
      </c>
      <c r="I676" t="s">
        <v>3484</v>
      </c>
      <c r="J676" t="s">
        <v>3036</v>
      </c>
      <c r="K676">
        <v>625.12</v>
      </c>
    </row>
    <row r="677" spans="1:11" x14ac:dyDescent="0.25">
      <c r="A677" t="s">
        <v>3822</v>
      </c>
      <c r="B677" t="s">
        <v>1947</v>
      </c>
      <c r="C677" t="s">
        <v>3034</v>
      </c>
      <c r="D677" s="1">
        <v>46033.992615740739</v>
      </c>
      <c r="E677">
        <v>2353.5500000000002</v>
      </c>
      <c r="F677">
        <v>68.55</v>
      </c>
      <c r="G677">
        <v>2285</v>
      </c>
      <c r="H677" t="s">
        <v>19</v>
      </c>
      <c r="I677" t="s">
        <v>3486</v>
      </c>
      <c r="J677" t="s">
        <v>3036</v>
      </c>
      <c r="K677">
        <v>2353.5500000000002</v>
      </c>
    </row>
    <row r="678" spans="1:11" x14ac:dyDescent="0.25">
      <c r="A678" t="s">
        <v>3823</v>
      </c>
      <c r="B678" t="s">
        <v>1950</v>
      </c>
      <c r="C678" t="s">
        <v>3034</v>
      </c>
      <c r="D678" s="1">
        <v>46035.081736111111</v>
      </c>
      <c r="E678">
        <v>1595.97</v>
      </c>
      <c r="F678">
        <v>46.58</v>
      </c>
      <c r="G678">
        <v>1549.39</v>
      </c>
      <c r="H678" t="s">
        <v>25</v>
      </c>
      <c r="I678" t="s">
        <v>3553</v>
      </c>
      <c r="J678" t="s">
        <v>3036</v>
      </c>
      <c r="K678">
        <v>1595.97</v>
      </c>
    </row>
    <row r="679" spans="1:11" x14ac:dyDescent="0.25">
      <c r="A679" t="s">
        <v>3824</v>
      </c>
      <c r="B679" t="s">
        <v>1953</v>
      </c>
      <c r="C679" t="s">
        <v>3034</v>
      </c>
      <c r="D679" s="1">
        <v>46036.206689814811</v>
      </c>
      <c r="E679">
        <v>1491.55</v>
      </c>
      <c r="F679">
        <v>43.92</v>
      </c>
      <c r="G679">
        <v>1447.63</v>
      </c>
      <c r="H679" t="s">
        <v>25</v>
      </c>
      <c r="I679" t="s">
        <v>3490</v>
      </c>
      <c r="J679" t="s">
        <v>3036</v>
      </c>
      <c r="K679">
        <v>1491.55</v>
      </c>
    </row>
    <row r="680" spans="1:11" x14ac:dyDescent="0.25">
      <c r="A680" t="s">
        <v>3825</v>
      </c>
      <c r="B680" t="s">
        <v>1956</v>
      </c>
      <c r="C680" t="s">
        <v>3034</v>
      </c>
      <c r="D680" s="1">
        <v>46036.289143518516</v>
      </c>
      <c r="E680">
        <v>1402.73</v>
      </c>
      <c r="F680">
        <v>40.98</v>
      </c>
      <c r="G680">
        <v>1361.75</v>
      </c>
      <c r="H680" t="s">
        <v>25</v>
      </c>
      <c r="I680" t="s">
        <v>3492</v>
      </c>
      <c r="J680" t="s">
        <v>3036</v>
      </c>
      <c r="K680">
        <v>1402.73</v>
      </c>
    </row>
    <row r="681" spans="1:11" x14ac:dyDescent="0.25">
      <c r="A681" t="s">
        <v>3826</v>
      </c>
      <c r="B681" t="s">
        <v>1959</v>
      </c>
      <c r="C681" t="s">
        <v>3034</v>
      </c>
      <c r="D681" s="1">
        <v>46023.367152777777</v>
      </c>
      <c r="E681">
        <v>330.24</v>
      </c>
      <c r="F681">
        <v>9.8800000000000008</v>
      </c>
      <c r="G681">
        <v>320.36</v>
      </c>
      <c r="H681" t="s">
        <v>25</v>
      </c>
      <c r="I681" t="s">
        <v>3494</v>
      </c>
      <c r="J681" t="s">
        <v>3036</v>
      </c>
      <c r="K681">
        <v>330.24</v>
      </c>
    </row>
    <row r="682" spans="1:11" x14ac:dyDescent="0.25">
      <c r="A682" t="s">
        <v>3827</v>
      </c>
      <c r="B682" t="s">
        <v>1962</v>
      </c>
      <c r="C682" t="s">
        <v>3034</v>
      </c>
      <c r="D682" s="1">
        <v>46024.480624999997</v>
      </c>
      <c r="E682">
        <v>117.83</v>
      </c>
      <c r="F682">
        <v>3.72</v>
      </c>
      <c r="G682">
        <v>114.11</v>
      </c>
      <c r="H682" t="s">
        <v>25</v>
      </c>
      <c r="I682" t="s">
        <v>3468</v>
      </c>
      <c r="J682" t="s">
        <v>3036</v>
      </c>
      <c r="K682">
        <v>117.83</v>
      </c>
    </row>
    <row r="683" spans="1:11" x14ac:dyDescent="0.25">
      <c r="A683" t="s">
        <v>3828</v>
      </c>
      <c r="B683" t="s">
        <v>1965</v>
      </c>
      <c r="C683" t="s">
        <v>3034</v>
      </c>
      <c r="D683" s="1">
        <v>46025.55195601852</v>
      </c>
      <c r="E683">
        <v>1154.48</v>
      </c>
      <c r="F683">
        <v>33.78</v>
      </c>
      <c r="G683">
        <v>1120.7</v>
      </c>
      <c r="H683" t="s">
        <v>25</v>
      </c>
      <c r="I683" t="s">
        <v>3470</v>
      </c>
      <c r="J683" t="s">
        <v>3036</v>
      </c>
      <c r="K683">
        <v>1154.48</v>
      </c>
    </row>
    <row r="684" spans="1:11" x14ac:dyDescent="0.25">
      <c r="A684" t="s">
        <v>3829</v>
      </c>
      <c r="B684" t="s">
        <v>1968</v>
      </c>
      <c r="C684" t="s">
        <v>3034</v>
      </c>
      <c r="D684" s="1">
        <v>46026.661203703705</v>
      </c>
      <c r="E684">
        <v>539.03</v>
      </c>
      <c r="F684">
        <v>15.93</v>
      </c>
      <c r="G684">
        <v>523.1</v>
      </c>
      <c r="H684" t="s">
        <v>25</v>
      </c>
      <c r="I684" t="s">
        <v>3472</v>
      </c>
      <c r="J684" t="s">
        <v>3036</v>
      </c>
      <c r="K684">
        <v>539.03</v>
      </c>
    </row>
    <row r="685" spans="1:11" x14ac:dyDescent="0.25">
      <c r="A685" t="s">
        <v>3830</v>
      </c>
      <c r="B685" t="s">
        <v>1971</v>
      </c>
      <c r="C685" t="s">
        <v>3034</v>
      </c>
      <c r="D685" s="1">
        <v>46027.733726851853</v>
      </c>
      <c r="E685">
        <v>1979.31</v>
      </c>
      <c r="F685">
        <v>57.7</v>
      </c>
      <c r="G685">
        <v>1921.61</v>
      </c>
      <c r="H685" t="s">
        <v>25</v>
      </c>
      <c r="I685" t="s">
        <v>3474</v>
      </c>
      <c r="J685" t="s">
        <v>3036</v>
      </c>
      <c r="K685">
        <v>1979.31</v>
      </c>
    </row>
    <row r="686" spans="1:11" x14ac:dyDescent="0.25">
      <c r="A686" t="s">
        <v>3831</v>
      </c>
      <c r="B686" t="s">
        <v>1974</v>
      </c>
      <c r="C686" t="s">
        <v>3034</v>
      </c>
      <c r="D686" s="1">
        <v>46028.838287037041</v>
      </c>
      <c r="E686">
        <v>180.96</v>
      </c>
      <c r="F686">
        <v>5.55</v>
      </c>
      <c r="G686">
        <v>175.41</v>
      </c>
      <c r="H686" t="s">
        <v>52</v>
      </c>
      <c r="I686" t="s">
        <v>3502</v>
      </c>
      <c r="J686" t="s">
        <v>3036</v>
      </c>
      <c r="K686">
        <v>180.96</v>
      </c>
    </row>
    <row r="687" spans="1:11" x14ac:dyDescent="0.25">
      <c r="A687" t="s">
        <v>3832</v>
      </c>
      <c r="B687" t="s">
        <v>1977</v>
      </c>
      <c r="C687" t="s">
        <v>3034</v>
      </c>
      <c r="D687" s="1">
        <v>46029.90934027778</v>
      </c>
      <c r="E687">
        <v>1295.5</v>
      </c>
      <c r="F687">
        <v>37.869999999999997</v>
      </c>
      <c r="G687">
        <v>1257.6300000000001</v>
      </c>
      <c r="H687" t="s">
        <v>19</v>
      </c>
      <c r="I687" t="s">
        <v>3504</v>
      </c>
      <c r="J687" t="s">
        <v>3036</v>
      </c>
      <c r="K687">
        <v>1295.5</v>
      </c>
    </row>
    <row r="688" spans="1:11" x14ac:dyDescent="0.25">
      <c r="A688" t="s">
        <v>3833</v>
      </c>
      <c r="B688" t="s">
        <v>1980</v>
      </c>
      <c r="C688" t="s">
        <v>3034</v>
      </c>
      <c r="D688" s="1">
        <v>46031.008923611109</v>
      </c>
      <c r="E688">
        <v>2134.33</v>
      </c>
      <c r="F688">
        <v>62.2</v>
      </c>
      <c r="G688">
        <v>2072.13</v>
      </c>
      <c r="H688" t="s">
        <v>25</v>
      </c>
      <c r="I688" t="s">
        <v>3480</v>
      </c>
      <c r="J688" t="s">
        <v>3036</v>
      </c>
      <c r="K688">
        <v>2134.33</v>
      </c>
    </row>
    <row r="689" spans="1:11" x14ac:dyDescent="0.25">
      <c r="A689" t="s">
        <v>3834</v>
      </c>
      <c r="B689" t="s">
        <v>1983</v>
      </c>
      <c r="C689" t="s">
        <v>3034</v>
      </c>
      <c r="D689" s="1">
        <v>46032.098900462966</v>
      </c>
      <c r="E689">
        <v>1703.09</v>
      </c>
      <c r="F689">
        <v>49.69</v>
      </c>
      <c r="G689">
        <v>1653.4</v>
      </c>
      <c r="H689" t="s">
        <v>25</v>
      </c>
      <c r="I689" t="s">
        <v>3482</v>
      </c>
      <c r="J689" t="s">
        <v>3036</v>
      </c>
      <c r="K689">
        <v>1703.09</v>
      </c>
    </row>
    <row r="690" spans="1:11" x14ac:dyDescent="0.25">
      <c r="A690" t="s">
        <v>3835</v>
      </c>
      <c r="B690" t="s">
        <v>1986</v>
      </c>
      <c r="C690" t="s">
        <v>3034</v>
      </c>
      <c r="D690" s="1">
        <v>46033.207407407404</v>
      </c>
      <c r="E690">
        <v>1588.41</v>
      </c>
      <c r="F690">
        <v>46.36</v>
      </c>
      <c r="G690">
        <v>1542.05</v>
      </c>
      <c r="H690" t="s">
        <v>25</v>
      </c>
      <c r="I690" t="s">
        <v>3530</v>
      </c>
      <c r="J690" t="s">
        <v>3036</v>
      </c>
      <c r="K690">
        <v>1588.41</v>
      </c>
    </row>
    <row r="691" spans="1:11" x14ac:dyDescent="0.25">
      <c r="A691" t="s">
        <v>3836</v>
      </c>
      <c r="B691" t="s">
        <v>1989</v>
      </c>
      <c r="C691" t="s">
        <v>3034</v>
      </c>
      <c r="D691" s="1">
        <v>46033.306666666664</v>
      </c>
      <c r="E691">
        <v>8.43</v>
      </c>
      <c r="F691">
        <v>0.54</v>
      </c>
      <c r="G691">
        <v>7.89</v>
      </c>
      <c r="H691" t="s">
        <v>25</v>
      </c>
      <c r="I691" t="s">
        <v>3510</v>
      </c>
      <c r="J691" t="s">
        <v>3036</v>
      </c>
      <c r="K691">
        <v>8.43</v>
      </c>
    </row>
    <row r="692" spans="1:11" x14ac:dyDescent="0.25">
      <c r="A692" t="s">
        <v>3837</v>
      </c>
      <c r="B692" t="s">
        <v>1992</v>
      </c>
      <c r="C692" t="s">
        <v>3034</v>
      </c>
      <c r="D692" s="1">
        <v>46034.403229166666</v>
      </c>
      <c r="E692">
        <v>2393.37</v>
      </c>
      <c r="F692">
        <v>69.709999999999994</v>
      </c>
      <c r="G692">
        <v>2323.66</v>
      </c>
      <c r="H692" t="s">
        <v>25</v>
      </c>
      <c r="I692" t="s">
        <v>3838</v>
      </c>
      <c r="J692" t="s">
        <v>3036</v>
      </c>
      <c r="K692">
        <v>2393.37</v>
      </c>
    </row>
    <row r="693" spans="1:11" x14ac:dyDescent="0.25">
      <c r="A693" t="s">
        <v>3839</v>
      </c>
      <c r="B693" t="s">
        <v>1995</v>
      </c>
      <c r="C693" t="s">
        <v>3034</v>
      </c>
      <c r="D693" s="1">
        <v>46035.478402777779</v>
      </c>
      <c r="E693">
        <v>2317.9899999999998</v>
      </c>
      <c r="F693">
        <v>67.52</v>
      </c>
      <c r="G693">
        <v>2250.4699999999998</v>
      </c>
      <c r="H693" t="s">
        <v>25</v>
      </c>
      <c r="I693" t="s">
        <v>3490</v>
      </c>
      <c r="J693" t="s">
        <v>3036</v>
      </c>
      <c r="K693">
        <v>2317.9899999999998</v>
      </c>
    </row>
    <row r="694" spans="1:11" x14ac:dyDescent="0.25">
      <c r="A694" t="s">
        <v>3840</v>
      </c>
      <c r="B694" t="s">
        <v>1998</v>
      </c>
      <c r="C694" t="s">
        <v>3034</v>
      </c>
      <c r="D694" s="1">
        <v>46036.555219907408</v>
      </c>
      <c r="E694">
        <v>685.82</v>
      </c>
      <c r="F694">
        <v>20.190000000000001</v>
      </c>
      <c r="G694">
        <v>665.63</v>
      </c>
      <c r="H694" t="s">
        <v>25</v>
      </c>
      <c r="I694" t="s">
        <v>3492</v>
      </c>
      <c r="J694" t="s">
        <v>3036</v>
      </c>
      <c r="K694">
        <v>685.82</v>
      </c>
    </row>
    <row r="695" spans="1:11" x14ac:dyDescent="0.25">
      <c r="A695" t="s">
        <v>3841</v>
      </c>
      <c r="B695" t="s">
        <v>2001</v>
      </c>
      <c r="C695" t="s">
        <v>3034</v>
      </c>
      <c r="D695" s="1">
        <v>46023.645335648151</v>
      </c>
      <c r="E695">
        <v>133.13999999999999</v>
      </c>
      <c r="F695">
        <v>4.16</v>
      </c>
      <c r="G695">
        <v>128.97999999999999</v>
      </c>
      <c r="H695" t="s">
        <v>25</v>
      </c>
      <c r="I695" t="s">
        <v>3494</v>
      </c>
      <c r="J695" t="s">
        <v>3036</v>
      </c>
      <c r="K695">
        <v>133.13999999999999</v>
      </c>
    </row>
    <row r="696" spans="1:11" x14ac:dyDescent="0.25">
      <c r="A696" t="s">
        <v>3842</v>
      </c>
      <c r="B696" t="s">
        <v>2004</v>
      </c>
      <c r="C696" t="s">
        <v>3034</v>
      </c>
      <c r="D696" s="1">
        <v>46024.73741898148</v>
      </c>
      <c r="E696">
        <v>291.95</v>
      </c>
      <c r="F696">
        <v>8.77</v>
      </c>
      <c r="G696">
        <v>283.18</v>
      </c>
      <c r="H696" t="s">
        <v>52</v>
      </c>
      <c r="I696" t="s">
        <v>3518</v>
      </c>
      <c r="J696" t="s">
        <v>3036</v>
      </c>
      <c r="K696">
        <v>291.95</v>
      </c>
    </row>
    <row r="697" spans="1:11" x14ac:dyDescent="0.25">
      <c r="A697" t="s">
        <v>3843</v>
      </c>
      <c r="B697" t="s">
        <v>2007</v>
      </c>
      <c r="C697" t="s">
        <v>3034</v>
      </c>
      <c r="D697" s="1">
        <v>46025.859282407408</v>
      </c>
      <c r="E697">
        <v>1320.42</v>
      </c>
      <c r="F697">
        <v>38.590000000000003</v>
      </c>
      <c r="G697">
        <v>1281.83</v>
      </c>
      <c r="H697" t="s">
        <v>19</v>
      </c>
      <c r="I697" t="s">
        <v>3520</v>
      </c>
      <c r="J697" t="s">
        <v>3036</v>
      </c>
      <c r="K697">
        <v>1320.42</v>
      </c>
    </row>
    <row r="698" spans="1:11" x14ac:dyDescent="0.25">
      <c r="A698" t="s">
        <v>3844</v>
      </c>
      <c r="B698" t="s">
        <v>2010</v>
      </c>
      <c r="C698" t="s">
        <v>3034</v>
      </c>
      <c r="D698" s="1">
        <v>46026.934398148151</v>
      </c>
      <c r="E698">
        <v>15.06</v>
      </c>
      <c r="F698">
        <v>0.74</v>
      </c>
      <c r="G698">
        <v>14.32</v>
      </c>
      <c r="H698" t="s">
        <v>25</v>
      </c>
      <c r="I698" t="s">
        <v>3472</v>
      </c>
      <c r="J698" t="s">
        <v>3036</v>
      </c>
      <c r="K698">
        <v>15.06</v>
      </c>
    </row>
    <row r="699" spans="1:11" x14ac:dyDescent="0.25">
      <c r="A699" t="s">
        <v>3845</v>
      </c>
      <c r="B699" t="s">
        <v>2013</v>
      </c>
      <c r="C699" t="s">
        <v>3034</v>
      </c>
      <c r="D699" s="1">
        <v>46028.009988425925</v>
      </c>
      <c r="E699">
        <v>1809.81</v>
      </c>
      <c r="F699">
        <v>52.78</v>
      </c>
      <c r="G699">
        <v>1757.03</v>
      </c>
      <c r="H699" t="s">
        <v>25</v>
      </c>
      <c r="I699" t="s">
        <v>3474</v>
      </c>
      <c r="J699" t="s">
        <v>3036</v>
      </c>
      <c r="K699">
        <v>1809.81</v>
      </c>
    </row>
    <row r="700" spans="1:11" x14ac:dyDescent="0.25">
      <c r="A700" t="s">
        <v>3846</v>
      </c>
      <c r="B700" t="s">
        <v>2016</v>
      </c>
      <c r="C700" t="s">
        <v>3034</v>
      </c>
      <c r="D700" s="1">
        <v>46029.134305555555</v>
      </c>
      <c r="E700">
        <v>1568.45</v>
      </c>
      <c r="F700">
        <v>45.79</v>
      </c>
      <c r="G700">
        <v>1522.66</v>
      </c>
      <c r="H700" t="s">
        <v>25</v>
      </c>
      <c r="I700" t="s">
        <v>3476</v>
      </c>
      <c r="J700" t="s">
        <v>3036</v>
      </c>
      <c r="K700">
        <v>1568.45</v>
      </c>
    </row>
    <row r="701" spans="1:11" x14ac:dyDescent="0.25">
      <c r="A701" t="s">
        <v>3847</v>
      </c>
      <c r="B701" t="s">
        <v>2019</v>
      </c>
      <c r="C701" t="s">
        <v>3034</v>
      </c>
      <c r="D701" s="1">
        <v>46030.22</v>
      </c>
      <c r="E701">
        <v>951.4</v>
      </c>
      <c r="F701">
        <v>27.89</v>
      </c>
      <c r="G701">
        <v>923.51</v>
      </c>
      <c r="H701" t="s">
        <v>25</v>
      </c>
      <c r="I701" t="s">
        <v>3478</v>
      </c>
      <c r="J701" t="s">
        <v>3036</v>
      </c>
      <c r="K701">
        <v>951.4</v>
      </c>
    </row>
    <row r="702" spans="1:11" x14ac:dyDescent="0.25">
      <c r="A702" t="s">
        <v>3848</v>
      </c>
      <c r="B702" t="s">
        <v>2022</v>
      </c>
      <c r="C702" t="s">
        <v>3034</v>
      </c>
      <c r="D702" s="1">
        <v>46030.287789351853</v>
      </c>
      <c r="E702">
        <v>1549.39</v>
      </c>
      <c r="F702">
        <v>45.23</v>
      </c>
      <c r="G702">
        <v>1504.16</v>
      </c>
      <c r="H702" t="s">
        <v>25</v>
      </c>
      <c r="I702" t="s">
        <v>3480</v>
      </c>
      <c r="J702" t="s">
        <v>3036</v>
      </c>
      <c r="K702">
        <v>1549.39</v>
      </c>
    </row>
    <row r="703" spans="1:11" x14ac:dyDescent="0.25">
      <c r="A703" t="s">
        <v>3849</v>
      </c>
      <c r="B703" t="s">
        <v>2022</v>
      </c>
      <c r="C703" t="s">
        <v>3034</v>
      </c>
      <c r="D703" s="1">
        <v>46030.288483796299</v>
      </c>
      <c r="E703">
        <v>1549.39</v>
      </c>
      <c r="F703">
        <v>45.23</v>
      </c>
      <c r="G703">
        <v>1504.16</v>
      </c>
      <c r="H703" t="s">
        <v>25</v>
      </c>
      <c r="I703" t="s">
        <v>3480</v>
      </c>
      <c r="J703" t="s">
        <v>3036</v>
      </c>
      <c r="K703">
        <v>1549.39</v>
      </c>
    </row>
    <row r="704" spans="1:11" x14ac:dyDescent="0.25">
      <c r="A704" t="s">
        <v>3850</v>
      </c>
      <c r="B704" t="s">
        <v>2025</v>
      </c>
      <c r="C704" t="s">
        <v>3034</v>
      </c>
      <c r="D704" s="1">
        <v>46031.387997685182</v>
      </c>
      <c r="E704">
        <v>2210.02</v>
      </c>
      <c r="F704">
        <v>64.39</v>
      </c>
      <c r="G704">
        <v>2145.63</v>
      </c>
      <c r="H704" t="s">
        <v>25</v>
      </c>
      <c r="I704" t="s">
        <v>3851</v>
      </c>
      <c r="J704" t="s">
        <v>3036</v>
      </c>
      <c r="K704">
        <v>2210.02</v>
      </c>
    </row>
    <row r="705" spans="1:11" x14ac:dyDescent="0.25">
      <c r="A705" t="s">
        <v>3852</v>
      </c>
      <c r="B705" t="s">
        <v>2028</v>
      </c>
      <c r="C705" t="s">
        <v>3034</v>
      </c>
      <c r="D705" s="1">
        <v>46032.486724537041</v>
      </c>
      <c r="E705">
        <v>116.71</v>
      </c>
      <c r="F705">
        <v>3.68</v>
      </c>
      <c r="G705">
        <v>113.03</v>
      </c>
      <c r="H705" t="s">
        <v>25</v>
      </c>
      <c r="I705" t="s">
        <v>3530</v>
      </c>
      <c r="J705" t="s">
        <v>3036</v>
      </c>
      <c r="K705">
        <v>116.71</v>
      </c>
    </row>
    <row r="706" spans="1:11" x14ac:dyDescent="0.25">
      <c r="A706" t="s">
        <v>3853</v>
      </c>
      <c r="B706" t="s">
        <v>2031</v>
      </c>
      <c r="C706" t="s">
        <v>3034</v>
      </c>
      <c r="D706" s="1">
        <v>46033.566481481481</v>
      </c>
      <c r="E706">
        <v>2128.0500000000002</v>
      </c>
      <c r="F706">
        <v>62.38</v>
      </c>
      <c r="G706">
        <v>2065.67</v>
      </c>
      <c r="H706" t="s">
        <v>25</v>
      </c>
      <c r="I706" t="s">
        <v>3510</v>
      </c>
      <c r="J706" t="s">
        <v>3036</v>
      </c>
      <c r="K706">
        <v>2128.0500000000002</v>
      </c>
    </row>
    <row r="707" spans="1:11" x14ac:dyDescent="0.25">
      <c r="A707" t="s">
        <v>3854</v>
      </c>
      <c r="B707" t="s">
        <v>2034</v>
      </c>
      <c r="C707" t="s">
        <v>3034</v>
      </c>
      <c r="D707" s="1">
        <v>46034.680196759262</v>
      </c>
      <c r="E707">
        <v>2408.9899999999998</v>
      </c>
      <c r="F707">
        <v>70.16</v>
      </c>
      <c r="G707">
        <v>2338.83</v>
      </c>
      <c r="H707" t="s">
        <v>52</v>
      </c>
      <c r="I707" t="s">
        <v>3533</v>
      </c>
      <c r="J707" t="s">
        <v>3036</v>
      </c>
      <c r="K707">
        <v>2408.9899999999998</v>
      </c>
    </row>
    <row r="708" spans="1:11" x14ac:dyDescent="0.25">
      <c r="A708" t="s">
        <v>3855</v>
      </c>
      <c r="B708" t="s">
        <v>2037</v>
      </c>
      <c r="C708" t="s">
        <v>3034</v>
      </c>
      <c r="D708" s="1">
        <v>46035.741631944446</v>
      </c>
      <c r="E708">
        <v>111.56</v>
      </c>
      <c r="F708">
        <v>3.54</v>
      </c>
      <c r="G708">
        <v>108.02</v>
      </c>
      <c r="H708" t="s">
        <v>19</v>
      </c>
      <c r="I708" t="s">
        <v>3535</v>
      </c>
      <c r="J708" t="s">
        <v>3036</v>
      </c>
      <c r="K708">
        <v>111.56</v>
      </c>
    </row>
    <row r="709" spans="1:11" x14ac:dyDescent="0.25">
      <c r="A709" t="s">
        <v>3856</v>
      </c>
      <c r="B709" t="s">
        <v>2040</v>
      </c>
      <c r="C709" t="s">
        <v>3034</v>
      </c>
      <c r="D709" s="1">
        <v>46036.841180555559</v>
      </c>
      <c r="E709">
        <v>2162.87</v>
      </c>
      <c r="F709">
        <v>63.02</v>
      </c>
      <c r="G709">
        <v>2099.85</v>
      </c>
      <c r="H709" t="s">
        <v>25</v>
      </c>
      <c r="I709" t="s">
        <v>3492</v>
      </c>
      <c r="J709" t="s">
        <v>3036</v>
      </c>
      <c r="K709">
        <v>2162.87</v>
      </c>
    </row>
    <row r="710" spans="1:11" x14ac:dyDescent="0.25">
      <c r="A710" t="s">
        <v>3857</v>
      </c>
      <c r="B710" t="s">
        <v>2043</v>
      </c>
      <c r="C710" t="s">
        <v>3034</v>
      </c>
      <c r="D710" s="1">
        <v>46023.936412037037</v>
      </c>
      <c r="E710">
        <v>704.84</v>
      </c>
      <c r="F710">
        <v>20.74</v>
      </c>
      <c r="G710">
        <v>684.1</v>
      </c>
      <c r="H710" t="s">
        <v>25</v>
      </c>
      <c r="I710" t="s">
        <v>3494</v>
      </c>
      <c r="J710" t="s">
        <v>3036</v>
      </c>
      <c r="K710">
        <v>704.84</v>
      </c>
    </row>
    <row r="711" spans="1:11" x14ac:dyDescent="0.25">
      <c r="A711" t="s">
        <v>3858</v>
      </c>
      <c r="B711" t="s">
        <v>2046</v>
      </c>
      <c r="C711" t="s">
        <v>3034</v>
      </c>
      <c r="D711" s="1">
        <v>46025.037685185183</v>
      </c>
      <c r="E711">
        <v>2390.73</v>
      </c>
      <c r="F711">
        <v>69.63</v>
      </c>
      <c r="G711">
        <v>2321.1</v>
      </c>
      <c r="H711" t="s">
        <v>25</v>
      </c>
      <c r="I711" t="s">
        <v>3468</v>
      </c>
      <c r="J711" t="s">
        <v>3036</v>
      </c>
      <c r="K711">
        <v>2390.73</v>
      </c>
    </row>
    <row r="712" spans="1:11" x14ac:dyDescent="0.25">
      <c r="A712" t="s">
        <v>3859</v>
      </c>
      <c r="B712" t="s">
        <v>2049</v>
      </c>
      <c r="C712" t="s">
        <v>3034</v>
      </c>
      <c r="D712" s="1">
        <v>46026.129143518519</v>
      </c>
      <c r="E712">
        <v>1922.93</v>
      </c>
      <c r="F712">
        <v>56.06</v>
      </c>
      <c r="G712">
        <v>1866.87</v>
      </c>
      <c r="H712" t="s">
        <v>25</v>
      </c>
      <c r="I712" t="s">
        <v>3470</v>
      </c>
      <c r="J712" t="s">
        <v>3036</v>
      </c>
      <c r="K712">
        <v>1922.93</v>
      </c>
    </row>
    <row r="713" spans="1:11" x14ac:dyDescent="0.25">
      <c r="A713" t="s">
        <v>3860</v>
      </c>
      <c r="B713" t="s">
        <v>2055</v>
      </c>
      <c r="C713" t="s">
        <v>3034</v>
      </c>
      <c r="D713" s="1">
        <v>46027.315937500003</v>
      </c>
      <c r="E713">
        <v>233.87</v>
      </c>
      <c r="F713">
        <v>7.08</v>
      </c>
      <c r="G713">
        <v>226.79</v>
      </c>
      <c r="H713" t="s">
        <v>25</v>
      </c>
      <c r="I713" t="s">
        <v>3474</v>
      </c>
      <c r="J713" t="s">
        <v>3036</v>
      </c>
      <c r="K713">
        <v>233.87</v>
      </c>
    </row>
    <row r="714" spans="1:11" x14ac:dyDescent="0.25">
      <c r="A714" t="s">
        <v>3861</v>
      </c>
      <c r="B714" t="s">
        <v>2058</v>
      </c>
      <c r="C714" t="s">
        <v>3034</v>
      </c>
      <c r="D714" s="1">
        <v>46028.416990740741</v>
      </c>
      <c r="E714">
        <v>1849.91</v>
      </c>
      <c r="F714">
        <v>53.95</v>
      </c>
      <c r="G714">
        <v>1795.96</v>
      </c>
      <c r="H714" t="s">
        <v>25</v>
      </c>
      <c r="I714" t="s">
        <v>3476</v>
      </c>
      <c r="J714" t="s">
        <v>3036</v>
      </c>
      <c r="K714">
        <v>1849.91</v>
      </c>
    </row>
    <row r="715" spans="1:11" x14ac:dyDescent="0.25">
      <c r="A715" t="s">
        <v>3862</v>
      </c>
      <c r="B715" t="s">
        <v>2061</v>
      </c>
      <c r="C715" t="s">
        <v>3034</v>
      </c>
      <c r="D715" s="1">
        <v>46029.494791666664</v>
      </c>
      <c r="E715">
        <v>789.77</v>
      </c>
      <c r="F715">
        <v>23.2</v>
      </c>
      <c r="G715">
        <v>766.57</v>
      </c>
      <c r="H715" t="s">
        <v>25</v>
      </c>
      <c r="I715" t="s">
        <v>3863</v>
      </c>
      <c r="J715" t="s">
        <v>3036</v>
      </c>
      <c r="K715">
        <v>789.77</v>
      </c>
    </row>
    <row r="716" spans="1:11" x14ac:dyDescent="0.25">
      <c r="A716" t="s">
        <v>3864</v>
      </c>
      <c r="B716" t="s">
        <v>2064</v>
      </c>
      <c r="C716" t="s">
        <v>3034</v>
      </c>
      <c r="D716" s="1">
        <v>46030.592268518521</v>
      </c>
      <c r="E716">
        <v>2164.17</v>
      </c>
      <c r="F716">
        <v>63.06</v>
      </c>
      <c r="G716">
        <v>2101.11</v>
      </c>
      <c r="H716" t="s">
        <v>52</v>
      </c>
      <c r="I716" t="s">
        <v>3545</v>
      </c>
      <c r="J716" t="s">
        <v>3036</v>
      </c>
      <c r="K716">
        <v>2164.17</v>
      </c>
    </row>
    <row r="717" spans="1:11" x14ac:dyDescent="0.25">
      <c r="A717" t="s">
        <v>3865</v>
      </c>
      <c r="B717" t="s">
        <v>2067</v>
      </c>
      <c r="C717" t="s">
        <v>3034</v>
      </c>
      <c r="D717" s="1">
        <v>46031.674490740741</v>
      </c>
      <c r="E717">
        <v>571.66</v>
      </c>
      <c r="F717">
        <v>16.88</v>
      </c>
      <c r="G717">
        <v>554.78</v>
      </c>
      <c r="H717" t="s">
        <v>19</v>
      </c>
      <c r="I717" t="s">
        <v>3549</v>
      </c>
      <c r="J717" t="s">
        <v>3036</v>
      </c>
      <c r="K717">
        <v>571.66</v>
      </c>
    </row>
    <row r="718" spans="1:11" x14ac:dyDescent="0.25">
      <c r="A718" t="s">
        <v>3866</v>
      </c>
      <c r="B718" t="s">
        <v>2070</v>
      </c>
      <c r="C718" t="s">
        <v>3034</v>
      </c>
      <c r="D718" s="1">
        <v>46032.756655092591</v>
      </c>
      <c r="E718">
        <v>1670.89</v>
      </c>
      <c r="F718">
        <v>48.76</v>
      </c>
      <c r="G718">
        <v>1622.13</v>
      </c>
      <c r="H718" t="s">
        <v>25</v>
      </c>
      <c r="I718" t="s">
        <v>3530</v>
      </c>
      <c r="J718" t="s">
        <v>3036</v>
      </c>
      <c r="K718">
        <v>1670.89</v>
      </c>
    </row>
    <row r="719" spans="1:11" x14ac:dyDescent="0.25">
      <c r="A719" t="s">
        <v>3867</v>
      </c>
      <c r="B719" t="s">
        <v>2073</v>
      </c>
      <c r="C719" t="s">
        <v>3034</v>
      </c>
      <c r="D719" s="1">
        <v>46033.846724537034</v>
      </c>
      <c r="E719">
        <v>1425.31</v>
      </c>
      <c r="F719">
        <v>41.63</v>
      </c>
      <c r="G719">
        <v>1383.68</v>
      </c>
      <c r="H719" t="s">
        <v>25</v>
      </c>
      <c r="I719" t="s">
        <v>3510</v>
      </c>
      <c r="J719" t="s">
        <v>3036</v>
      </c>
      <c r="K719">
        <v>1425.31</v>
      </c>
    </row>
    <row r="720" spans="1:11" x14ac:dyDescent="0.25">
      <c r="A720" t="s">
        <v>3868</v>
      </c>
      <c r="B720" t="s">
        <v>2076</v>
      </c>
      <c r="C720" t="s">
        <v>3034</v>
      </c>
      <c r="D720" s="1">
        <v>46034.937800925924</v>
      </c>
      <c r="E720">
        <v>684.67</v>
      </c>
      <c r="F720">
        <v>20.16</v>
      </c>
      <c r="G720">
        <v>664.51</v>
      </c>
      <c r="H720" t="s">
        <v>25</v>
      </c>
      <c r="I720" t="s">
        <v>3553</v>
      </c>
      <c r="J720" t="s">
        <v>3036</v>
      </c>
      <c r="K720">
        <v>684.67</v>
      </c>
    </row>
    <row r="721" spans="1:11" x14ac:dyDescent="0.25">
      <c r="A721" t="s">
        <v>3869</v>
      </c>
      <c r="B721" t="s">
        <v>2079</v>
      </c>
      <c r="C721" t="s">
        <v>3034</v>
      </c>
      <c r="D721" s="1">
        <v>46036.024247685185</v>
      </c>
      <c r="E721">
        <v>725.68</v>
      </c>
      <c r="F721">
        <v>21.71</v>
      </c>
      <c r="G721">
        <v>703.97</v>
      </c>
      <c r="H721" t="s">
        <v>25</v>
      </c>
      <c r="I721" t="s">
        <v>3490</v>
      </c>
      <c r="J721" t="s">
        <v>3036</v>
      </c>
      <c r="K721">
        <v>725.68</v>
      </c>
    </row>
    <row r="722" spans="1:11" x14ac:dyDescent="0.25">
      <c r="A722" t="s">
        <v>3870</v>
      </c>
      <c r="B722" t="s">
        <v>2082</v>
      </c>
      <c r="C722" t="s">
        <v>3034</v>
      </c>
      <c r="D722" s="1">
        <v>46037.124675925923</v>
      </c>
      <c r="E722">
        <v>1457.74</v>
      </c>
      <c r="F722">
        <v>42.57</v>
      </c>
      <c r="G722">
        <v>1415.17</v>
      </c>
      <c r="H722" t="s">
        <v>25</v>
      </c>
      <c r="I722" t="s">
        <v>3492</v>
      </c>
      <c r="J722" t="s">
        <v>3036</v>
      </c>
      <c r="K722">
        <v>1457.74</v>
      </c>
    </row>
    <row r="723" spans="1:11" x14ac:dyDescent="0.25">
      <c r="A723" t="s">
        <v>3871</v>
      </c>
      <c r="B723" t="s">
        <v>2085</v>
      </c>
      <c r="C723" t="s">
        <v>3034</v>
      </c>
      <c r="D723" s="1">
        <v>46024.2108912037</v>
      </c>
      <c r="E723">
        <v>373.47</v>
      </c>
      <c r="F723">
        <v>11.13</v>
      </c>
      <c r="G723">
        <v>362.34</v>
      </c>
      <c r="H723" t="s">
        <v>25</v>
      </c>
      <c r="I723" t="s">
        <v>3494</v>
      </c>
      <c r="J723" t="s">
        <v>3036</v>
      </c>
      <c r="K723">
        <v>373.47</v>
      </c>
    </row>
    <row r="724" spans="1:11" x14ac:dyDescent="0.25">
      <c r="A724" t="s">
        <v>3872</v>
      </c>
      <c r="B724" t="s">
        <v>2088</v>
      </c>
      <c r="C724" t="s">
        <v>3034</v>
      </c>
      <c r="D724" s="1">
        <v>46024.321493055555</v>
      </c>
      <c r="E724">
        <v>710.36</v>
      </c>
      <c r="F724">
        <v>20.9</v>
      </c>
      <c r="G724">
        <v>689.46</v>
      </c>
      <c r="H724" t="s">
        <v>25</v>
      </c>
      <c r="I724" t="s">
        <v>3468</v>
      </c>
      <c r="J724" t="s">
        <v>3036</v>
      </c>
      <c r="K724">
        <v>710.36</v>
      </c>
    </row>
    <row r="725" spans="1:11" x14ac:dyDescent="0.25">
      <c r="A725" t="s">
        <v>3873</v>
      </c>
      <c r="B725" t="s">
        <v>2091</v>
      </c>
      <c r="C725" t="s">
        <v>3034</v>
      </c>
      <c r="D725" s="1">
        <v>46025.418321759258</v>
      </c>
      <c r="E725">
        <v>713.36</v>
      </c>
      <c r="F725">
        <v>20.99</v>
      </c>
      <c r="G725">
        <v>692.37</v>
      </c>
      <c r="H725" t="s">
        <v>25</v>
      </c>
      <c r="I725" t="s">
        <v>3470</v>
      </c>
      <c r="J725" t="s">
        <v>3036</v>
      </c>
      <c r="K725">
        <v>713.36</v>
      </c>
    </row>
    <row r="726" spans="1:11" x14ac:dyDescent="0.25">
      <c r="A726" t="s">
        <v>3874</v>
      </c>
      <c r="B726" t="s">
        <v>2091</v>
      </c>
      <c r="C726" t="s">
        <v>3076</v>
      </c>
      <c r="D726" s="1">
        <v>46026.411377314813</v>
      </c>
      <c r="E726">
        <v>-713.36</v>
      </c>
      <c r="F726">
        <v>0</v>
      </c>
      <c r="G726">
        <v>-713.36</v>
      </c>
      <c r="H726" t="s">
        <v>25</v>
      </c>
      <c r="I726" t="s">
        <v>3875</v>
      </c>
      <c r="J726" t="s">
        <v>3036</v>
      </c>
      <c r="K726">
        <v>-713.36</v>
      </c>
    </row>
    <row r="727" spans="1:11" x14ac:dyDescent="0.25">
      <c r="A727" t="s">
        <v>3876</v>
      </c>
      <c r="B727" t="s">
        <v>2094</v>
      </c>
      <c r="C727" t="s">
        <v>3034</v>
      </c>
      <c r="D727" s="1">
        <v>46026.501030092593</v>
      </c>
      <c r="E727">
        <v>554.65</v>
      </c>
      <c r="F727">
        <v>16.38</v>
      </c>
      <c r="G727">
        <v>538.27</v>
      </c>
      <c r="H727" t="s">
        <v>52</v>
      </c>
      <c r="I727" t="s">
        <v>3561</v>
      </c>
      <c r="J727" t="s">
        <v>3036</v>
      </c>
      <c r="K727">
        <v>554.65</v>
      </c>
    </row>
    <row r="728" spans="1:11" x14ac:dyDescent="0.25">
      <c r="A728" t="s">
        <v>3877</v>
      </c>
      <c r="B728" t="s">
        <v>2097</v>
      </c>
      <c r="C728" t="s">
        <v>3034</v>
      </c>
      <c r="D728" s="1">
        <v>46027.584594907406</v>
      </c>
      <c r="E728">
        <v>645.59</v>
      </c>
      <c r="F728">
        <v>19.02</v>
      </c>
      <c r="G728">
        <v>626.57000000000005</v>
      </c>
      <c r="H728" t="s">
        <v>19</v>
      </c>
      <c r="I728" t="s">
        <v>3563</v>
      </c>
      <c r="J728" t="s">
        <v>3036</v>
      </c>
      <c r="K728">
        <v>645.59</v>
      </c>
    </row>
    <row r="729" spans="1:11" x14ac:dyDescent="0.25">
      <c r="A729" t="s">
        <v>3878</v>
      </c>
      <c r="B729" t="s">
        <v>2100</v>
      </c>
      <c r="C729" t="s">
        <v>3034</v>
      </c>
      <c r="D729" s="1">
        <v>46028.677824074075</v>
      </c>
      <c r="E729">
        <v>645.11</v>
      </c>
      <c r="F729">
        <v>19.010000000000002</v>
      </c>
      <c r="G729">
        <v>626.1</v>
      </c>
      <c r="H729" t="s">
        <v>25</v>
      </c>
      <c r="I729" t="s">
        <v>3476</v>
      </c>
      <c r="J729" t="s">
        <v>3036</v>
      </c>
      <c r="K729">
        <v>645.11</v>
      </c>
    </row>
    <row r="730" spans="1:11" x14ac:dyDescent="0.25">
      <c r="A730" t="s">
        <v>3879</v>
      </c>
      <c r="B730" t="s">
        <v>2103</v>
      </c>
      <c r="C730" t="s">
        <v>3034</v>
      </c>
      <c r="D730" s="1">
        <v>46029.778425925928</v>
      </c>
      <c r="E730">
        <v>885.44</v>
      </c>
      <c r="F730">
        <v>25.98</v>
      </c>
      <c r="G730">
        <v>859.46</v>
      </c>
      <c r="H730" t="s">
        <v>25</v>
      </c>
      <c r="I730" t="s">
        <v>3478</v>
      </c>
      <c r="J730" t="s">
        <v>3036</v>
      </c>
      <c r="K730">
        <v>885.44</v>
      </c>
    </row>
    <row r="731" spans="1:11" x14ac:dyDescent="0.25">
      <c r="A731" t="s">
        <v>3880</v>
      </c>
      <c r="B731" t="s">
        <v>2106</v>
      </c>
      <c r="C731" t="s">
        <v>3034</v>
      </c>
      <c r="D731" s="1">
        <v>46030.885150462964</v>
      </c>
      <c r="E731">
        <v>1112.48</v>
      </c>
      <c r="F731">
        <v>32.56</v>
      </c>
      <c r="G731">
        <v>1079.92</v>
      </c>
      <c r="H731" t="s">
        <v>25</v>
      </c>
      <c r="I731" t="s">
        <v>3480</v>
      </c>
      <c r="J731" t="s">
        <v>3036</v>
      </c>
      <c r="K731">
        <v>1112.48</v>
      </c>
    </row>
    <row r="732" spans="1:11" x14ac:dyDescent="0.25">
      <c r="A732" t="s">
        <v>3881</v>
      </c>
      <c r="B732" t="s">
        <v>2109</v>
      </c>
      <c r="C732" t="s">
        <v>3034</v>
      </c>
      <c r="D732" s="1">
        <v>46031.968402777777</v>
      </c>
      <c r="E732">
        <v>1255.19</v>
      </c>
      <c r="F732">
        <v>36.700000000000003</v>
      </c>
      <c r="G732">
        <v>1218.49</v>
      </c>
      <c r="H732" t="s">
        <v>25</v>
      </c>
      <c r="I732" t="s">
        <v>3482</v>
      </c>
      <c r="J732" t="s">
        <v>3036</v>
      </c>
      <c r="K732">
        <v>1255.19</v>
      </c>
    </row>
    <row r="733" spans="1:11" x14ac:dyDescent="0.25">
      <c r="A733" t="s">
        <v>3882</v>
      </c>
      <c r="B733" t="s">
        <v>2112</v>
      </c>
      <c r="C733" t="s">
        <v>3034</v>
      </c>
      <c r="D733" s="1">
        <v>46033.057824074072</v>
      </c>
      <c r="E733">
        <v>1049.6099999999999</v>
      </c>
      <c r="F733">
        <v>30.74</v>
      </c>
      <c r="G733">
        <v>1018.87</v>
      </c>
      <c r="H733" t="s">
        <v>25</v>
      </c>
      <c r="I733" t="s">
        <v>3530</v>
      </c>
      <c r="J733" t="s">
        <v>3036</v>
      </c>
      <c r="K733">
        <v>1049.6099999999999</v>
      </c>
    </row>
    <row r="734" spans="1:11" x14ac:dyDescent="0.25">
      <c r="A734" t="s">
        <v>3883</v>
      </c>
      <c r="B734" t="s">
        <v>2115</v>
      </c>
      <c r="C734" t="s">
        <v>3034</v>
      </c>
      <c r="D734" s="1">
        <v>46034.126608796294</v>
      </c>
      <c r="E734">
        <v>1013.91</v>
      </c>
      <c r="F734">
        <v>29.7</v>
      </c>
      <c r="G734">
        <v>984.21</v>
      </c>
      <c r="H734" t="s">
        <v>25</v>
      </c>
      <c r="I734" t="s">
        <v>3510</v>
      </c>
      <c r="J734" t="s">
        <v>3036</v>
      </c>
      <c r="K734">
        <v>1013.91</v>
      </c>
    </row>
    <row r="735" spans="1:11" x14ac:dyDescent="0.25">
      <c r="A735" t="s">
        <v>3884</v>
      </c>
      <c r="B735" t="s">
        <v>2118</v>
      </c>
      <c r="C735" t="s">
        <v>3034</v>
      </c>
      <c r="D735" s="1">
        <v>46034.2500462963</v>
      </c>
      <c r="E735">
        <v>2418.23</v>
      </c>
      <c r="F735">
        <v>70.430000000000007</v>
      </c>
      <c r="G735">
        <v>2347.8000000000002</v>
      </c>
      <c r="H735" t="s">
        <v>25</v>
      </c>
      <c r="I735" t="s">
        <v>3553</v>
      </c>
      <c r="J735" t="s">
        <v>3036</v>
      </c>
      <c r="K735">
        <v>2418.23</v>
      </c>
    </row>
    <row r="736" spans="1:11" x14ac:dyDescent="0.25">
      <c r="A736" t="s">
        <v>3885</v>
      </c>
      <c r="B736" t="s">
        <v>2121</v>
      </c>
      <c r="C736" t="s">
        <v>3034</v>
      </c>
      <c r="D736" s="1">
        <v>46035.32508101852</v>
      </c>
      <c r="E736">
        <v>865.91</v>
      </c>
      <c r="F736">
        <v>25.41</v>
      </c>
      <c r="G736">
        <v>840.5</v>
      </c>
      <c r="H736" t="s">
        <v>25</v>
      </c>
      <c r="I736" t="s">
        <v>3490</v>
      </c>
      <c r="J736" t="s">
        <v>3036</v>
      </c>
      <c r="K736">
        <v>865.91</v>
      </c>
    </row>
    <row r="737" spans="1:11" x14ac:dyDescent="0.25">
      <c r="A737" t="s">
        <v>3886</v>
      </c>
      <c r="B737" t="s">
        <v>2124</v>
      </c>
      <c r="C737" t="s">
        <v>3034</v>
      </c>
      <c r="D737" s="1">
        <v>46036.398009259261</v>
      </c>
      <c r="E737">
        <v>925.49</v>
      </c>
      <c r="F737">
        <v>27.14</v>
      </c>
      <c r="G737">
        <v>898.35</v>
      </c>
      <c r="H737" t="s">
        <v>52</v>
      </c>
      <c r="I737" t="s">
        <v>3576</v>
      </c>
      <c r="J737" t="s">
        <v>3036</v>
      </c>
      <c r="K737">
        <v>925.49</v>
      </c>
    </row>
    <row r="738" spans="1:11" x14ac:dyDescent="0.25">
      <c r="A738" t="s">
        <v>3887</v>
      </c>
      <c r="B738" t="s">
        <v>2127</v>
      </c>
      <c r="C738" t="s">
        <v>3034</v>
      </c>
      <c r="D738" s="1">
        <v>46023.497928240744</v>
      </c>
      <c r="E738">
        <v>760.58</v>
      </c>
      <c r="F738">
        <v>22.36</v>
      </c>
      <c r="G738">
        <v>738.22</v>
      </c>
      <c r="H738" t="s">
        <v>19</v>
      </c>
      <c r="I738" t="s">
        <v>3888</v>
      </c>
      <c r="J738" t="s">
        <v>3036</v>
      </c>
      <c r="K738">
        <v>760.58</v>
      </c>
    </row>
    <row r="739" spans="1:11" x14ac:dyDescent="0.25">
      <c r="A739" t="s">
        <v>3889</v>
      </c>
      <c r="B739" t="s">
        <v>2130</v>
      </c>
      <c r="C739" t="s">
        <v>3034</v>
      </c>
      <c r="D739" s="1">
        <v>46024.584837962961</v>
      </c>
      <c r="E739">
        <v>2117.7600000000002</v>
      </c>
      <c r="F739">
        <v>61.72</v>
      </c>
      <c r="G739">
        <v>2056.04</v>
      </c>
      <c r="H739" t="s">
        <v>25</v>
      </c>
      <c r="I739" t="s">
        <v>3890</v>
      </c>
      <c r="J739" t="s">
        <v>3036</v>
      </c>
      <c r="K739">
        <v>2117.7600000000002</v>
      </c>
    </row>
    <row r="740" spans="1:11" x14ac:dyDescent="0.25">
      <c r="A740" t="s">
        <v>3891</v>
      </c>
      <c r="B740" t="s">
        <v>2130</v>
      </c>
      <c r="C740" t="s">
        <v>3076</v>
      </c>
      <c r="D740" s="1">
        <v>46025.577893518515</v>
      </c>
      <c r="E740">
        <v>-1058.8800000000001</v>
      </c>
      <c r="F740">
        <v>0</v>
      </c>
      <c r="G740">
        <v>-1058.8800000000001</v>
      </c>
      <c r="H740" t="s">
        <v>25</v>
      </c>
      <c r="I740" t="s">
        <v>3892</v>
      </c>
      <c r="J740" t="s">
        <v>3036</v>
      </c>
      <c r="K740">
        <v>-1058.8800000000001</v>
      </c>
    </row>
    <row r="741" spans="1:11" x14ac:dyDescent="0.25">
      <c r="A741" t="s">
        <v>3893</v>
      </c>
      <c r="B741" t="s">
        <v>2133</v>
      </c>
      <c r="C741" t="s">
        <v>3034</v>
      </c>
      <c r="D741" s="1">
        <v>46025.682800925926</v>
      </c>
      <c r="E741">
        <v>2115.19</v>
      </c>
      <c r="F741">
        <v>61.64</v>
      </c>
      <c r="G741">
        <v>2053.5500000000002</v>
      </c>
      <c r="H741" t="s">
        <v>25</v>
      </c>
      <c r="I741" t="s">
        <v>3894</v>
      </c>
      <c r="J741" t="s">
        <v>3036</v>
      </c>
      <c r="K741">
        <v>2115.19</v>
      </c>
    </row>
    <row r="742" spans="1:11" x14ac:dyDescent="0.25">
      <c r="A742" t="s">
        <v>3895</v>
      </c>
      <c r="B742" t="s">
        <v>2136</v>
      </c>
      <c r="C742" t="s">
        <v>3034</v>
      </c>
      <c r="D742" s="1">
        <v>46026.790543981479</v>
      </c>
      <c r="E742">
        <v>1313.01</v>
      </c>
      <c r="F742">
        <v>38.380000000000003</v>
      </c>
      <c r="G742">
        <v>1274.6300000000001</v>
      </c>
      <c r="H742" t="s">
        <v>25</v>
      </c>
      <c r="I742" t="s">
        <v>3896</v>
      </c>
      <c r="J742" t="s">
        <v>3036</v>
      </c>
      <c r="K742">
        <v>1313.01</v>
      </c>
    </row>
    <row r="743" spans="1:11" x14ac:dyDescent="0.25">
      <c r="A743" t="s">
        <v>3897</v>
      </c>
      <c r="B743" t="s">
        <v>2139</v>
      </c>
      <c r="C743" t="s">
        <v>3034</v>
      </c>
      <c r="D743" s="1">
        <v>46027.875543981485</v>
      </c>
      <c r="E743">
        <v>2243.4699999999998</v>
      </c>
      <c r="F743">
        <v>65.36</v>
      </c>
      <c r="G743">
        <v>2178.11</v>
      </c>
      <c r="H743" t="s">
        <v>52</v>
      </c>
      <c r="I743" t="s">
        <v>3898</v>
      </c>
      <c r="J743" t="s">
        <v>3036</v>
      </c>
      <c r="K743">
        <v>2243.4699999999998</v>
      </c>
    </row>
    <row r="744" spans="1:11" x14ac:dyDescent="0.25">
      <c r="A744" t="s">
        <v>3899</v>
      </c>
      <c r="B744" t="s">
        <v>2142</v>
      </c>
      <c r="C744" t="s">
        <v>3034</v>
      </c>
      <c r="D744" s="1">
        <v>46028.984166666669</v>
      </c>
      <c r="E744">
        <v>1137.75</v>
      </c>
      <c r="F744">
        <v>33.29</v>
      </c>
      <c r="G744">
        <v>1104.46</v>
      </c>
      <c r="H744" t="s">
        <v>25</v>
      </c>
      <c r="I744" t="s">
        <v>3900</v>
      </c>
      <c r="J744" t="s">
        <v>3036</v>
      </c>
      <c r="K744">
        <v>1137.75</v>
      </c>
    </row>
    <row r="745" spans="1:11" x14ac:dyDescent="0.25">
      <c r="A745" t="s">
        <v>3901</v>
      </c>
      <c r="B745" t="s">
        <v>2145</v>
      </c>
      <c r="C745" t="s">
        <v>3034</v>
      </c>
      <c r="D745" s="1">
        <v>46030.054189814815</v>
      </c>
      <c r="E745">
        <v>1027.43</v>
      </c>
      <c r="F745">
        <v>30.1</v>
      </c>
      <c r="G745">
        <v>997.33</v>
      </c>
      <c r="H745" t="s">
        <v>25</v>
      </c>
      <c r="I745" t="s">
        <v>3902</v>
      </c>
      <c r="J745" t="s">
        <v>3036</v>
      </c>
      <c r="K745">
        <v>1027.43</v>
      </c>
    </row>
    <row r="746" spans="1:11" x14ac:dyDescent="0.25">
      <c r="A746" t="s">
        <v>3903</v>
      </c>
      <c r="B746" t="s">
        <v>2148</v>
      </c>
      <c r="C746" t="s">
        <v>3034</v>
      </c>
      <c r="D746" s="1">
        <v>46031.149062500001</v>
      </c>
      <c r="E746">
        <v>2099.73</v>
      </c>
      <c r="F746">
        <v>61.19</v>
      </c>
      <c r="G746">
        <v>2038.54</v>
      </c>
      <c r="H746" t="s">
        <v>25</v>
      </c>
      <c r="I746" t="s">
        <v>3904</v>
      </c>
      <c r="J746" t="s">
        <v>3036</v>
      </c>
      <c r="K746">
        <v>2099.73</v>
      </c>
    </row>
    <row r="747" spans="1:11" x14ac:dyDescent="0.25">
      <c r="A747" t="s">
        <v>3905</v>
      </c>
      <c r="B747" t="s">
        <v>2151</v>
      </c>
      <c r="C747" t="s">
        <v>3034</v>
      </c>
      <c r="D747" s="1">
        <v>46031.260555555556</v>
      </c>
      <c r="E747">
        <v>330.75</v>
      </c>
      <c r="F747">
        <v>9.89</v>
      </c>
      <c r="G747">
        <v>320.86</v>
      </c>
      <c r="H747" t="s">
        <v>25</v>
      </c>
      <c r="I747" t="s">
        <v>3906</v>
      </c>
      <c r="J747" t="s">
        <v>3036</v>
      </c>
      <c r="K747">
        <v>330.75</v>
      </c>
    </row>
    <row r="748" spans="1:11" x14ac:dyDescent="0.25">
      <c r="A748" t="s">
        <v>3907</v>
      </c>
      <c r="B748" t="s">
        <v>2154</v>
      </c>
      <c r="C748" t="s">
        <v>3034</v>
      </c>
      <c r="D748" s="1">
        <v>46032.313368055555</v>
      </c>
      <c r="E748">
        <v>1380.06</v>
      </c>
      <c r="F748">
        <v>40.32</v>
      </c>
      <c r="G748">
        <v>1339.74</v>
      </c>
      <c r="H748" t="s">
        <v>52</v>
      </c>
      <c r="I748" t="s">
        <v>3908</v>
      </c>
      <c r="J748" t="s">
        <v>3036</v>
      </c>
      <c r="K748">
        <v>1380.06</v>
      </c>
    </row>
    <row r="749" spans="1:11" x14ac:dyDescent="0.25">
      <c r="A749" t="s">
        <v>3909</v>
      </c>
      <c r="B749" t="s">
        <v>2157</v>
      </c>
      <c r="C749" t="s">
        <v>3034</v>
      </c>
      <c r="D749" s="1">
        <v>46033.441238425927</v>
      </c>
      <c r="E749">
        <v>90.09</v>
      </c>
      <c r="F749">
        <v>2.91</v>
      </c>
      <c r="G749">
        <v>87.18</v>
      </c>
      <c r="H749" t="s">
        <v>19</v>
      </c>
      <c r="I749" t="s">
        <v>3910</v>
      </c>
      <c r="J749" t="s">
        <v>3036</v>
      </c>
      <c r="K749">
        <v>90.09</v>
      </c>
    </row>
    <row r="750" spans="1:11" x14ac:dyDescent="0.25">
      <c r="A750" t="s">
        <v>3911</v>
      </c>
      <c r="B750" t="s">
        <v>2160</v>
      </c>
      <c r="C750" t="s">
        <v>3034</v>
      </c>
      <c r="D750" s="1">
        <v>46034.4997337963</v>
      </c>
      <c r="E750">
        <v>1446.39</v>
      </c>
      <c r="F750">
        <v>42.25</v>
      </c>
      <c r="G750">
        <v>1404.14</v>
      </c>
      <c r="H750" t="s">
        <v>25</v>
      </c>
      <c r="I750" t="s">
        <v>3912</v>
      </c>
      <c r="J750" t="s">
        <v>3036</v>
      </c>
      <c r="K750">
        <v>1446.39</v>
      </c>
    </row>
    <row r="751" spans="1:11" x14ac:dyDescent="0.25">
      <c r="A751" t="s">
        <v>3913</v>
      </c>
      <c r="B751" t="s">
        <v>2163</v>
      </c>
      <c r="C751" t="s">
        <v>3034</v>
      </c>
      <c r="D751" s="1">
        <v>46035.604097222225</v>
      </c>
      <c r="E751">
        <v>1226.19</v>
      </c>
      <c r="F751">
        <v>35.86</v>
      </c>
      <c r="G751">
        <v>1190.33</v>
      </c>
      <c r="H751" t="s">
        <v>25</v>
      </c>
      <c r="I751" t="s">
        <v>3914</v>
      </c>
      <c r="J751" t="s">
        <v>3036</v>
      </c>
      <c r="K751">
        <v>1226.19</v>
      </c>
    </row>
    <row r="752" spans="1:11" x14ac:dyDescent="0.25">
      <c r="A752" t="s">
        <v>3915</v>
      </c>
      <c r="B752" t="s">
        <v>2166</v>
      </c>
      <c r="C752" t="s">
        <v>3034</v>
      </c>
      <c r="D752" s="1">
        <v>46036.691782407404</v>
      </c>
      <c r="E752">
        <v>1190.67</v>
      </c>
      <c r="F752">
        <v>34.83</v>
      </c>
      <c r="G752">
        <v>1155.8399999999999</v>
      </c>
      <c r="H752" t="s">
        <v>25</v>
      </c>
      <c r="I752" t="s">
        <v>3916</v>
      </c>
      <c r="J752" t="s">
        <v>3036</v>
      </c>
      <c r="K752">
        <v>1190.67</v>
      </c>
    </row>
    <row r="753" spans="1:11" x14ac:dyDescent="0.25">
      <c r="A753" t="s">
        <v>3917</v>
      </c>
      <c r="B753" t="s">
        <v>2169</v>
      </c>
      <c r="C753" t="s">
        <v>3034</v>
      </c>
      <c r="D753" s="1">
        <v>46023.804756944446</v>
      </c>
      <c r="E753">
        <v>1897.98</v>
      </c>
      <c r="F753">
        <v>55.34</v>
      </c>
      <c r="G753">
        <v>1842.64</v>
      </c>
      <c r="H753" t="s">
        <v>25</v>
      </c>
      <c r="I753" t="s">
        <v>3918</v>
      </c>
      <c r="J753" t="s">
        <v>3036</v>
      </c>
      <c r="K753">
        <v>1897.98</v>
      </c>
    </row>
    <row r="754" spans="1:11" x14ac:dyDescent="0.25">
      <c r="A754" t="s">
        <v>3919</v>
      </c>
      <c r="B754" t="s">
        <v>2172</v>
      </c>
      <c r="C754" t="s">
        <v>3034</v>
      </c>
      <c r="D754" s="1">
        <v>46024.863171296296</v>
      </c>
      <c r="E754">
        <v>1386.77</v>
      </c>
      <c r="F754">
        <v>40.520000000000003</v>
      </c>
      <c r="G754">
        <v>1346.25</v>
      </c>
      <c r="H754" t="s">
        <v>25</v>
      </c>
      <c r="I754" t="s">
        <v>3890</v>
      </c>
      <c r="J754" t="s">
        <v>3036</v>
      </c>
      <c r="K754">
        <v>1386.77</v>
      </c>
    </row>
    <row r="755" spans="1:11" x14ac:dyDescent="0.25">
      <c r="A755" t="s">
        <v>3920</v>
      </c>
      <c r="B755" t="s">
        <v>2175</v>
      </c>
      <c r="C755" t="s">
        <v>3034</v>
      </c>
      <c r="D755" s="1">
        <v>46025.982743055552</v>
      </c>
      <c r="E755">
        <v>1070.52</v>
      </c>
      <c r="F755">
        <v>31.35</v>
      </c>
      <c r="G755">
        <v>1039.17</v>
      </c>
      <c r="H755" t="s">
        <v>25</v>
      </c>
      <c r="I755" t="s">
        <v>3894</v>
      </c>
      <c r="J755" t="s">
        <v>3036</v>
      </c>
      <c r="K755">
        <v>1070.52</v>
      </c>
    </row>
    <row r="756" spans="1:11" x14ac:dyDescent="0.25">
      <c r="A756" t="s">
        <v>3921</v>
      </c>
      <c r="B756" t="s">
        <v>2178</v>
      </c>
      <c r="C756" t="s">
        <v>3034</v>
      </c>
      <c r="D756" s="1">
        <v>46027.079560185186</v>
      </c>
      <c r="E756">
        <v>2367.4299999999998</v>
      </c>
      <c r="F756">
        <v>68.959999999999994</v>
      </c>
      <c r="G756">
        <v>2298.4699999999998</v>
      </c>
      <c r="H756" t="s">
        <v>25</v>
      </c>
      <c r="I756" t="s">
        <v>3896</v>
      </c>
      <c r="J756" t="s">
        <v>3036</v>
      </c>
      <c r="K756">
        <v>2367.4299999999998</v>
      </c>
    </row>
    <row r="757" spans="1:11" x14ac:dyDescent="0.25">
      <c r="A757" t="s">
        <v>3922</v>
      </c>
      <c r="B757" t="s">
        <v>2181</v>
      </c>
      <c r="C757" t="s">
        <v>3034</v>
      </c>
      <c r="D757" s="1">
        <v>46028.170578703706</v>
      </c>
      <c r="E757">
        <v>330.37</v>
      </c>
      <c r="F757">
        <v>9.8800000000000008</v>
      </c>
      <c r="G757">
        <v>320.49</v>
      </c>
      <c r="H757" t="s">
        <v>25</v>
      </c>
      <c r="I757" t="s">
        <v>3923</v>
      </c>
      <c r="J757" t="s">
        <v>3036</v>
      </c>
      <c r="K757">
        <v>330.37</v>
      </c>
    </row>
    <row r="758" spans="1:11" x14ac:dyDescent="0.25">
      <c r="A758" t="s">
        <v>3924</v>
      </c>
      <c r="B758" t="s">
        <v>2184</v>
      </c>
      <c r="C758" t="s">
        <v>3034</v>
      </c>
      <c r="D758" s="1">
        <v>46028.257175925923</v>
      </c>
      <c r="E758">
        <v>2422.17</v>
      </c>
      <c r="F758">
        <v>70.540000000000006</v>
      </c>
      <c r="G758">
        <v>2351.63</v>
      </c>
      <c r="H758" t="s">
        <v>52</v>
      </c>
      <c r="I758" t="s">
        <v>3925</v>
      </c>
      <c r="J758" t="s">
        <v>3036</v>
      </c>
      <c r="K758">
        <v>2422.17</v>
      </c>
    </row>
    <row r="759" spans="1:11" x14ac:dyDescent="0.25">
      <c r="A759" t="s">
        <v>3926</v>
      </c>
      <c r="B759" t="s">
        <v>2187</v>
      </c>
      <c r="C759" t="s">
        <v>3034</v>
      </c>
      <c r="D759" s="1">
        <v>46029.329270833332</v>
      </c>
      <c r="E759">
        <v>426.47</v>
      </c>
      <c r="F759">
        <v>12.67</v>
      </c>
      <c r="G759">
        <v>413.8</v>
      </c>
      <c r="H759" t="s">
        <v>19</v>
      </c>
      <c r="I759" t="s">
        <v>3927</v>
      </c>
      <c r="J759" t="s">
        <v>3036</v>
      </c>
      <c r="K759">
        <v>426.47</v>
      </c>
    </row>
    <row r="760" spans="1:11" x14ac:dyDescent="0.25">
      <c r="A760" t="s">
        <v>3926</v>
      </c>
      <c r="B760" t="s">
        <v>2187</v>
      </c>
      <c r="C760" t="s">
        <v>3034</v>
      </c>
      <c r="D760" s="1">
        <v>46029.329270833332</v>
      </c>
      <c r="E760">
        <v>426.47</v>
      </c>
      <c r="F760">
        <v>12.67</v>
      </c>
      <c r="G760">
        <v>413.8</v>
      </c>
      <c r="H760" t="s">
        <v>19</v>
      </c>
      <c r="I760" t="s">
        <v>3927</v>
      </c>
      <c r="J760" t="s">
        <v>3036</v>
      </c>
      <c r="K760">
        <v>426.47</v>
      </c>
    </row>
    <row r="761" spans="1:11" x14ac:dyDescent="0.25">
      <c r="A761" t="s">
        <v>3928</v>
      </c>
      <c r="B761" t="s">
        <v>2190</v>
      </c>
      <c r="C761" t="s">
        <v>3034</v>
      </c>
      <c r="D761" s="1">
        <v>46030.424432870372</v>
      </c>
      <c r="E761">
        <v>1675.32</v>
      </c>
      <c r="F761">
        <v>48.88</v>
      </c>
      <c r="G761">
        <v>1626.44</v>
      </c>
      <c r="H761" t="s">
        <v>25</v>
      </c>
      <c r="I761" t="s">
        <v>3904</v>
      </c>
      <c r="J761" t="s">
        <v>3036</v>
      </c>
      <c r="K761">
        <v>1675.32</v>
      </c>
    </row>
    <row r="762" spans="1:11" x14ac:dyDescent="0.25">
      <c r="A762" t="s">
        <v>3929</v>
      </c>
      <c r="B762" t="s">
        <v>2193</v>
      </c>
      <c r="C762" t="s">
        <v>3034</v>
      </c>
      <c r="D762" s="1">
        <v>46031.53466435185</v>
      </c>
      <c r="E762">
        <v>1727.71</v>
      </c>
      <c r="F762">
        <v>50.4</v>
      </c>
      <c r="G762">
        <v>1677.31</v>
      </c>
      <c r="H762" t="s">
        <v>25</v>
      </c>
      <c r="I762" t="s">
        <v>3930</v>
      </c>
      <c r="J762" t="s">
        <v>3036</v>
      </c>
      <c r="K762">
        <v>1727.71</v>
      </c>
    </row>
    <row r="763" spans="1:11" x14ac:dyDescent="0.25">
      <c r="A763" t="s">
        <v>3931</v>
      </c>
      <c r="B763" t="s">
        <v>2196</v>
      </c>
      <c r="C763" t="s">
        <v>3034</v>
      </c>
      <c r="D763" s="1">
        <v>46032.621944444443</v>
      </c>
      <c r="E763">
        <v>1419.42</v>
      </c>
      <c r="F763">
        <v>41.46</v>
      </c>
      <c r="G763">
        <v>1377.96</v>
      </c>
      <c r="H763" t="s">
        <v>25</v>
      </c>
      <c r="I763" t="s">
        <v>3932</v>
      </c>
      <c r="J763" t="s">
        <v>3036</v>
      </c>
      <c r="K763">
        <v>1419.42</v>
      </c>
    </row>
    <row r="764" spans="1:11" x14ac:dyDescent="0.25">
      <c r="A764" t="s">
        <v>3933</v>
      </c>
      <c r="B764" t="s">
        <v>2199</v>
      </c>
      <c r="C764" t="s">
        <v>3034</v>
      </c>
      <c r="D764" s="1">
        <v>46033.691250000003</v>
      </c>
      <c r="E764">
        <v>831.32</v>
      </c>
      <c r="F764">
        <v>24.41</v>
      </c>
      <c r="G764">
        <v>806.91</v>
      </c>
      <c r="H764" t="s">
        <v>25</v>
      </c>
      <c r="I764" t="s">
        <v>3934</v>
      </c>
      <c r="J764" t="s">
        <v>3036</v>
      </c>
      <c r="K764">
        <v>831.32</v>
      </c>
    </row>
    <row r="765" spans="1:11" x14ac:dyDescent="0.25">
      <c r="A765" t="s">
        <v>3935</v>
      </c>
      <c r="B765" t="s">
        <v>2202</v>
      </c>
      <c r="C765" t="s">
        <v>3034</v>
      </c>
      <c r="D765" s="1">
        <v>46034.80636574074</v>
      </c>
      <c r="E765">
        <v>1585.31</v>
      </c>
      <c r="F765">
        <v>46.27</v>
      </c>
      <c r="G765">
        <v>1539.04</v>
      </c>
      <c r="H765" t="s">
        <v>25</v>
      </c>
      <c r="I765" t="s">
        <v>3912</v>
      </c>
      <c r="J765" t="s">
        <v>3036</v>
      </c>
      <c r="K765">
        <v>1585.31</v>
      </c>
    </row>
    <row r="766" spans="1:11" x14ac:dyDescent="0.25">
      <c r="A766" t="s">
        <v>3936</v>
      </c>
      <c r="B766" t="s">
        <v>2205</v>
      </c>
      <c r="C766" t="s">
        <v>3034</v>
      </c>
      <c r="D766" s="1">
        <v>46035.880231481482</v>
      </c>
      <c r="E766">
        <v>2236.9299999999998</v>
      </c>
      <c r="F766">
        <v>65.17</v>
      </c>
      <c r="G766">
        <v>2171.7600000000002</v>
      </c>
      <c r="H766" t="s">
        <v>25</v>
      </c>
      <c r="I766" t="s">
        <v>3914</v>
      </c>
      <c r="J766" t="s">
        <v>3036</v>
      </c>
      <c r="K766">
        <v>2236.9299999999998</v>
      </c>
    </row>
    <row r="767" spans="1:11" x14ac:dyDescent="0.25">
      <c r="A767" t="s">
        <v>3937</v>
      </c>
      <c r="B767" t="s">
        <v>2208</v>
      </c>
      <c r="C767" t="s">
        <v>3034</v>
      </c>
      <c r="D767" s="1">
        <v>46036.989629629628</v>
      </c>
      <c r="E767">
        <v>372.63</v>
      </c>
      <c r="F767">
        <v>11.11</v>
      </c>
      <c r="G767">
        <v>361.52</v>
      </c>
      <c r="H767" t="s">
        <v>25</v>
      </c>
      <c r="I767" t="s">
        <v>3916</v>
      </c>
      <c r="J767" t="s">
        <v>3036</v>
      </c>
      <c r="K767">
        <v>372.63</v>
      </c>
    </row>
    <row r="768" spans="1:11" x14ac:dyDescent="0.25">
      <c r="A768" t="s">
        <v>3938</v>
      </c>
      <c r="B768" t="s">
        <v>2211</v>
      </c>
      <c r="C768" t="s">
        <v>3034</v>
      </c>
      <c r="D768" s="1">
        <v>46024.073750000003</v>
      </c>
      <c r="E768">
        <v>2263.9499999999998</v>
      </c>
      <c r="F768">
        <v>65.95</v>
      </c>
      <c r="G768">
        <v>2198</v>
      </c>
      <c r="H768" t="s">
        <v>25</v>
      </c>
      <c r="I768" t="s">
        <v>3939</v>
      </c>
      <c r="J768" t="s">
        <v>3036</v>
      </c>
      <c r="K768">
        <v>2263.9499999999998</v>
      </c>
    </row>
    <row r="769" spans="1:11" x14ac:dyDescent="0.25">
      <c r="A769" t="s">
        <v>3940</v>
      </c>
      <c r="B769" t="s">
        <v>2214</v>
      </c>
      <c r="C769" t="s">
        <v>3034</v>
      </c>
      <c r="D769" s="1">
        <v>46025.146932870368</v>
      </c>
      <c r="E769">
        <v>950.01</v>
      </c>
      <c r="F769">
        <v>27.85</v>
      </c>
      <c r="G769">
        <v>922.16</v>
      </c>
      <c r="H769" t="s">
        <v>52</v>
      </c>
      <c r="I769" t="s">
        <v>3941</v>
      </c>
      <c r="J769" t="s">
        <v>3036</v>
      </c>
      <c r="K769">
        <v>950.01</v>
      </c>
    </row>
    <row r="770" spans="1:11" x14ac:dyDescent="0.25">
      <c r="A770" t="s">
        <v>3942</v>
      </c>
      <c r="B770" t="s">
        <v>2217</v>
      </c>
      <c r="C770" t="s">
        <v>3034</v>
      </c>
      <c r="D770" s="1">
        <v>46025.241597222222</v>
      </c>
      <c r="E770">
        <v>831.77</v>
      </c>
      <c r="F770">
        <v>24.42</v>
      </c>
      <c r="G770">
        <v>807.35</v>
      </c>
      <c r="H770" t="s">
        <v>19</v>
      </c>
      <c r="I770" t="s">
        <v>3943</v>
      </c>
      <c r="J770" t="s">
        <v>3036</v>
      </c>
      <c r="K770">
        <v>831.77</v>
      </c>
    </row>
    <row r="771" spans="1:11" x14ac:dyDescent="0.25">
      <c r="A771" t="s">
        <v>3944</v>
      </c>
      <c r="B771" t="s">
        <v>2220</v>
      </c>
      <c r="C771" t="s">
        <v>3034</v>
      </c>
      <c r="D771" s="1">
        <v>46026.348773148151</v>
      </c>
      <c r="E771">
        <v>1085.8</v>
      </c>
      <c r="F771">
        <v>31.79</v>
      </c>
      <c r="G771">
        <v>1054.01</v>
      </c>
      <c r="H771" t="s">
        <v>25</v>
      </c>
      <c r="I771" t="s">
        <v>3896</v>
      </c>
      <c r="J771" t="s">
        <v>3036</v>
      </c>
      <c r="K771">
        <v>1085.8</v>
      </c>
    </row>
    <row r="772" spans="1:11" x14ac:dyDescent="0.25">
      <c r="A772" t="s">
        <v>3945</v>
      </c>
      <c r="B772" t="s">
        <v>2223</v>
      </c>
      <c r="C772" t="s">
        <v>3034</v>
      </c>
      <c r="D772" s="1">
        <v>46027.431273148148</v>
      </c>
      <c r="E772">
        <v>767.13</v>
      </c>
      <c r="F772">
        <v>22.55</v>
      </c>
      <c r="G772">
        <v>744.58</v>
      </c>
      <c r="H772" t="s">
        <v>25</v>
      </c>
      <c r="I772" t="s">
        <v>3923</v>
      </c>
      <c r="J772" t="s">
        <v>3036</v>
      </c>
      <c r="K772">
        <v>767.13</v>
      </c>
    </row>
    <row r="773" spans="1:11" x14ac:dyDescent="0.25">
      <c r="A773" t="s">
        <v>3946</v>
      </c>
      <c r="B773" t="s">
        <v>2226</v>
      </c>
      <c r="C773" t="s">
        <v>3034</v>
      </c>
      <c r="D773" s="1">
        <v>46028.521932870368</v>
      </c>
      <c r="E773">
        <v>1903.02</v>
      </c>
      <c r="F773">
        <v>55.49</v>
      </c>
      <c r="G773">
        <v>1847.53</v>
      </c>
      <c r="H773" t="s">
        <v>25</v>
      </c>
      <c r="I773" t="s">
        <v>3900</v>
      </c>
      <c r="J773" t="s">
        <v>3036</v>
      </c>
      <c r="K773">
        <v>1903.02</v>
      </c>
    </row>
    <row r="774" spans="1:11" x14ac:dyDescent="0.25">
      <c r="A774" t="s">
        <v>3947</v>
      </c>
      <c r="B774" t="s">
        <v>2229</v>
      </c>
      <c r="C774" t="s">
        <v>3034</v>
      </c>
      <c r="D774" s="1">
        <v>46029.618217592593</v>
      </c>
      <c r="E774">
        <v>1894.97</v>
      </c>
      <c r="F774">
        <v>55.25</v>
      </c>
      <c r="G774">
        <v>1839.72</v>
      </c>
      <c r="H774" t="s">
        <v>25</v>
      </c>
      <c r="I774" t="s">
        <v>3902</v>
      </c>
      <c r="J774" t="s">
        <v>3036</v>
      </c>
      <c r="K774">
        <v>1894.97</v>
      </c>
    </row>
    <row r="775" spans="1:11" x14ac:dyDescent="0.25">
      <c r="A775" t="s">
        <v>3948</v>
      </c>
      <c r="B775" t="s">
        <v>2232</v>
      </c>
      <c r="C775" t="s">
        <v>3034</v>
      </c>
      <c r="D775" s="1">
        <v>46030.699097222219</v>
      </c>
      <c r="E775">
        <v>2118.54</v>
      </c>
      <c r="F775">
        <v>61.74</v>
      </c>
      <c r="G775">
        <v>2056.8000000000002</v>
      </c>
      <c r="H775" t="s">
        <v>25</v>
      </c>
      <c r="I775" t="s">
        <v>3904</v>
      </c>
      <c r="J775" t="s">
        <v>3036</v>
      </c>
      <c r="K775">
        <v>2118.54</v>
      </c>
    </row>
    <row r="776" spans="1:11" x14ac:dyDescent="0.25">
      <c r="A776" t="s">
        <v>3949</v>
      </c>
      <c r="B776" t="s">
        <v>2235</v>
      </c>
      <c r="C776" t="s">
        <v>3034</v>
      </c>
      <c r="D776" s="1">
        <v>46031.820127314815</v>
      </c>
      <c r="E776">
        <v>934.22</v>
      </c>
      <c r="F776">
        <v>27.39</v>
      </c>
      <c r="G776">
        <v>906.83</v>
      </c>
      <c r="H776" t="s">
        <v>25</v>
      </c>
      <c r="I776" t="s">
        <v>3930</v>
      </c>
      <c r="J776" t="s">
        <v>3036</v>
      </c>
      <c r="K776">
        <v>934.22</v>
      </c>
    </row>
    <row r="777" spans="1:11" x14ac:dyDescent="0.25">
      <c r="A777" t="s">
        <v>3950</v>
      </c>
      <c r="B777" t="s">
        <v>2238</v>
      </c>
      <c r="C777" t="s">
        <v>3034</v>
      </c>
      <c r="D777" s="1">
        <v>46032.8828125</v>
      </c>
      <c r="E777">
        <v>621.07000000000005</v>
      </c>
      <c r="F777">
        <v>18.309999999999999</v>
      </c>
      <c r="G777">
        <v>602.76</v>
      </c>
      <c r="H777" t="s">
        <v>25</v>
      </c>
      <c r="I777" t="s">
        <v>3932</v>
      </c>
      <c r="J777" t="s">
        <v>3036</v>
      </c>
      <c r="K777">
        <v>621.07000000000005</v>
      </c>
    </row>
    <row r="778" spans="1:11" x14ac:dyDescent="0.25">
      <c r="A778" t="s">
        <v>3951</v>
      </c>
      <c r="B778" t="s">
        <v>2241</v>
      </c>
      <c r="C778" t="s">
        <v>3034</v>
      </c>
      <c r="D778" s="1">
        <v>46034.000844907408</v>
      </c>
      <c r="E778">
        <v>1733</v>
      </c>
      <c r="F778">
        <v>50.56</v>
      </c>
      <c r="G778">
        <v>1682.44</v>
      </c>
      <c r="H778" t="s">
        <v>25</v>
      </c>
      <c r="I778" t="s">
        <v>3952</v>
      </c>
      <c r="J778" t="s">
        <v>3036</v>
      </c>
      <c r="K778">
        <v>1733</v>
      </c>
    </row>
    <row r="779" spans="1:11" x14ac:dyDescent="0.25">
      <c r="A779" t="s">
        <v>3953</v>
      </c>
      <c r="B779" t="s">
        <v>2244</v>
      </c>
      <c r="C779" t="s">
        <v>3034</v>
      </c>
      <c r="D779" s="1">
        <v>46035.098587962966</v>
      </c>
      <c r="E779">
        <v>455.6</v>
      </c>
      <c r="F779">
        <v>13.51</v>
      </c>
      <c r="G779">
        <v>442.09</v>
      </c>
      <c r="H779" t="s">
        <v>52</v>
      </c>
      <c r="I779" t="s">
        <v>3954</v>
      </c>
      <c r="J779" t="s">
        <v>3036</v>
      </c>
      <c r="K779">
        <v>455.6</v>
      </c>
    </row>
    <row r="780" spans="1:11" x14ac:dyDescent="0.25">
      <c r="A780" t="s">
        <v>3955</v>
      </c>
      <c r="B780" t="s">
        <v>2247</v>
      </c>
      <c r="C780" t="s">
        <v>3034</v>
      </c>
      <c r="D780" s="1">
        <v>46036.16375</v>
      </c>
      <c r="E780">
        <v>1922.81</v>
      </c>
      <c r="F780">
        <v>56.06</v>
      </c>
      <c r="G780">
        <v>1866.75</v>
      </c>
      <c r="H780" t="s">
        <v>19</v>
      </c>
      <c r="I780" t="s">
        <v>3956</v>
      </c>
      <c r="J780" t="s">
        <v>3036</v>
      </c>
      <c r="K780">
        <v>1922.81</v>
      </c>
    </row>
    <row r="781" spans="1:11" x14ac:dyDescent="0.25">
      <c r="A781" t="s">
        <v>3957</v>
      </c>
      <c r="B781" t="s">
        <v>2250</v>
      </c>
      <c r="C781" t="s">
        <v>3034</v>
      </c>
      <c r="D781" s="1">
        <v>46036.25886574074</v>
      </c>
      <c r="E781">
        <v>2144.38</v>
      </c>
      <c r="F781">
        <v>62.49</v>
      </c>
      <c r="G781">
        <v>2081.89</v>
      </c>
      <c r="H781" t="s">
        <v>25</v>
      </c>
      <c r="I781" t="s">
        <v>3916</v>
      </c>
      <c r="J781" t="s">
        <v>3036</v>
      </c>
      <c r="K781">
        <v>2144.38</v>
      </c>
    </row>
    <row r="782" spans="1:11" x14ac:dyDescent="0.25">
      <c r="A782" t="s">
        <v>3958</v>
      </c>
      <c r="B782" t="s">
        <v>2253</v>
      </c>
      <c r="C782" t="s">
        <v>3034</v>
      </c>
      <c r="D782" s="1">
        <v>46023.34642361111</v>
      </c>
      <c r="E782">
        <v>242.59</v>
      </c>
      <c r="F782">
        <v>7.34</v>
      </c>
      <c r="G782">
        <v>235.25</v>
      </c>
      <c r="H782" t="s">
        <v>25</v>
      </c>
      <c r="I782" t="s">
        <v>3918</v>
      </c>
      <c r="J782" t="s">
        <v>3036</v>
      </c>
      <c r="K782">
        <v>242.59</v>
      </c>
    </row>
    <row r="783" spans="1:11" x14ac:dyDescent="0.25">
      <c r="A783" t="s">
        <v>3959</v>
      </c>
      <c r="B783" t="s">
        <v>2256</v>
      </c>
      <c r="C783" t="s">
        <v>3034</v>
      </c>
      <c r="D783" s="1">
        <v>46024.458101851851</v>
      </c>
      <c r="E783">
        <v>1040.1099999999999</v>
      </c>
      <c r="F783">
        <v>30.46</v>
      </c>
      <c r="G783">
        <v>1009.65</v>
      </c>
      <c r="H783" t="s">
        <v>25</v>
      </c>
      <c r="I783" t="s">
        <v>3890</v>
      </c>
      <c r="J783" t="s">
        <v>3036</v>
      </c>
      <c r="K783">
        <v>1040.1099999999999</v>
      </c>
    </row>
    <row r="784" spans="1:11" x14ac:dyDescent="0.25">
      <c r="A784" t="s">
        <v>3960</v>
      </c>
      <c r="B784" t="s">
        <v>2259</v>
      </c>
      <c r="C784" t="s">
        <v>3034</v>
      </c>
      <c r="D784" s="1">
        <v>46025.522604166668</v>
      </c>
      <c r="E784">
        <v>815.25</v>
      </c>
      <c r="F784">
        <v>23.94</v>
      </c>
      <c r="G784">
        <v>791.31</v>
      </c>
      <c r="H784" t="s">
        <v>25</v>
      </c>
      <c r="I784" t="s">
        <v>3894</v>
      </c>
      <c r="J784" t="s">
        <v>3036</v>
      </c>
      <c r="K784">
        <v>815.25</v>
      </c>
    </row>
    <row r="785" spans="1:11" x14ac:dyDescent="0.25">
      <c r="A785" t="s">
        <v>3961</v>
      </c>
      <c r="B785" t="s">
        <v>2262</v>
      </c>
      <c r="C785" t="s">
        <v>3034</v>
      </c>
      <c r="D785" s="1">
        <v>46026.635439814818</v>
      </c>
      <c r="E785">
        <v>764.09</v>
      </c>
      <c r="F785">
        <v>22.46</v>
      </c>
      <c r="G785">
        <v>741.63</v>
      </c>
      <c r="H785" t="s">
        <v>25</v>
      </c>
      <c r="I785" t="s">
        <v>3896</v>
      </c>
      <c r="J785" t="s">
        <v>3036</v>
      </c>
      <c r="K785">
        <v>764.09</v>
      </c>
    </row>
    <row r="786" spans="1:11" x14ac:dyDescent="0.25">
      <c r="A786" t="s">
        <v>3962</v>
      </c>
      <c r="B786" t="s">
        <v>2262</v>
      </c>
      <c r="C786" t="s">
        <v>3076</v>
      </c>
      <c r="D786" s="1">
        <v>46027.628495370373</v>
      </c>
      <c r="E786">
        <v>-764.09</v>
      </c>
      <c r="F786">
        <v>0</v>
      </c>
      <c r="G786">
        <v>-764.09</v>
      </c>
      <c r="H786" t="s">
        <v>25</v>
      </c>
      <c r="I786" t="s">
        <v>3963</v>
      </c>
      <c r="J786" t="s">
        <v>3036</v>
      </c>
      <c r="K786">
        <v>-764.09</v>
      </c>
    </row>
    <row r="787" spans="1:11" x14ac:dyDescent="0.25">
      <c r="A787" t="s">
        <v>3964</v>
      </c>
      <c r="B787" t="s">
        <v>2265</v>
      </c>
      <c r="C787" t="s">
        <v>3034</v>
      </c>
      <c r="D787" s="1">
        <v>46027.733761574076</v>
      </c>
      <c r="E787">
        <v>994.4</v>
      </c>
      <c r="F787">
        <v>29.14</v>
      </c>
      <c r="G787">
        <v>965.26</v>
      </c>
      <c r="H787" t="s">
        <v>25</v>
      </c>
      <c r="I787" t="s">
        <v>3923</v>
      </c>
      <c r="J787" t="s">
        <v>3036</v>
      </c>
      <c r="K787">
        <v>994.4</v>
      </c>
    </row>
    <row r="788" spans="1:11" x14ac:dyDescent="0.25">
      <c r="A788" t="s">
        <v>3965</v>
      </c>
      <c r="B788" t="s">
        <v>2268</v>
      </c>
      <c r="C788" t="s">
        <v>3034</v>
      </c>
      <c r="D788" s="1">
        <v>46028.799953703703</v>
      </c>
      <c r="E788">
        <v>1499.32</v>
      </c>
      <c r="F788">
        <v>43.78</v>
      </c>
      <c r="G788">
        <v>1455.54</v>
      </c>
      <c r="H788" t="s">
        <v>25</v>
      </c>
      <c r="I788" t="s">
        <v>3900</v>
      </c>
      <c r="J788" t="s">
        <v>3036</v>
      </c>
      <c r="K788">
        <v>1499.32</v>
      </c>
    </row>
    <row r="789" spans="1:11" x14ac:dyDescent="0.25">
      <c r="A789" t="s">
        <v>3966</v>
      </c>
      <c r="B789" t="s">
        <v>2271</v>
      </c>
      <c r="C789" t="s">
        <v>3034</v>
      </c>
      <c r="D789" s="1">
        <v>46029.915613425925</v>
      </c>
      <c r="E789">
        <v>760.04</v>
      </c>
      <c r="F789">
        <v>22.34</v>
      </c>
      <c r="G789">
        <v>737.7</v>
      </c>
      <c r="H789" t="s">
        <v>25</v>
      </c>
      <c r="I789" t="s">
        <v>3902</v>
      </c>
      <c r="J789" t="s">
        <v>3036</v>
      </c>
      <c r="K789">
        <v>760.04</v>
      </c>
    </row>
    <row r="790" spans="1:11" x14ac:dyDescent="0.25">
      <c r="A790" t="s">
        <v>3967</v>
      </c>
      <c r="B790" t="s">
        <v>2274</v>
      </c>
      <c r="C790" t="s">
        <v>3034</v>
      </c>
      <c r="D790" s="1">
        <v>46030.999108796299</v>
      </c>
      <c r="E790">
        <v>153.87</v>
      </c>
      <c r="F790">
        <v>4.76</v>
      </c>
      <c r="G790">
        <v>149.11000000000001</v>
      </c>
      <c r="H790" t="s">
        <v>52</v>
      </c>
      <c r="I790" t="s">
        <v>3968</v>
      </c>
      <c r="J790" t="s">
        <v>3036</v>
      </c>
      <c r="K790">
        <v>153.87</v>
      </c>
    </row>
    <row r="791" spans="1:11" x14ac:dyDescent="0.25">
      <c r="A791" t="s">
        <v>3969</v>
      </c>
      <c r="B791" t="s">
        <v>2277</v>
      </c>
      <c r="C791" t="s">
        <v>3034</v>
      </c>
      <c r="D791" s="1">
        <v>46032.080706018518</v>
      </c>
      <c r="E791">
        <v>1070.48</v>
      </c>
      <c r="F791">
        <v>31.34</v>
      </c>
      <c r="G791">
        <v>1039.1400000000001</v>
      </c>
      <c r="H791" t="s">
        <v>19</v>
      </c>
      <c r="I791" t="s">
        <v>3970</v>
      </c>
      <c r="J791" t="s">
        <v>3036</v>
      </c>
      <c r="K791">
        <v>1070.48</v>
      </c>
    </row>
    <row r="792" spans="1:11" x14ac:dyDescent="0.25">
      <c r="A792" t="s">
        <v>3971</v>
      </c>
      <c r="B792" t="s">
        <v>2277</v>
      </c>
      <c r="C792" t="s">
        <v>3076</v>
      </c>
      <c r="D792" s="1">
        <v>46033.073761574073</v>
      </c>
      <c r="E792">
        <v>-1070.48</v>
      </c>
      <c r="F792">
        <v>0</v>
      </c>
      <c r="G792">
        <v>-1070.48</v>
      </c>
      <c r="H792" t="s">
        <v>19</v>
      </c>
      <c r="I792" t="s">
        <v>3972</v>
      </c>
      <c r="J792" t="s">
        <v>3036</v>
      </c>
      <c r="K792">
        <v>-1070.48</v>
      </c>
    </row>
    <row r="793" spans="1:11" x14ac:dyDescent="0.25">
      <c r="A793" t="s">
        <v>3973</v>
      </c>
      <c r="B793" t="s">
        <v>2280</v>
      </c>
      <c r="C793" t="s">
        <v>3034</v>
      </c>
      <c r="D793" s="1">
        <v>46033.187164351853</v>
      </c>
      <c r="E793">
        <v>693.13</v>
      </c>
      <c r="F793">
        <v>20.399999999999999</v>
      </c>
      <c r="G793">
        <v>672.73</v>
      </c>
      <c r="H793" t="s">
        <v>25</v>
      </c>
      <c r="I793" t="s">
        <v>3974</v>
      </c>
      <c r="J793" t="s">
        <v>3036</v>
      </c>
      <c r="K793">
        <v>693.13</v>
      </c>
    </row>
    <row r="794" spans="1:11" x14ac:dyDescent="0.25">
      <c r="A794" t="s">
        <v>3975</v>
      </c>
      <c r="B794" t="s">
        <v>2283</v>
      </c>
      <c r="C794" t="s">
        <v>3034</v>
      </c>
      <c r="D794" s="1">
        <v>46033.279444444444</v>
      </c>
      <c r="E794">
        <v>83.36</v>
      </c>
      <c r="F794">
        <v>2.72</v>
      </c>
      <c r="G794">
        <v>80.64</v>
      </c>
      <c r="H794" t="s">
        <v>25</v>
      </c>
      <c r="I794" t="s">
        <v>3934</v>
      </c>
      <c r="J794" t="s">
        <v>3036</v>
      </c>
      <c r="K794">
        <v>83.36</v>
      </c>
    </row>
    <row r="795" spans="1:11" x14ac:dyDescent="0.25">
      <c r="A795" t="s">
        <v>3976</v>
      </c>
      <c r="B795" t="s">
        <v>2286</v>
      </c>
      <c r="C795" t="s">
        <v>3034</v>
      </c>
      <c r="D795" s="1">
        <v>46034.355162037034</v>
      </c>
      <c r="E795">
        <v>1081.3900000000001</v>
      </c>
      <c r="F795">
        <v>31.66</v>
      </c>
      <c r="G795">
        <v>1049.73</v>
      </c>
      <c r="H795" t="s">
        <v>25</v>
      </c>
      <c r="I795" t="s">
        <v>3912</v>
      </c>
      <c r="J795" t="s">
        <v>3036</v>
      </c>
      <c r="K795">
        <v>1081.3900000000001</v>
      </c>
    </row>
    <row r="796" spans="1:11" x14ac:dyDescent="0.25">
      <c r="A796" t="s">
        <v>3977</v>
      </c>
      <c r="B796" t="s">
        <v>2289</v>
      </c>
      <c r="C796" t="s">
        <v>3034</v>
      </c>
      <c r="D796" s="1">
        <v>46035.462534722225</v>
      </c>
      <c r="E796">
        <v>1712.52</v>
      </c>
      <c r="F796">
        <v>49.96</v>
      </c>
      <c r="G796">
        <v>1662.56</v>
      </c>
      <c r="H796" t="s">
        <v>25</v>
      </c>
      <c r="I796" t="s">
        <v>3914</v>
      </c>
      <c r="J796" t="s">
        <v>3036</v>
      </c>
      <c r="K796">
        <v>1712.52</v>
      </c>
    </row>
    <row r="797" spans="1:11" x14ac:dyDescent="0.25">
      <c r="A797" t="s">
        <v>3978</v>
      </c>
      <c r="B797" t="s">
        <v>2292</v>
      </c>
      <c r="C797" t="s">
        <v>3034</v>
      </c>
      <c r="D797" s="1">
        <v>46036.531782407408</v>
      </c>
      <c r="E797">
        <v>1273.19</v>
      </c>
      <c r="F797">
        <v>37.22</v>
      </c>
      <c r="G797">
        <v>1235.97</v>
      </c>
      <c r="H797" t="s">
        <v>25</v>
      </c>
      <c r="I797" t="s">
        <v>3916</v>
      </c>
      <c r="J797" t="s">
        <v>3036</v>
      </c>
      <c r="K797">
        <v>1273.19</v>
      </c>
    </row>
    <row r="798" spans="1:11" x14ac:dyDescent="0.25">
      <c r="A798" t="s">
        <v>3979</v>
      </c>
      <c r="B798" t="s">
        <v>2295</v>
      </c>
      <c r="C798" t="s">
        <v>3034</v>
      </c>
      <c r="D798" s="1">
        <v>46023.640983796293</v>
      </c>
      <c r="E798">
        <v>311.19</v>
      </c>
      <c r="F798">
        <v>9.32</v>
      </c>
      <c r="G798">
        <v>301.87</v>
      </c>
      <c r="H798" t="s">
        <v>25</v>
      </c>
      <c r="I798" t="s">
        <v>3918</v>
      </c>
      <c r="J798" t="s">
        <v>3036</v>
      </c>
      <c r="K798">
        <v>311.19</v>
      </c>
    </row>
    <row r="799" spans="1:11" x14ac:dyDescent="0.25">
      <c r="A799" t="s">
        <v>3980</v>
      </c>
      <c r="B799" t="s">
        <v>2298</v>
      </c>
      <c r="C799" t="s">
        <v>3034</v>
      </c>
      <c r="D799" s="1">
        <v>46024.711655092593</v>
      </c>
      <c r="E799">
        <v>993.75</v>
      </c>
      <c r="F799">
        <v>29.12</v>
      </c>
      <c r="G799">
        <v>964.63</v>
      </c>
      <c r="H799" t="s">
        <v>25</v>
      </c>
      <c r="I799" t="s">
        <v>3981</v>
      </c>
      <c r="J799" t="s">
        <v>3036</v>
      </c>
      <c r="K799">
        <v>993.75</v>
      </c>
    </row>
    <row r="800" spans="1:11" x14ac:dyDescent="0.25">
      <c r="A800" t="s">
        <v>3982</v>
      </c>
      <c r="B800" t="s">
        <v>2301</v>
      </c>
      <c r="C800" t="s">
        <v>3034</v>
      </c>
      <c r="D800" s="1">
        <v>46025.825613425928</v>
      </c>
      <c r="E800">
        <v>1958.41</v>
      </c>
      <c r="F800">
        <v>57.09</v>
      </c>
      <c r="G800">
        <v>1901.32</v>
      </c>
      <c r="H800" t="s">
        <v>25</v>
      </c>
      <c r="I800" t="s">
        <v>3894</v>
      </c>
      <c r="J800" t="s">
        <v>3036</v>
      </c>
      <c r="K800">
        <v>1958.41</v>
      </c>
    </row>
    <row r="801" spans="1:11" x14ac:dyDescent="0.25">
      <c r="A801" t="s">
        <v>3983</v>
      </c>
      <c r="B801" t="s">
        <v>2304</v>
      </c>
      <c r="C801" t="s">
        <v>3034</v>
      </c>
      <c r="D801" s="1">
        <v>46026.907025462962</v>
      </c>
      <c r="E801">
        <v>82.57</v>
      </c>
      <c r="F801">
        <v>2.69</v>
      </c>
      <c r="G801">
        <v>79.88</v>
      </c>
      <c r="H801" t="s">
        <v>52</v>
      </c>
      <c r="I801" t="s">
        <v>3984</v>
      </c>
      <c r="J801" t="s">
        <v>3036</v>
      </c>
      <c r="K801">
        <v>82.57</v>
      </c>
    </row>
    <row r="802" spans="1:11" x14ac:dyDescent="0.25">
      <c r="A802" t="s">
        <v>3985</v>
      </c>
      <c r="B802" t="s">
        <v>2307</v>
      </c>
      <c r="C802" t="s">
        <v>3034</v>
      </c>
      <c r="D802" s="1">
        <v>46027.994872685187</v>
      </c>
      <c r="E802">
        <v>2322.2600000000002</v>
      </c>
      <c r="F802">
        <v>67.650000000000006</v>
      </c>
      <c r="G802">
        <v>2254.61</v>
      </c>
      <c r="H802" t="s">
        <v>19</v>
      </c>
      <c r="I802" t="s">
        <v>3986</v>
      </c>
      <c r="J802" t="s">
        <v>3036</v>
      </c>
      <c r="K802">
        <v>2322.2600000000002</v>
      </c>
    </row>
    <row r="803" spans="1:11" x14ac:dyDescent="0.25">
      <c r="A803" t="s">
        <v>3987</v>
      </c>
      <c r="B803" t="s">
        <v>2310</v>
      </c>
      <c r="C803" t="s">
        <v>3034</v>
      </c>
      <c r="D803" s="1">
        <v>46029.102314814816</v>
      </c>
      <c r="E803">
        <v>1351.59</v>
      </c>
      <c r="F803">
        <v>39.5</v>
      </c>
      <c r="G803">
        <v>1312.09</v>
      </c>
      <c r="H803" t="s">
        <v>25</v>
      </c>
      <c r="I803" t="s">
        <v>3900</v>
      </c>
      <c r="J803" t="s">
        <v>3036</v>
      </c>
      <c r="K803">
        <v>1351.59</v>
      </c>
    </row>
    <row r="804" spans="1:11" x14ac:dyDescent="0.25">
      <c r="A804" t="s">
        <v>3988</v>
      </c>
      <c r="B804" t="s">
        <v>2313</v>
      </c>
      <c r="C804" t="s">
        <v>3034</v>
      </c>
      <c r="D804" s="1">
        <v>46030.198113425926</v>
      </c>
      <c r="E804">
        <v>51.36</v>
      </c>
      <c r="F804">
        <v>1.79</v>
      </c>
      <c r="G804">
        <v>49.57</v>
      </c>
      <c r="H804" t="s">
        <v>25</v>
      </c>
      <c r="I804" t="s">
        <v>3902</v>
      </c>
      <c r="J804" t="s">
        <v>3036</v>
      </c>
      <c r="K804">
        <v>51.36</v>
      </c>
    </row>
    <row r="805" spans="1:11" x14ac:dyDescent="0.25">
      <c r="A805" t="s">
        <v>3989</v>
      </c>
      <c r="B805" t="s">
        <v>2316</v>
      </c>
      <c r="C805" t="s">
        <v>3034</v>
      </c>
      <c r="D805" s="1">
        <v>46030.294814814813</v>
      </c>
      <c r="E805">
        <v>1484.46</v>
      </c>
      <c r="F805">
        <v>43.35</v>
      </c>
      <c r="G805">
        <v>1441.11</v>
      </c>
      <c r="H805" t="s">
        <v>25</v>
      </c>
      <c r="I805" t="s">
        <v>3990</v>
      </c>
      <c r="J805" t="s">
        <v>3036</v>
      </c>
      <c r="K805">
        <v>1484.46</v>
      </c>
    </row>
    <row r="806" spans="1:11" x14ac:dyDescent="0.25">
      <c r="A806" t="s">
        <v>3991</v>
      </c>
      <c r="B806" t="s">
        <v>2319</v>
      </c>
      <c r="C806" t="s">
        <v>3034</v>
      </c>
      <c r="D806" s="1">
        <v>46031.363807870373</v>
      </c>
      <c r="E806">
        <v>1933.98</v>
      </c>
      <c r="F806">
        <v>56.39</v>
      </c>
      <c r="G806">
        <v>1877.59</v>
      </c>
      <c r="H806" t="s">
        <v>52</v>
      </c>
      <c r="I806" t="s">
        <v>3992</v>
      </c>
      <c r="J806" t="s">
        <v>3036</v>
      </c>
      <c r="K806">
        <v>1933.98</v>
      </c>
    </row>
    <row r="807" spans="1:11" x14ac:dyDescent="0.25">
      <c r="A807" t="s">
        <v>3993</v>
      </c>
      <c r="B807" t="s">
        <v>2322</v>
      </c>
      <c r="C807" t="s">
        <v>3034</v>
      </c>
      <c r="D807" s="1">
        <v>46032.484699074077</v>
      </c>
      <c r="E807">
        <v>1989.9</v>
      </c>
      <c r="F807">
        <v>58.01</v>
      </c>
      <c r="G807">
        <v>1931.89</v>
      </c>
      <c r="H807" t="s">
        <v>25</v>
      </c>
      <c r="I807" t="s">
        <v>3932</v>
      </c>
      <c r="J807" t="s">
        <v>3036</v>
      </c>
      <c r="K807">
        <v>1989.9</v>
      </c>
    </row>
    <row r="808" spans="1:11" x14ac:dyDescent="0.25">
      <c r="A808" t="s">
        <v>3994</v>
      </c>
      <c r="B808" t="s">
        <v>2325</v>
      </c>
      <c r="C808" t="s">
        <v>3034</v>
      </c>
      <c r="D808" s="1">
        <v>46033.558032407411</v>
      </c>
      <c r="E808">
        <v>191.22</v>
      </c>
      <c r="F808">
        <v>5.85</v>
      </c>
      <c r="G808">
        <v>185.37</v>
      </c>
      <c r="H808" t="s">
        <v>25</v>
      </c>
      <c r="I808" t="s">
        <v>3934</v>
      </c>
      <c r="J808" t="s">
        <v>3036</v>
      </c>
      <c r="K808">
        <v>191.22</v>
      </c>
    </row>
    <row r="809" spans="1:11" x14ac:dyDescent="0.25">
      <c r="A809" t="s">
        <v>3995</v>
      </c>
      <c r="B809" t="s">
        <v>2328</v>
      </c>
      <c r="C809" t="s">
        <v>3034</v>
      </c>
      <c r="D809" s="1">
        <v>46034.666770833333</v>
      </c>
      <c r="E809">
        <v>1271.51</v>
      </c>
      <c r="F809">
        <v>37.17</v>
      </c>
      <c r="G809">
        <v>1234.3399999999999</v>
      </c>
      <c r="H809" t="s">
        <v>25</v>
      </c>
      <c r="I809" t="s">
        <v>3912</v>
      </c>
      <c r="J809" t="s">
        <v>3036</v>
      </c>
      <c r="K809">
        <v>1271.51</v>
      </c>
    </row>
    <row r="810" spans="1:11" x14ac:dyDescent="0.25">
      <c r="A810" t="s">
        <v>3996</v>
      </c>
      <c r="B810" t="s">
        <v>2331</v>
      </c>
      <c r="C810" t="s">
        <v>3034</v>
      </c>
      <c r="D810" s="1">
        <v>46035.750752314816</v>
      </c>
      <c r="E810">
        <v>2242.71</v>
      </c>
      <c r="F810">
        <v>65.34</v>
      </c>
      <c r="G810">
        <v>2177.37</v>
      </c>
      <c r="H810" t="s">
        <v>25</v>
      </c>
      <c r="I810" t="s">
        <v>3914</v>
      </c>
      <c r="J810" t="s">
        <v>3036</v>
      </c>
      <c r="K810">
        <v>2242.71</v>
      </c>
    </row>
    <row r="811" spans="1:11" x14ac:dyDescent="0.25">
      <c r="A811" t="s">
        <v>3997</v>
      </c>
      <c r="B811" t="s">
        <v>2334</v>
      </c>
      <c r="C811" t="s">
        <v>3034</v>
      </c>
      <c r="D811" s="1">
        <v>46036.833564814813</v>
      </c>
      <c r="E811">
        <v>1258.02</v>
      </c>
      <c r="F811">
        <v>36.78</v>
      </c>
      <c r="G811">
        <v>1221.24</v>
      </c>
      <c r="H811" t="s">
        <v>52</v>
      </c>
      <c r="I811" t="s">
        <v>3998</v>
      </c>
      <c r="J811" t="s">
        <v>3036</v>
      </c>
      <c r="K811">
        <v>1258.02</v>
      </c>
    </row>
    <row r="812" spans="1:11" x14ac:dyDescent="0.25">
      <c r="A812" t="s">
        <v>3999</v>
      </c>
      <c r="B812" t="s">
        <v>2337</v>
      </c>
      <c r="C812" t="s">
        <v>3034</v>
      </c>
      <c r="D812" s="1">
        <v>46023.909756944442</v>
      </c>
      <c r="E812">
        <v>2393.19</v>
      </c>
      <c r="F812">
        <v>69.7</v>
      </c>
      <c r="G812">
        <v>2323.4899999999998</v>
      </c>
      <c r="H812" t="s">
        <v>19</v>
      </c>
      <c r="I812" t="s">
        <v>3888</v>
      </c>
      <c r="J812" t="s">
        <v>3036</v>
      </c>
      <c r="K812">
        <v>2393.19</v>
      </c>
    </row>
    <row r="813" spans="1:11" x14ac:dyDescent="0.25">
      <c r="A813" t="s">
        <v>4000</v>
      </c>
      <c r="B813" t="s">
        <v>2340</v>
      </c>
      <c r="C813" t="s">
        <v>3034</v>
      </c>
      <c r="D813" s="1">
        <v>46025.001759259256</v>
      </c>
      <c r="E813">
        <v>198.13</v>
      </c>
      <c r="F813">
        <v>6.05</v>
      </c>
      <c r="G813">
        <v>192.08</v>
      </c>
      <c r="H813" t="s">
        <v>25</v>
      </c>
      <c r="I813" t="s">
        <v>3890</v>
      </c>
      <c r="J813" t="s">
        <v>3036</v>
      </c>
      <c r="K813">
        <v>198.13</v>
      </c>
    </row>
    <row r="814" spans="1:11" x14ac:dyDescent="0.25">
      <c r="A814" t="s">
        <v>4001</v>
      </c>
      <c r="B814" t="s">
        <v>2343</v>
      </c>
      <c r="C814" t="s">
        <v>3034</v>
      </c>
      <c r="D814" s="1">
        <v>46026.118530092594</v>
      </c>
      <c r="E814">
        <v>838.92</v>
      </c>
      <c r="F814">
        <v>24.63</v>
      </c>
      <c r="G814">
        <v>814.29</v>
      </c>
      <c r="H814" t="s">
        <v>25</v>
      </c>
      <c r="I814" t="s">
        <v>3894</v>
      </c>
      <c r="J814" t="s">
        <v>3036</v>
      </c>
      <c r="K814">
        <v>838.92</v>
      </c>
    </row>
    <row r="815" spans="1:11" x14ac:dyDescent="0.25">
      <c r="A815" t="s">
        <v>4002</v>
      </c>
      <c r="B815" t="s">
        <v>2346</v>
      </c>
      <c r="C815" t="s">
        <v>3034</v>
      </c>
      <c r="D815" s="1">
        <v>46027.199884259258</v>
      </c>
      <c r="E815">
        <v>226.38</v>
      </c>
      <c r="F815">
        <v>6.87</v>
      </c>
      <c r="G815">
        <v>219.51</v>
      </c>
      <c r="H815" t="s">
        <v>25</v>
      </c>
      <c r="I815" t="s">
        <v>3896</v>
      </c>
      <c r="J815" t="s">
        <v>3036</v>
      </c>
      <c r="K815">
        <v>226.38</v>
      </c>
    </row>
    <row r="816" spans="1:11" x14ac:dyDescent="0.25">
      <c r="A816" t="s">
        <v>4003</v>
      </c>
      <c r="B816" t="s">
        <v>2349</v>
      </c>
      <c r="C816" t="s">
        <v>3034</v>
      </c>
      <c r="D816" s="1">
        <v>46027.297569444447</v>
      </c>
      <c r="E816">
        <v>1912.86</v>
      </c>
      <c r="F816">
        <v>55.77</v>
      </c>
      <c r="G816">
        <v>1857.09</v>
      </c>
      <c r="H816" t="s">
        <v>25</v>
      </c>
      <c r="I816" t="s">
        <v>3923</v>
      </c>
      <c r="J816" t="s">
        <v>3036</v>
      </c>
      <c r="K816">
        <v>1912.86</v>
      </c>
    </row>
    <row r="817" spans="1:11" x14ac:dyDescent="0.25">
      <c r="A817" t="s">
        <v>4004</v>
      </c>
      <c r="B817" t="s">
        <v>2352</v>
      </c>
      <c r="C817" t="s">
        <v>3034</v>
      </c>
      <c r="D817" s="1">
        <v>46028.382962962962</v>
      </c>
      <c r="E817">
        <v>953.64</v>
      </c>
      <c r="F817">
        <v>27.96</v>
      </c>
      <c r="G817">
        <v>925.68</v>
      </c>
      <c r="H817" t="s">
        <v>25</v>
      </c>
      <c r="I817" t="s">
        <v>3900</v>
      </c>
      <c r="J817" t="s">
        <v>3036</v>
      </c>
      <c r="K817">
        <v>953.64</v>
      </c>
    </row>
    <row r="818" spans="1:11" x14ac:dyDescent="0.25">
      <c r="A818" t="s">
        <v>4005</v>
      </c>
      <c r="B818" t="s">
        <v>2355</v>
      </c>
      <c r="C818" t="s">
        <v>3034</v>
      </c>
      <c r="D818" s="1">
        <v>46029.485243055555</v>
      </c>
      <c r="E818">
        <v>1436.31</v>
      </c>
      <c r="F818">
        <v>41.95</v>
      </c>
      <c r="G818">
        <v>1394.36</v>
      </c>
      <c r="H818" t="s">
        <v>25</v>
      </c>
      <c r="I818" t="s">
        <v>3902</v>
      </c>
      <c r="J818" t="s">
        <v>3036</v>
      </c>
      <c r="K818">
        <v>1436.31</v>
      </c>
    </row>
    <row r="819" spans="1:11" x14ac:dyDescent="0.25">
      <c r="A819" t="s">
        <v>4006</v>
      </c>
      <c r="B819" t="s">
        <v>2358</v>
      </c>
      <c r="C819" t="s">
        <v>3034</v>
      </c>
      <c r="D819" s="1">
        <v>46030.562824074077</v>
      </c>
      <c r="E819">
        <v>83.03</v>
      </c>
      <c r="F819">
        <v>2.71</v>
      </c>
      <c r="G819">
        <v>80.319999999999993</v>
      </c>
      <c r="H819" t="s">
        <v>25</v>
      </c>
      <c r="I819" t="s">
        <v>3904</v>
      </c>
      <c r="J819" t="s">
        <v>3036</v>
      </c>
      <c r="K819">
        <v>83.03</v>
      </c>
    </row>
    <row r="820" spans="1:11" x14ac:dyDescent="0.25">
      <c r="A820" t="s">
        <v>4007</v>
      </c>
      <c r="B820" t="s">
        <v>2361</v>
      </c>
      <c r="C820" t="s">
        <v>3034</v>
      </c>
      <c r="D820" s="1">
        <v>46031.666250000002</v>
      </c>
      <c r="E820">
        <v>1865.8</v>
      </c>
      <c r="F820">
        <v>54.41</v>
      </c>
      <c r="G820">
        <v>1811.39</v>
      </c>
      <c r="H820" t="s">
        <v>25</v>
      </c>
      <c r="I820" t="s">
        <v>3930</v>
      </c>
      <c r="J820" t="s">
        <v>3036</v>
      </c>
      <c r="K820">
        <v>1865.8</v>
      </c>
    </row>
    <row r="821" spans="1:11" x14ac:dyDescent="0.25">
      <c r="A821" t="s">
        <v>4008</v>
      </c>
      <c r="B821" t="s">
        <v>2364</v>
      </c>
      <c r="C821" t="s">
        <v>3034</v>
      </c>
      <c r="D821" s="1">
        <v>46032.727384259262</v>
      </c>
      <c r="E821">
        <v>980.17</v>
      </c>
      <c r="F821">
        <v>28.72</v>
      </c>
      <c r="G821">
        <v>951.45</v>
      </c>
      <c r="H821" t="s">
        <v>52</v>
      </c>
      <c r="I821" t="s">
        <v>3908</v>
      </c>
      <c r="J821" t="s">
        <v>3036</v>
      </c>
      <c r="K821">
        <v>980.17</v>
      </c>
    </row>
    <row r="822" spans="1:11" x14ac:dyDescent="0.25">
      <c r="A822" t="s">
        <v>4009</v>
      </c>
      <c r="B822" t="s">
        <v>2367</v>
      </c>
      <c r="C822" t="s">
        <v>3034</v>
      </c>
      <c r="D822" s="1">
        <v>46033.84</v>
      </c>
      <c r="E822">
        <v>914.15</v>
      </c>
      <c r="F822">
        <v>26.81</v>
      </c>
      <c r="G822">
        <v>887.34</v>
      </c>
      <c r="H822" t="s">
        <v>19</v>
      </c>
      <c r="I822" t="s">
        <v>3910</v>
      </c>
      <c r="J822" t="s">
        <v>3036</v>
      </c>
      <c r="K822">
        <v>914.15</v>
      </c>
    </row>
    <row r="823" spans="1:11" x14ac:dyDescent="0.25">
      <c r="A823" t="s">
        <v>4010</v>
      </c>
      <c r="B823" t="s">
        <v>2370</v>
      </c>
      <c r="C823" t="s">
        <v>3034</v>
      </c>
      <c r="D823" s="1">
        <v>46034.940567129626</v>
      </c>
      <c r="E823">
        <v>1652.33</v>
      </c>
      <c r="F823">
        <v>48.22</v>
      </c>
      <c r="G823">
        <v>1604.11</v>
      </c>
      <c r="H823" t="s">
        <v>25</v>
      </c>
      <c r="I823" t="s">
        <v>3912</v>
      </c>
      <c r="J823" t="s">
        <v>3036</v>
      </c>
      <c r="K823">
        <v>1652.33</v>
      </c>
    </row>
    <row r="824" spans="1:11" x14ac:dyDescent="0.25">
      <c r="A824" t="s">
        <v>4011</v>
      </c>
      <c r="B824" t="s">
        <v>2373</v>
      </c>
      <c r="C824" t="s">
        <v>3034</v>
      </c>
      <c r="D824" s="1">
        <v>46036.041747685187</v>
      </c>
      <c r="E824">
        <v>1722.14</v>
      </c>
      <c r="F824">
        <v>50.24</v>
      </c>
      <c r="G824">
        <v>1671.9</v>
      </c>
      <c r="H824" t="s">
        <v>25</v>
      </c>
      <c r="I824" t="s">
        <v>3914</v>
      </c>
      <c r="J824" t="s">
        <v>3036</v>
      </c>
      <c r="K824">
        <v>1722.14</v>
      </c>
    </row>
    <row r="825" spans="1:11" x14ac:dyDescent="0.25">
      <c r="A825" t="s">
        <v>4012</v>
      </c>
      <c r="B825" t="s">
        <v>2376</v>
      </c>
      <c r="C825" t="s">
        <v>3034</v>
      </c>
      <c r="D825" s="1">
        <v>46037.112569444442</v>
      </c>
      <c r="E825">
        <v>907.35</v>
      </c>
      <c r="F825">
        <v>26.61</v>
      </c>
      <c r="G825">
        <v>880.74</v>
      </c>
      <c r="H825" t="s">
        <v>25</v>
      </c>
      <c r="I825" t="s">
        <v>3916</v>
      </c>
      <c r="J825" t="s">
        <v>3036</v>
      </c>
      <c r="K825">
        <v>907.35</v>
      </c>
    </row>
    <row r="826" spans="1:11" x14ac:dyDescent="0.25">
      <c r="A826" t="s">
        <v>4013</v>
      </c>
      <c r="B826" t="s">
        <v>2379</v>
      </c>
      <c r="C826" t="s">
        <v>3034</v>
      </c>
      <c r="D826" s="1">
        <v>46024.197233796294</v>
      </c>
      <c r="E826">
        <v>130.83000000000001</v>
      </c>
      <c r="F826">
        <v>4.09</v>
      </c>
      <c r="G826">
        <v>126.74</v>
      </c>
      <c r="H826" t="s">
        <v>25</v>
      </c>
      <c r="I826" t="s">
        <v>3918</v>
      </c>
      <c r="J826" t="s">
        <v>3036</v>
      </c>
      <c r="K826">
        <v>130.83000000000001</v>
      </c>
    </row>
    <row r="827" spans="1:11" x14ac:dyDescent="0.25">
      <c r="A827" t="s">
        <v>4014</v>
      </c>
      <c r="B827" t="s">
        <v>2382</v>
      </c>
      <c r="C827" t="s">
        <v>3034</v>
      </c>
      <c r="D827" s="1">
        <v>46024.30164351852</v>
      </c>
      <c r="E827">
        <v>2061</v>
      </c>
      <c r="F827">
        <v>60.07</v>
      </c>
      <c r="G827">
        <v>2000.93</v>
      </c>
      <c r="H827" t="s">
        <v>25</v>
      </c>
      <c r="I827" t="s">
        <v>3890</v>
      </c>
      <c r="J827" t="s">
        <v>3036</v>
      </c>
      <c r="K827">
        <v>2061</v>
      </c>
    </row>
    <row r="828" spans="1:11" x14ac:dyDescent="0.25">
      <c r="A828" t="s">
        <v>4015</v>
      </c>
      <c r="B828" t="s">
        <v>2385</v>
      </c>
      <c r="C828" t="s">
        <v>3034</v>
      </c>
      <c r="D828" s="1">
        <v>46025.371134259258</v>
      </c>
      <c r="E828">
        <v>1029.48</v>
      </c>
      <c r="F828">
        <v>30.15</v>
      </c>
      <c r="G828">
        <v>999.33</v>
      </c>
      <c r="H828" t="s">
        <v>25</v>
      </c>
      <c r="I828" t="s">
        <v>3894</v>
      </c>
      <c r="J828" t="s">
        <v>3036</v>
      </c>
      <c r="K828">
        <v>1029.48</v>
      </c>
    </row>
    <row r="829" spans="1:11" x14ac:dyDescent="0.25">
      <c r="A829" t="s">
        <v>4016</v>
      </c>
      <c r="B829" t="s">
        <v>2388</v>
      </c>
      <c r="C829" t="s">
        <v>3034</v>
      </c>
      <c r="D829" s="1">
        <v>46026.46974537037</v>
      </c>
      <c r="E829">
        <v>1113.27</v>
      </c>
      <c r="F829">
        <v>32.58</v>
      </c>
      <c r="G829">
        <v>1080.69</v>
      </c>
      <c r="H829" t="s">
        <v>25</v>
      </c>
      <c r="I829" t="s">
        <v>3896</v>
      </c>
      <c r="J829" t="s">
        <v>3036</v>
      </c>
      <c r="K829">
        <v>1113.27</v>
      </c>
    </row>
    <row r="830" spans="1:11" x14ac:dyDescent="0.25">
      <c r="A830" t="s">
        <v>4017</v>
      </c>
      <c r="B830" t="s">
        <v>2391</v>
      </c>
      <c r="C830" t="s">
        <v>3034</v>
      </c>
      <c r="D830" s="1">
        <v>46027.56759259259</v>
      </c>
      <c r="E830">
        <v>150.96</v>
      </c>
      <c r="F830">
        <v>4.68</v>
      </c>
      <c r="G830">
        <v>146.28</v>
      </c>
      <c r="H830" t="s">
        <v>25</v>
      </c>
      <c r="I830" t="s">
        <v>3923</v>
      </c>
      <c r="J830" t="s">
        <v>3036</v>
      </c>
      <c r="K830">
        <v>150.96</v>
      </c>
    </row>
    <row r="831" spans="1:11" x14ac:dyDescent="0.25">
      <c r="A831" t="s">
        <v>4018</v>
      </c>
      <c r="B831" t="s">
        <v>2394</v>
      </c>
      <c r="C831" t="s">
        <v>3034</v>
      </c>
      <c r="D831" s="1">
        <v>46028.681944444441</v>
      </c>
      <c r="E831">
        <v>2271.13</v>
      </c>
      <c r="F831">
        <v>66.16</v>
      </c>
      <c r="G831">
        <v>2204.9699999999998</v>
      </c>
      <c r="H831" t="s">
        <v>52</v>
      </c>
      <c r="I831" t="s">
        <v>3925</v>
      </c>
      <c r="J831" t="s">
        <v>3036</v>
      </c>
      <c r="K831">
        <v>2271.13</v>
      </c>
    </row>
    <row r="832" spans="1:11" x14ac:dyDescent="0.25">
      <c r="A832" t="s">
        <v>4019</v>
      </c>
      <c r="B832" t="s">
        <v>2397</v>
      </c>
      <c r="C832" t="s">
        <v>3034</v>
      </c>
      <c r="D832" s="1">
        <v>46029.753946759258</v>
      </c>
      <c r="E832">
        <v>1173</v>
      </c>
      <c r="F832">
        <v>34.32</v>
      </c>
      <c r="G832">
        <v>1138.68</v>
      </c>
      <c r="H832" t="s">
        <v>19</v>
      </c>
      <c r="I832" t="s">
        <v>3927</v>
      </c>
      <c r="J832" t="s">
        <v>3036</v>
      </c>
      <c r="K832">
        <v>1173</v>
      </c>
    </row>
    <row r="833" spans="1:11" x14ac:dyDescent="0.25">
      <c r="A833" t="s">
        <v>4020</v>
      </c>
      <c r="B833" t="s">
        <v>2400</v>
      </c>
      <c r="C833" t="s">
        <v>3034</v>
      </c>
      <c r="D833" s="1">
        <v>46030.845868055556</v>
      </c>
      <c r="E833">
        <v>872.3</v>
      </c>
      <c r="F833">
        <v>25.6</v>
      </c>
      <c r="G833">
        <v>846.7</v>
      </c>
      <c r="H833" t="s">
        <v>25</v>
      </c>
      <c r="I833" t="s">
        <v>3904</v>
      </c>
      <c r="J833" t="s">
        <v>3036</v>
      </c>
      <c r="K833">
        <v>872.3</v>
      </c>
    </row>
    <row r="834" spans="1:11" x14ac:dyDescent="0.25">
      <c r="A834" t="s">
        <v>4021</v>
      </c>
      <c r="B834" t="s">
        <v>2403</v>
      </c>
      <c r="C834" t="s">
        <v>3034</v>
      </c>
      <c r="D834" s="1">
        <v>46031.918657407405</v>
      </c>
      <c r="E834">
        <v>744.72</v>
      </c>
      <c r="F834">
        <v>21.9</v>
      </c>
      <c r="G834">
        <v>722.82</v>
      </c>
      <c r="H834" t="s">
        <v>25</v>
      </c>
      <c r="I834" t="s">
        <v>4022</v>
      </c>
      <c r="J834" t="s">
        <v>3036</v>
      </c>
      <c r="K834">
        <v>744.72</v>
      </c>
    </row>
    <row r="835" spans="1:11" x14ac:dyDescent="0.25">
      <c r="A835" t="s">
        <v>4023</v>
      </c>
      <c r="B835" t="s">
        <v>2406</v>
      </c>
      <c r="C835" t="s">
        <v>3034</v>
      </c>
      <c r="D835" s="1">
        <v>46033.012118055558</v>
      </c>
      <c r="E835">
        <v>88.33</v>
      </c>
      <c r="F835">
        <v>2.86</v>
      </c>
      <c r="G835">
        <v>85.47</v>
      </c>
      <c r="H835" t="s">
        <v>25</v>
      </c>
      <c r="I835" t="s">
        <v>3932</v>
      </c>
      <c r="J835" t="s">
        <v>3036</v>
      </c>
      <c r="K835">
        <v>88.33</v>
      </c>
    </row>
    <row r="836" spans="1:11" x14ac:dyDescent="0.25">
      <c r="A836" t="s">
        <v>4024</v>
      </c>
      <c r="B836" t="s">
        <v>2409</v>
      </c>
      <c r="C836" t="s">
        <v>3034</v>
      </c>
      <c r="D836" s="1">
        <v>46034.136157407411</v>
      </c>
      <c r="E836">
        <v>2092.8200000000002</v>
      </c>
      <c r="F836">
        <v>60.99</v>
      </c>
      <c r="G836">
        <v>2031.83</v>
      </c>
      <c r="H836" t="s">
        <v>25</v>
      </c>
      <c r="I836" t="s">
        <v>3934</v>
      </c>
      <c r="J836" t="s">
        <v>3036</v>
      </c>
      <c r="K836">
        <v>2092.8200000000002</v>
      </c>
    </row>
    <row r="837" spans="1:11" x14ac:dyDescent="0.25">
      <c r="A837" t="s">
        <v>4025</v>
      </c>
      <c r="B837" t="s">
        <v>2409</v>
      </c>
      <c r="C837" t="s">
        <v>3076</v>
      </c>
      <c r="D837" s="1">
        <v>46035.129212962966</v>
      </c>
      <c r="E837">
        <v>-2092.8200000000002</v>
      </c>
      <c r="F837">
        <v>0</v>
      </c>
      <c r="G837">
        <v>-2092.8200000000002</v>
      </c>
      <c r="H837" t="s">
        <v>25</v>
      </c>
      <c r="I837" t="s">
        <v>4026</v>
      </c>
      <c r="J837" t="s">
        <v>3036</v>
      </c>
      <c r="K837">
        <v>-2092.8200000000002</v>
      </c>
    </row>
    <row r="838" spans="1:11" x14ac:dyDescent="0.25">
      <c r="A838" t="s">
        <v>4027</v>
      </c>
      <c r="B838" t="s">
        <v>2412</v>
      </c>
      <c r="C838" t="s">
        <v>3034</v>
      </c>
      <c r="D838" s="1">
        <v>46035.205868055556</v>
      </c>
      <c r="E838">
        <v>758.82</v>
      </c>
      <c r="F838">
        <v>22.31</v>
      </c>
      <c r="G838">
        <v>736.51</v>
      </c>
      <c r="H838" t="s">
        <v>25</v>
      </c>
      <c r="I838" t="s">
        <v>3912</v>
      </c>
      <c r="J838" t="s">
        <v>3036</v>
      </c>
      <c r="K838">
        <v>758.82</v>
      </c>
    </row>
    <row r="839" spans="1:11" x14ac:dyDescent="0.25">
      <c r="A839" t="s">
        <v>4028</v>
      </c>
      <c r="B839" t="s">
        <v>2415</v>
      </c>
      <c r="C839" t="s">
        <v>3034</v>
      </c>
      <c r="D839" s="1">
        <v>46035.300069444442</v>
      </c>
      <c r="E839">
        <v>308.99</v>
      </c>
      <c r="F839">
        <v>9.26</v>
      </c>
      <c r="G839">
        <v>299.73</v>
      </c>
      <c r="H839" t="s">
        <v>25</v>
      </c>
      <c r="I839" t="s">
        <v>3914</v>
      </c>
      <c r="J839" t="s">
        <v>3036</v>
      </c>
      <c r="K839">
        <v>308.99</v>
      </c>
    </row>
    <row r="840" spans="1:11" x14ac:dyDescent="0.25">
      <c r="A840" t="s">
        <v>4029</v>
      </c>
      <c r="B840" t="s">
        <v>2421</v>
      </c>
      <c r="C840" t="s">
        <v>3034</v>
      </c>
      <c r="D840" s="1">
        <v>46023.470312500001</v>
      </c>
      <c r="E840">
        <v>649.36</v>
      </c>
      <c r="F840">
        <v>19.13</v>
      </c>
      <c r="G840">
        <v>630.23</v>
      </c>
      <c r="H840" t="s">
        <v>25</v>
      </c>
      <c r="I840" t="s">
        <v>3918</v>
      </c>
      <c r="J840" t="s">
        <v>3036</v>
      </c>
      <c r="K840">
        <v>649.36</v>
      </c>
    </row>
    <row r="841" spans="1:11" x14ac:dyDescent="0.25">
      <c r="A841" t="s">
        <v>4030</v>
      </c>
      <c r="B841" t="s">
        <v>2424</v>
      </c>
      <c r="C841" t="s">
        <v>3034</v>
      </c>
      <c r="D841" s="1">
        <v>46024.585648148146</v>
      </c>
      <c r="E841">
        <v>239.12</v>
      </c>
      <c r="F841">
        <v>7.23</v>
      </c>
      <c r="G841">
        <v>231.89</v>
      </c>
      <c r="H841" t="s">
        <v>52</v>
      </c>
      <c r="I841" t="s">
        <v>3941</v>
      </c>
      <c r="J841" t="s">
        <v>3036</v>
      </c>
      <c r="K841">
        <v>239.12</v>
      </c>
    </row>
    <row r="842" spans="1:11" x14ac:dyDescent="0.25">
      <c r="A842" t="s">
        <v>4031</v>
      </c>
      <c r="B842" t="s">
        <v>2424</v>
      </c>
      <c r="C842" t="s">
        <v>3034</v>
      </c>
      <c r="D842" s="1">
        <v>46024.586342592593</v>
      </c>
      <c r="E842">
        <v>239.12</v>
      </c>
      <c r="F842">
        <v>7.23</v>
      </c>
      <c r="G842">
        <v>231.89</v>
      </c>
      <c r="H842" t="s">
        <v>52</v>
      </c>
      <c r="I842" t="s">
        <v>3941</v>
      </c>
      <c r="J842" t="s">
        <v>3036</v>
      </c>
      <c r="K842">
        <v>239.12</v>
      </c>
    </row>
    <row r="843" spans="1:11" x14ac:dyDescent="0.25">
      <c r="A843" t="s">
        <v>4032</v>
      </c>
      <c r="B843" t="s">
        <v>2427</v>
      </c>
      <c r="C843" t="s">
        <v>3034</v>
      </c>
      <c r="D843" s="1">
        <v>46025.658333333333</v>
      </c>
      <c r="E843">
        <v>364.14</v>
      </c>
      <c r="F843">
        <v>10.86</v>
      </c>
      <c r="G843">
        <v>353.28</v>
      </c>
      <c r="H843" t="s">
        <v>19</v>
      </c>
      <c r="I843" t="s">
        <v>3943</v>
      </c>
      <c r="J843" t="s">
        <v>3036</v>
      </c>
      <c r="K843">
        <v>364.14</v>
      </c>
    </row>
    <row r="844" spans="1:11" x14ac:dyDescent="0.25">
      <c r="A844" t="s">
        <v>4033</v>
      </c>
      <c r="B844" t="s">
        <v>2430</v>
      </c>
      <c r="C844" t="s">
        <v>3034</v>
      </c>
      <c r="D844" s="1">
        <v>46026.770324074074</v>
      </c>
      <c r="E844">
        <v>756.77</v>
      </c>
      <c r="F844">
        <v>22.25</v>
      </c>
      <c r="G844">
        <v>734.52</v>
      </c>
      <c r="H844" t="s">
        <v>25</v>
      </c>
      <c r="I844" t="s">
        <v>3896</v>
      </c>
      <c r="J844" t="s">
        <v>3036</v>
      </c>
      <c r="K844">
        <v>756.77</v>
      </c>
    </row>
    <row r="845" spans="1:11" x14ac:dyDescent="0.25">
      <c r="A845" t="s">
        <v>4034</v>
      </c>
      <c r="B845" t="s">
        <v>2433</v>
      </c>
      <c r="C845" t="s">
        <v>3034</v>
      </c>
      <c r="D845" s="1">
        <v>46027.861180555556</v>
      </c>
      <c r="E845">
        <v>1726.11</v>
      </c>
      <c r="F845">
        <v>50.36</v>
      </c>
      <c r="G845">
        <v>1675.75</v>
      </c>
      <c r="H845" t="s">
        <v>25</v>
      </c>
      <c r="I845" t="s">
        <v>3923</v>
      </c>
      <c r="J845" t="s">
        <v>3036</v>
      </c>
      <c r="K845">
        <v>1726.11</v>
      </c>
    </row>
    <row r="846" spans="1:11" x14ac:dyDescent="0.25">
      <c r="A846" t="s">
        <v>4035</v>
      </c>
      <c r="B846" t="s">
        <v>2436</v>
      </c>
      <c r="C846" t="s">
        <v>3034</v>
      </c>
      <c r="D846" s="1">
        <v>46028.932754629626</v>
      </c>
      <c r="E846">
        <v>1160.32</v>
      </c>
      <c r="F846">
        <v>33.950000000000003</v>
      </c>
      <c r="G846">
        <v>1126.3699999999999</v>
      </c>
      <c r="H846" t="s">
        <v>25</v>
      </c>
      <c r="I846" t="s">
        <v>3900</v>
      </c>
      <c r="J846" t="s">
        <v>3036</v>
      </c>
      <c r="K846">
        <v>1160.32</v>
      </c>
    </row>
    <row r="847" spans="1:11" x14ac:dyDescent="0.25">
      <c r="A847" t="s">
        <v>4036</v>
      </c>
      <c r="B847" t="s">
        <v>2439</v>
      </c>
      <c r="C847" t="s">
        <v>3034</v>
      </c>
      <c r="D847" s="1">
        <v>46030.028449074074</v>
      </c>
      <c r="E847">
        <v>45.69</v>
      </c>
      <c r="F847">
        <v>1.63</v>
      </c>
      <c r="G847">
        <v>44.06</v>
      </c>
      <c r="H847" t="s">
        <v>25</v>
      </c>
      <c r="I847" t="s">
        <v>4037</v>
      </c>
      <c r="J847" t="s">
        <v>3036</v>
      </c>
      <c r="K847">
        <v>45.69</v>
      </c>
    </row>
    <row r="848" spans="1:11" x14ac:dyDescent="0.25">
      <c r="A848" t="s">
        <v>4038</v>
      </c>
      <c r="B848" t="s">
        <v>2442</v>
      </c>
      <c r="C848" t="s">
        <v>3034</v>
      </c>
      <c r="D848" s="1">
        <v>46031.145856481482</v>
      </c>
      <c r="E848">
        <v>171.61</v>
      </c>
      <c r="F848">
        <v>5.28</v>
      </c>
      <c r="G848">
        <v>166.33</v>
      </c>
      <c r="H848" t="s">
        <v>25</v>
      </c>
      <c r="I848" t="s">
        <v>3904</v>
      </c>
      <c r="J848" t="s">
        <v>3036</v>
      </c>
      <c r="K848">
        <v>171.61</v>
      </c>
    </row>
    <row r="849" spans="1:11" x14ac:dyDescent="0.25">
      <c r="A849" t="s">
        <v>4039</v>
      </c>
      <c r="B849" t="s">
        <v>2445</v>
      </c>
      <c r="C849" t="s">
        <v>3034</v>
      </c>
      <c r="D849" s="1">
        <v>46032.207858796297</v>
      </c>
      <c r="E849">
        <v>941.13</v>
      </c>
      <c r="F849">
        <v>27.59</v>
      </c>
      <c r="G849">
        <v>913.54</v>
      </c>
      <c r="H849" t="s">
        <v>25</v>
      </c>
      <c r="I849" t="s">
        <v>3930</v>
      </c>
      <c r="J849" t="s">
        <v>3036</v>
      </c>
      <c r="K849">
        <v>941.13</v>
      </c>
    </row>
    <row r="850" spans="1:11" x14ac:dyDescent="0.25">
      <c r="A850" t="s">
        <v>4040</v>
      </c>
      <c r="B850" t="s">
        <v>2445</v>
      </c>
      <c r="C850" t="s">
        <v>3034</v>
      </c>
      <c r="D850" s="1">
        <v>46032.208553240744</v>
      </c>
      <c r="E850">
        <v>941.13</v>
      </c>
      <c r="F850">
        <v>27.59</v>
      </c>
      <c r="G850">
        <v>913.54</v>
      </c>
      <c r="H850" t="s">
        <v>25</v>
      </c>
      <c r="I850" t="s">
        <v>3930</v>
      </c>
      <c r="J850" t="s">
        <v>3036</v>
      </c>
      <c r="K850">
        <v>941.13</v>
      </c>
    </row>
    <row r="851" spans="1:11" x14ac:dyDescent="0.25">
      <c r="A851" t="s">
        <v>4041</v>
      </c>
      <c r="B851" t="s">
        <v>2448</v>
      </c>
      <c r="C851" t="s">
        <v>3034</v>
      </c>
      <c r="D851" s="1">
        <v>46032.316354166665</v>
      </c>
      <c r="E851">
        <v>357.63</v>
      </c>
      <c r="F851">
        <v>10.67</v>
      </c>
      <c r="G851">
        <v>346.96</v>
      </c>
      <c r="H851" t="s">
        <v>25</v>
      </c>
      <c r="I851" t="s">
        <v>3932</v>
      </c>
      <c r="J851" t="s">
        <v>3036</v>
      </c>
      <c r="K851">
        <v>357.63</v>
      </c>
    </row>
    <row r="852" spans="1:11" x14ac:dyDescent="0.25">
      <c r="A852" t="s">
        <v>4042</v>
      </c>
      <c r="B852" t="s">
        <v>2451</v>
      </c>
      <c r="C852" t="s">
        <v>3034</v>
      </c>
      <c r="D852" s="1">
        <v>46033.387662037036</v>
      </c>
      <c r="E852">
        <v>667.18</v>
      </c>
      <c r="F852">
        <v>19.649999999999999</v>
      </c>
      <c r="G852">
        <v>647.53</v>
      </c>
      <c r="H852" t="s">
        <v>25</v>
      </c>
      <c r="I852" t="s">
        <v>3934</v>
      </c>
      <c r="J852" t="s">
        <v>3036</v>
      </c>
      <c r="K852">
        <v>667.18</v>
      </c>
    </row>
    <row r="853" spans="1:11" x14ac:dyDescent="0.25">
      <c r="A853" t="s">
        <v>4043</v>
      </c>
      <c r="B853" t="s">
        <v>2454</v>
      </c>
      <c r="C853" t="s">
        <v>3034</v>
      </c>
      <c r="D853" s="1">
        <v>46034.490543981483</v>
      </c>
      <c r="E853">
        <v>2252.71</v>
      </c>
      <c r="F853">
        <v>65.63</v>
      </c>
      <c r="G853">
        <v>2187.08</v>
      </c>
      <c r="H853" t="s">
        <v>52</v>
      </c>
      <c r="I853" t="s">
        <v>3954</v>
      </c>
      <c r="J853" t="s">
        <v>3036</v>
      </c>
      <c r="K853">
        <v>2252.71</v>
      </c>
    </row>
    <row r="854" spans="1:11" x14ac:dyDescent="0.25">
      <c r="A854" t="s">
        <v>4044</v>
      </c>
      <c r="B854" t="s">
        <v>2457</v>
      </c>
      <c r="C854" t="s">
        <v>3034</v>
      </c>
      <c r="D854" s="1">
        <v>46035.600856481484</v>
      </c>
      <c r="E854">
        <v>1384.95</v>
      </c>
      <c r="F854">
        <v>40.46</v>
      </c>
      <c r="G854">
        <v>1344.49</v>
      </c>
      <c r="H854" t="s">
        <v>19</v>
      </c>
      <c r="I854" t="s">
        <v>4045</v>
      </c>
      <c r="J854" t="s">
        <v>3036</v>
      </c>
      <c r="K854">
        <v>1384.95</v>
      </c>
    </row>
    <row r="855" spans="1:11" x14ac:dyDescent="0.25">
      <c r="A855" t="s">
        <v>4046</v>
      </c>
      <c r="B855" t="s">
        <v>2460</v>
      </c>
      <c r="C855" t="s">
        <v>3034</v>
      </c>
      <c r="D855" s="1">
        <v>46036.662141203706</v>
      </c>
      <c r="E855">
        <v>1222.06</v>
      </c>
      <c r="F855">
        <v>35.74</v>
      </c>
      <c r="G855">
        <v>1186.32</v>
      </c>
      <c r="H855" t="s">
        <v>25</v>
      </c>
      <c r="I855" t="s">
        <v>3916</v>
      </c>
      <c r="J855" t="s">
        <v>3036</v>
      </c>
      <c r="K855">
        <v>1222.06</v>
      </c>
    </row>
    <row r="856" spans="1:11" x14ac:dyDescent="0.25">
      <c r="A856" t="s">
        <v>4047</v>
      </c>
      <c r="B856" t="s">
        <v>2463</v>
      </c>
      <c r="C856" t="s">
        <v>3034</v>
      </c>
      <c r="D856" s="1">
        <v>46023.791273148148</v>
      </c>
      <c r="E856">
        <v>451.64</v>
      </c>
      <c r="F856">
        <v>13.4</v>
      </c>
      <c r="G856">
        <v>438.24</v>
      </c>
      <c r="H856" t="s">
        <v>25</v>
      </c>
      <c r="I856" t="s">
        <v>3918</v>
      </c>
      <c r="J856" t="s">
        <v>3036</v>
      </c>
      <c r="K856">
        <v>451.64</v>
      </c>
    </row>
    <row r="857" spans="1:11" x14ac:dyDescent="0.25">
      <c r="A857" t="s">
        <v>4048</v>
      </c>
      <c r="B857" t="s">
        <v>2466</v>
      </c>
      <c r="C857" t="s">
        <v>3034</v>
      </c>
      <c r="D857" s="1">
        <v>46024.863009259258</v>
      </c>
      <c r="E857">
        <v>2354.9</v>
      </c>
      <c r="F857">
        <v>68.59</v>
      </c>
      <c r="G857">
        <v>2286.31</v>
      </c>
      <c r="H857" t="s">
        <v>25</v>
      </c>
      <c r="I857" t="s">
        <v>3890</v>
      </c>
      <c r="J857" t="s">
        <v>3036</v>
      </c>
      <c r="K857">
        <v>2354.9</v>
      </c>
    </row>
    <row r="858" spans="1:11" x14ac:dyDescent="0.25">
      <c r="A858" t="s">
        <v>4049</v>
      </c>
      <c r="B858" t="s">
        <v>2469</v>
      </c>
      <c r="C858" t="s">
        <v>3034</v>
      </c>
      <c r="D858" s="1">
        <v>46025.969166666669</v>
      </c>
      <c r="E858">
        <v>1816.49</v>
      </c>
      <c r="F858">
        <v>52.98</v>
      </c>
      <c r="G858">
        <v>1763.51</v>
      </c>
      <c r="H858" t="s">
        <v>25</v>
      </c>
      <c r="I858" t="s">
        <v>3894</v>
      </c>
      <c r="J858" t="s">
        <v>3036</v>
      </c>
      <c r="K858">
        <v>1816.49</v>
      </c>
    </row>
    <row r="859" spans="1:11" x14ac:dyDescent="0.25">
      <c r="A859" t="s">
        <v>4050</v>
      </c>
      <c r="B859" t="s">
        <v>2472</v>
      </c>
      <c r="C859" t="s">
        <v>3034</v>
      </c>
      <c r="D859" s="1">
        <v>46027.055983796294</v>
      </c>
      <c r="E859">
        <v>1883.82</v>
      </c>
      <c r="F859">
        <v>54.93</v>
      </c>
      <c r="G859">
        <v>1828.89</v>
      </c>
      <c r="H859" t="s">
        <v>25</v>
      </c>
      <c r="I859" t="s">
        <v>3896</v>
      </c>
      <c r="J859" t="s">
        <v>3036</v>
      </c>
      <c r="K859">
        <v>1883.82</v>
      </c>
    </row>
    <row r="860" spans="1:11" x14ac:dyDescent="0.25">
      <c r="A860" t="s">
        <v>4051</v>
      </c>
      <c r="B860" t="s">
        <v>2475</v>
      </c>
      <c r="C860" t="s">
        <v>3034</v>
      </c>
      <c r="D860" s="1">
        <v>46028.138726851852</v>
      </c>
      <c r="E860">
        <v>519.66999999999996</v>
      </c>
      <c r="F860">
        <v>15.37</v>
      </c>
      <c r="G860">
        <v>504.3</v>
      </c>
      <c r="H860" t="s">
        <v>25</v>
      </c>
      <c r="I860" t="s">
        <v>3923</v>
      </c>
      <c r="J860" t="s">
        <v>3036</v>
      </c>
      <c r="K860">
        <v>519.66999999999996</v>
      </c>
    </row>
    <row r="861" spans="1:11" x14ac:dyDescent="0.25">
      <c r="A861" t="s">
        <v>4052</v>
      </c>
      <c r="B861" t="s">
        <v>2478</v>
      </c>
      <c r="C861" t="s">
        <v>3034</v>
      </c>
      <c r="D861" s="1">
        <v>46028.242546296293</v>
      </c>
      <c r="E861">
        <v>1520.71</v>
      </c>
      <c r="F861">
        <v>44.4</v>
      </c>
      <c r="G861">
        <v>1476.31</v>
      </c>
      <c r="H861" t="s">
        <v>25</v>
      </c>
      <c r="I861" t="s">
        <v>3900</v>
      </c>
      <c r="J861" t="s">
        <v>3036</v>
      </c>
      <c r="K861">
        <v>1520.71</v>
      </c>
    </row>
    <row r="862" spans="1:11" x14ac:dyDescent="0.25">
      <c r="A862" t="s">
        <v>4053</v>
      </c>
      <c r="B862" t="s">
        <v>2481</v>
      </c>
      <c r="C862" t="s">
        <v>3034</v>
      </c>
      <c r="D862" s="1">
        <v>46029.310416666667</v>
      </c>
      <c r="E862">
        <v>440.96</v>
      </c>
      <c r="F862">
        <v>13.09</v>
      </c>
      <c r="G862">
        <v>427.87</v>
      </c>
      <c r="H862" t="s">
        <v>25</v>
      </c>
      <c r="I862" t="s">
        <v>3902</v>
      </c>
      <c r="J862" t="s">
        <v>3036</v>
      </c>
      <c r="K862">
        <v>440.96</v>
      </c>
    </row>
    <row r="863" spans="1:11" x14ac:dyDescent="0.25">
      <c r="A863" t="s">
        <v>4054</v>
      </c>
      <c r="B863" t="s">
        <v>2484</v>
      </c>
      <c r="C863" t="s">
        <v>3034</v>
      </c>
      <c r="D863" s="1">
        <v>46030.408587962964</v>
      </c>
      <c r="E863">
        <v>119.92</v>
      </c>
      <c r="F863">
        <v>3.78</v>
      </c>
      <c r="G863">
        <v>116.14</v>
      </c>
      <c r="H863" t="s">
        <v>52</v>
      </c>
      <c r="I863" t="s">
        <v>3968</v>
      </c>
      <c r="J863" t="s">
        <v>3036</v>
      </c>
      <c r="K863">
        <v>119.92</v>
      </c>
    </row>
    <row r="864" spans="1:11" x14ac:dyDescent="0.25">
      <c r="A864" t="s">
        <v>4055</v>
      </c>
      <c r="B864" t="s">
        <v>2487</v>
      </c>
      <c r="C864" t="s">
        <v>3034</v>
      </c>
      <c r="D864" s="1">
        <v>46031.487175925926</v>
      </c>
      <c r="E864">
        <v>1112.6400000000001</v>
      </c>
      <c r="F864">
        <v>32.57</v>
      </c>
      <c r="G864">
        <v>1080.07</v>
      </c>
      <c r="H864" t="s">
        <v>19</v>
      </c>
      <c r="I864" t="s">
        <v>3970</v>
      </c>
      <c r="J864" t="s">
        <v>3036</v>
      </c>
      <c r="K864">
        <v>1112.6400000000001</v>
      </c>
    </row>
    <row r="865" spans="1:11" x14ac:dyDescent="0.25">
      <c r="A865" t="s">
        <v>4056</v>
      </c>
      <c r="B865" t="s">
        <v>2490</v>
      </c>
      <c r="C865" t="s">
        <v>3034</v>
      </c>
      <c r="D865" s="1">
        <v>46032.601979166669</v>
      </c>
      <c r="E865">
        <v>736.05</v>
      </c>
      <c r="F865">
        <v>21.65</v>
      </c>
      <c r="G865">
        <v>714.4</v>
      </c>
      <c r="H865" t="s">
        <v>25</v>
      </c>
      <c r="I865" t="s">
        <v>3932</v>
      </c>
      <c r="J865" t="s">
        <v>3036</v>
      </c>
      <c r="K865">
        <v>736.05</v>
      </c>
    </row>
    <row r="866" spans="1:11" x14ac:dyDescent="0.25">
      <c r="A866" t="s">
        <v>4057</v>
      </c>
      <c r="B866" t="s">
        <v>2493</v>
      </c>
      <c r="C866" t="s">
        <v>3034</v>
      </c>
      <c r="D866" s="1">
        <v>46033.707997685182</v>
      </c>
      <c r="E866">
        <v>2262.61</v>
      </c>
      <c r="F866">
        <v>65.92</v>
      </c>
      <c r="G866">
        <v>2196.69</v>
      </c>
      <c r="H866" t="s">
        <v>25</v>
      </c>
      <c r="I866" t="s">
        <v>3934</v>
      </c>
      <c r="J866" t="s">
        <v>3036</v>
      </c>
      <c r="K866">
        <v>2262.61</v>
      </c>
    </row>
    <row r="867" spans="1:11" x14ac:dyDescent="0.25">
      <c r="A867" t="s">
        <v>4058</v>
      </c>
      <c r="B867" t="s">
        <v>2496</v>
      </c>
      <c r="C867" t="s">
        <v>3034</v>
      </c>
      <c r="D867" s="1">
        <v>46034.761770833335</v>
      </c>
      <c r="E867">
        <v>2482.88</v>
      </c>
      <c r="F867">
        <v>72.3</v>
      </c>
      <c r="G867">
        <v>2410.58</v>
      </c>
      <c r="H867" t="s">
        <v>25</v>
      </c>
      <c r="I867" t="s">
        <v>3912</v>
      </c>
      <c r="J867" t="s">
        <v>3036</v>
      </c>
      <c r="K867">
        <v>2482.88</v>
      </c>
    </row>
    <row r="868" spans="1:11" x14ac:dyDescent="0.25">
      <c r="A868" t="s">
        <v>4059</v>
      </c>
      <c r="B868" t="s">
        <v>2499</v>
      </c>
      <c r="C868" t="s">
        <v>3034</v>
      </c>
      <c r="D868" s="1">
        <v>46035.882164351853</v>
      </c>
      <c r="E868">
        <v>1609.55</v>
      </c>
      <c r="F868">
        <v>46.98</v>
      </c>
      <c r="G868">
        <v>1562.57</v>
      </c>
      <c r="H868" t="s">
        <v>25</v>
      </c>
      <c r="I868" t="s">
        <v>3914</v>
      </c>
      <c r="J868" t="s">
        <v>3036</v>
      </c>
      <c r="K868">
        <v>1609.55</v>
      </c>
    </row>
    <row r="869" spans="1:11" x14ac:dyDescent="0.25">
      <c r="A869" t="s">
        <v>4060</v>
      </c>
      <c r="B869" t="s">
        <v>2502</v>
      </c>
      <c r="C869" t="s">
        <v>3034</v>
      </c>
      <c r="D869" s="1">
        <v>46036.979664351849</v>
      </c>
      <c r="E869">
        <v>2213.2399999999998</v>
      </c>
      <c r="F869">
        <v>64.48</v>
      </c>
      <c r="G869">
        <v>2148.7600000000002</v>
      </c>
      <c r="H869" t="s">
        <v>25</v>
      </c>
      <c r="I869" t="s">
        <v>3916</v>
      </c>
      <c r="J869" t="s">
        <v>3036</v>
      </c>
      <c r="K869">
        <v>2213.2399999999998</v>
      </c>
    </row>
    <row r="870" spans="1:11" x14ac:dyDescent="0.25">
      <c r="A870" t="s">
        <v>4061</v>
      </c>
      <c r="B870" t="s">
        <v>2502</v>
      </c>
      <c r="C870" t="s">
        <v>3034</v>
      </c>
      <c r="D870" s="1">
        <v>46036.980358796296</v>
      </c>
      <c r="E870">
        <v>2213.2399999999998</v>
      </c>
      <c r="F870">
        <v>64.48</v>
      </c>
      <c r="G870">
        <v>2148.7600000000002</v>
      </c>
      <c r="H870" t="s">
        <v>25</v>
      </c>
      <c r="I870" t="s">
        <v>3916</v>
      </c>
      <c r="J870" t="s">
        <v>3036</v>
      </c>
      <c r="K870">
        <v>2213.2399999999998</v>
      </c>
    </row>
    <row r="871" spans="1:11" x14ac:dyDescent="0.25">
      <c r="A871" t="s">
        <v>4062</v>
      </c>
      <c r="B871" t="s">
        <v>2505</v>
      </c>
      <c r="C871" t="s">
        <v>3034</v>
      </c>
      <c r="D871" s="1">
        <v>46024.035451388889</v>
      </c>
      <c r="E871">
        <v>1446.01</v>
      </c>
      <c r="F871">
        <v>42.23</v>
      </c>
      <c r="G871">
        <v>1403.78</v>
      </c>
      <c r="H871" t="s">
        <v>25</v>
      </c>
      <c r="I871" t="s">
        <v>3918</v>
      </c>
      <c r="J871" t="s">
        <v>3036</v>
      </c>
      <c r="K871">
        <v>1446.01</v>
      </c>
    </row>
    <row r="872" spans="1:11" x14ac:dyDescent="0.25">
      <c r="A872" t="s">
        <v>4063</v>
      </c>
      <c r="B872" t="s">
        <v>2508</v>
      </c>
      <c r="C872" t="s">
        <v>3034</v>
      </c>
      <c r="D872" s="1">
        <v>46025.13554398148</v>
      </c>
      <c r="E872">
        <v>931.01</v>
      </c>
      <c r="F872">
        <v>27.3</v>
      </c>
      <c r="G872">
        <v>903.71</v>
      </c>
      <c r="H872" t="s">
        <v>25</v>
      </c>
      <c r="I872" t="s">
        <v>3890</v>
      </c>
      <c r="J872" t="s">
        <v>3036</v>
      </c>
      <c r="K872">
        <v>931.01</v>
      </c>
    </row>
    <row r="873" spans="1:11" x14ac:dyDescent="0.25">
      <c r="A873" t="s">
        <v>4064</v>
      </c>
      <c r="B873" t="s">
        <v>2511</v>
      </c>
      <c r="C873" t="s">
        <v>3034</v>
      </c>
      <c r="D873" s="1">
        <v>46026.225960648146</v>
      </c>
      <c r="E873">
        <v>629.83000000000004</v>
      </c>
      <c r="F873">
        <v>18.57</v>
      </c>
      <c r="G873">
        <v>611.26</v>
      </c>
      <c r="H873" t="s">
        <v>25</v>
      </c>
      <c r="I873" t="s">
        <v>3894</v>
      </c>
      <c r="J873" t="s">
        <v>3036</v>
      </c>
      <c r="K873">
        <v>629.83000000000004</v>
      </c>
    </row>
    <row r="874" spans="1:11" x14ac:dyDescent="0.25">
      <c r="A874" t="s">
        <v>4065</v>
      </c>
      <c r="B874" t="s">
        <v>2514</v>
      </c>
      <c r="C874" t="s">
        <v>3034</v>
      </c>
      <c r="D874" s="1">
        <v>46026.34070601852</v>
      </c>
      <c r="E874">
        <v>498.47</v>
      </c>
      <c r="F874">
        <v>14.76</v>
      </c>
      <c r="G874">
        <v>483.71</v>
      </c>
      <c r="H874" t="s">
        <v>52</v>
      </c>
      <c r="I874" t="s">
        <v>3984</v>
      </c>
      <c r="J874" t="s">
        <v>3036</v>
      </c>
      <c r="K874">
        <v>498.47</v>
      </c>
    </row>
    <row r="875" spans="1:11" x14ac:dyDescent="0.25">
      <c r="A875" t="s">
        <v>4066</v>
      </c>
      <c r="B875" t="s">
        <v>2517</v>
      </c>
      <c r="C875" t="s">
        <v>3034</v>
      </c>
      <c r="D875" s="1">
        <v>46027.442627314813</v>
      </c>
      <c r="E875">
        <v>1406.05</v>
      </c>
      <c r="F875">
        <v>41.08</v>
      </c>
      <c r="G875">
        <v>1364.97</v>
      </c>
      <c r="H875" t="s">
        <v>19</v>
      </c>
      <c r="I875" t="s">
        <v>3986</v>
      </c>
      <c r="J875" t="s">
        <v>3036</v>
      </c>
      <c r="K875">
        <v>1406.05</v>
      </c>
    </row>
    <row r="876" spans="1:11" x14ac:dyDescent="0.25">
      <c r="A876" t="s">
        <v>4067</v>
      </c>
      <c r="B876" t="s">
        <v>2517</v>
      </c>
      <c r="C876" t="s">
        <v>3034</v>
      </c>
      <c r="D876" s="1">
        <v>46027.44332175926</v>
      </c>
      <c r="E876">
        <v>1406.05</v>
      </c>
      <c r="F876">
        <v>41.08</v>
      </c>
      <c r="G876">
        <v>1364.97</v>
      </c>
      <c r="H876" t="s">
        <v>19</v>
      </c>
      <c r="I876" t="s">
        <v>3986</v>
      </c>
      <c r="J876" t="s">
        <v>3036</v>
      </c>
      <c r="K876">
        <v>1406.05</v>
      </c>
    </row>
    <row r="877" spans="1:11" x14ac:dyDescent="0.25">
      <c r="A877" t="s">
        <v>4068</v>
      </c>
      <c r="B877" t="s">
        <v>2520</v>
      </c>
      <c r="C877" t="s">
        <v>3034</v>
      </c>
      <c r="D877" s="1">
        <v>46028.498900462961</v>
      </c>
      <c r="E877">
        <v>2488.2800000000002</v>
      </c>
      <c r="F877">
        <v>72.459999999999994</v>
      </c>
      <c r="G877">
        <v>2415.8200000000002</v>
      </c>
      <c r="H877" t="s">
        <v>25</v>
      </c>
      <c r="I877" t="s">
        <v>3900</v>
      </c>
      <c r="J877" t="s">
        <v>3036</v>
      </c>
      <c r="K877">
        <v>2488.2800000000002</v>
      </c>
    </row>
    <row r="878" spans="1:11" x14ac:dyDescent="0.25">
      <c r="A878" t="s">
        <v>4069</v>
      </c>
      <c r="B878" t="s">
        <v>2523</v>
      </c>
      <c r="C878" t="s">
        <v>3034</v>
      </c>
      <c r="D878" s="1">
        <v>46029.614988425928</v>
      </c>
      <c r="E878">
        <v>1228.23</v>
      </c>
      <c r="F878">
        <v>35.92</v>
      </c>
      <c r="G878">
        <v>1192.31</v>
      </c>
      <c r="H878" t="s">
        <v>25</v>
      </c>
      <c r="I878" t="s">
        <v>3902</v>
      </c>
      <c r="J878" t="s">
        <v>3036</v>
      </c>
      <c r="K878">
        <v>1228.23</v>
      </c>
    </row>
    <row r="879" spans="1:11" x14ac:dyDescent="0.25">
      <c r="A879" t="s">
        <v>4070</v>
      </c>
      <c r="B879" t="s">
        <v>2526</v>
      </c>
      <c r="C879" t="s">
        <v>3034</v>
      </c>
      <c r="D879" s="1">
        <v>46030.710358796299</v>
      </c>
      <c r="E879">
        <v>513.73</v>
      </c>
      <c r="F879">
        <v>15.2</v>
      </c>
      <c r="G879">
        <v>498.53</v>
      </c>
      <c r="H879" t="s">
        <v>25</v>
      </c>
      <c r="I879" t="s">
        <v>3904</v>
      </c>
      <c r="J879" t="s">
        <v>3036</v>
      </c>
      <c r="K879">
        <v>513.73</v>
      </c>
    </row>
    <row r="880" spans="1:11" x14ac:dyDescent="0.25">
      <c r="A880" t="s">
        <v>4071</v>
      </c>
      <c r="B880" t="s">
        <v>2529</v>
      </c>
      <c r="C880" t="s">
        <v>3034</v>
      </c>
      <c r="D880" s="1">
        <v>46031.800497685188</v>
      </c>
      <c r="E880">
        <v>184.44</v>
      </c>
      <c r="F880">
        <v>5.65</v>
      </c>
      <c r="G880">
        <v>178.79</v>
      </c>
      <c r="H880" t="s">
        <v>25</v>
      </c>
      <c r="I880" t="s">
        <v>3930</v>
      </c>
      <c r="J880" t="s">
        <v>3036</v>
      </c>
      <c r="K880">
        <v>184.44</v>
      </c>
    </row>
    <row r="881" spans="1:11" x14ac:dyDescent="0.25">
      <c r="A881" t="s">
        <v>4072</v>
      </c>
      <c r="B881" t="s">
        <v>2532</v>
      </c>
      <c r="C881" t="s">
        <v>3034</v>
      </c>
      <c r="D881" s="1">
        <v>46032.864965277775</v>
      </c>
      <c r="E881">
        <v>1596.84</v>
      </c>
      <c r="F881">
        <v>46.61</v>
      </c>
      <c r="G881">
        <v>1550.23</v>
      </c>
      <c r="H881" t="s">
        <v>25</v>
      </c>
      <c r="I881" t="s">
        <v>3932</v>
      </c>
      <c r="J881" t="s">
        <v>3036</v>
      </c>
      <c r="K881">
        <v>1596.84</v>
      </c>
    </row>
    <row r="882" spans="1:11" x14ac:dyDescent="0.25">
      <c r="A882" t="s">
        <v>4073</v>
      </c>
      <c r="B882" t="s">
        <v>2535</v>
      </c>
      <c r="C882" t="s">
        <v>3034</v>
      </c>
      <c r="D882" s="1">
        <v>46033.969768518517</v>
      </c>
      <c r="E882">
        <v>2494.73</v>
      </c>
      <c r="F882">
        <v>72.650000000000006</v>
      </c>
      <c r="G882">
        <v>2422.08</v>
      </c>
      <c r="H882" t="s">
        <v>25</v>
      </c>
      <c r="I882" t="s">
        <v>3934</v>
      </c>
      <c r="J882" t="s">
        <v>3036</v>
      </c>
      <c r="K882">
        <v>2494.73</v>
      </c>
    </row>
    <row r="883" spans="1:11" x14ac:dyDescent="0.25">
      <c r="A883" t="s">
        <v>4074</v>
      </c>
      <c r="B883" t="s">
        <v>2538</v>
      </c>
      <c r="C883" t="s">
        <v>3034</v>
      </c>
      <c r="D883" s="1">
        <v>46035.077164351853</v>
      </c>
      <c r="E883">
        <v>1252.46</v>
      </c>
      <c r="F883">
        <v>36.619999999999997</v>
      </c>
      <c r="G883">
        <v>1215.8399999999999</v>
      </c>
      <c r="H883" t="s">
        <v>25</v>
      </c>
      <c r="I883" t="s">
        <v>4075</v>
      </c>
      <c r="J883" t="s">
        <v>3036</v>
      </c>
      <c r="K883">
        <v>1252.46</v>
      </c>
    </row>
    <row r="884" spans="1:11" x14ac:dyDescent="0.25">
      <c r="A884" t="s">
        <v>4076</v>
      </c>
      <c r="B884" t="s">
        <v>2541</v>
      </c>
      <c r="C884" t="s">
        <v>3034</v>
      </c>
      <c r="D884" s="1">
        <v>46036.135277777779</v>
      </c>
      <c r="E884">
        <v>247.5</v>
      </c>
      <c r="F884">
        <v>7.48</v>
      </c>
      <c r="G884">
        <v>240.02</v>
      </c>
      <c r="H884" t="s">
        <v>25</v>
      </c>
      <c r="I884" t="s">
        <v>3914</v>
      </c>
      <c r="J884" t="s">
        <v>3036</v>
      </c>
      <c r="K884">
        <v>247.5</v>
      </c>
    </row>
    <row r="885" spans="1:11" x14ac:dyDescent="0.25">
      <c r="A885" t="s">
        <v>4077</v>
      </c>
      <c r="B885" t="s">
        <v>2544</v>
      </c>
      <c r="C885" t="s">
        <v>3034</v>
      </c>
      <c r="D885" s="1">
        <v>46036.265821759262</v>
      </c>
      <c r="E885">
        <v>1900.31</v>
      </c>
      <c r="F885">
        <v>55.41</v>
      </c>
      <c r="G885">
        <v>1844.9</v>
      </c>
      <c r="H885" t="s">
        <v>52</v>
      </c>
      <c r="I885" t="s">
        <v>3998</v>
      </c>
      <c r="J885" t="s">
        <v>3036</v>
      </c>
      <c r="K885">
        <v>1900.31</v>
      </c>
    </row>
    <row r="886" spans="1:11" x14ac:dyDescent="0.25">
      <c r="A886" t="s">
        <v>4078</v>
      </c>
      <c r="B886" t="s">
        <v>2547</v>
      </c>
      <c r="C886" t="s">
        <v>3034</v>
      </c>
      <c r="D886" s="1">
        <v>46023.334490740737</v>
      </c>
      <c r="E886">
        <v>2189.75</v>
      </c>
      <c r="F886">
        <v>63.8</v>
      </c>
      <c r="G886">
        <v>2125.9499999999998</v>
      </c>
      <c r="H886" t="s">
        <v>19</v>
      </c>
      <c r="I886" t="s">
        <v>3888</v>
      </c>
      <c r="J886" t="s">
        <v>3036</v>
      </c>
      <c r="K886">
        <v>2189.75</v>
      </c>
    </row>
    <row r="887" spans="1:11" x14ac:dyDescent="0.25">
      <c r="A887" t="s">
        <v>4079</v>
      </c>
      <c r="B887" t="s">
        <v>2550</v>
      </c>
      <c r="C887" t="s">
        <v>3034</v>
      </c>
      <c r="D887" s="1">
        <v>46024.417951388888</v>
      </c>
      <c r="E887">
        <v>979</v>
      </c>
      <c r="F887">
        <v>28.69</v>
      </c>
      <c r="G887">
        <v>950.31</v>
      </c>
      <c r="H887" t="s">
        <v>25</v>
      </c>
      <c r="I887" t="s">
        <v>3890</v>
      </c>
      <c r="J887" t="s">
        <v>3036</v>
      </c>
      <c r="K887">
        <v>979</v>
      </c>
    </row>
    <row r="888" spans="1:11" x14ac:dyDescent="0.25">
      <c r="A888" t="s">
        <v>4080</v>
      </c>
      <c r="B888" t="s">
        <v>2553</v>
      </c>
      <c r="C888" t="s">
        <v>3034</v>
      </c>
      <c r="D888" s="1">
        <v>46025.526388888888</v>
      </c>
      <c r="E888">
        <v>2307.96</v>
      </c>
      <c r="F888">
        <v>67.23</v>
      </c>
      <c r="G888">
        <v>2240.73</v>
      </c>
      <c r="H888" t="s">
        <v>25</v>
      </c>
      <c r="I888" t="s">
        <v>3894</v>
      </c>
      <c r="J888" t="s">
        <v>3036</v>
      </c>
      <c r="K888">
        <v>2307.96</v>
      </c>
    </row>
    <row r="889" spans="1:11" x14ac:dyDescent="0.25">
      <c r="A889" t="s">
        <v>4081</v>
      </c>
      <c r="B889" t="s">
        <v>2559</v>
      </c>
      <c r="C889" t="s">
        <v>3034</v>
      </c>
      <c r="D889" s="1">
        <v>46027.704583333332</v>
      </c>
      <c r="E889">
        <v>698.88</v>
      </c>
      <c r="F889">
        <v>20.57</v>
      </c>
      <c r="G889">
        <v>678.31</v>
      </c>
      <c r="H889" t="s">
        <v>25</v>
      </c>
      <c r="I889" t="s">
        <v>3923</v>
      </c>
      <c r="J889" t="s">
        <v>3036</v>
      </c>
      <c r="K889">
        <v>698.88</v>
      </c>
    </row>
    <row r="890" spans="1:11" x14ac:dyDescent="0.25">
      <c r="A890" t="s">
        <v>4082</v>
      </c>
      <c r="B890" t="s">
        <v>2562</v>
      </c>
      <c r="C890" t="s">
        <v>3034</v>
      </c>
      <c r="D890" s="1">
        <v>46028.813043981485</v>
      </c>
      <c r="E890">
        <v>2457.91</v>
      </c>
      <c r="F890">
        <v>71.58</v>
      </c>
      <c r="G890">
        <v>2386.33</v>
      </c>
      <c r="H890" t="s">
        <v>25</v>
      </c>
      <c r="I890" t="s">
        <v>3900</v>
      </c>
      <c r="J890" t="s">
        <v>3036</v>
      </c>
      <c r="K890">
        <v>2457.91</v>
      </c>
    </row>
    <row r="891" spans="1:11" x14ac:dyDescent="0.25">
      <c r="A891" t="s">
        <v>4083</v>
      </c>
      <c r="B891" t="s">
        <v>2565</v>
      </c>
      <c r="C891" t="s">
        <v>3034</v>
      </c>
      <c r="D891" s="1">
        <v>46029.88857638889</v>
      </c>
      <c r="E891">
        <v>340.94</v>
      </c>
      <c r="F891">
        <v>10.19</v>
      </c>
      <c r="G891">
        <v>330.75</v>
      </c>
      <c r="H891" t="s">
        <v>25</v>
      </c>
      <c r="I891" t="s">
        <v>3902</v>
      </c>
      <c r="J891" t="s">
        <v>3036</v>
      </c>
      <c r="K891">
        <v>340.94</v>
      </c>
    </row>
    <row r="892" spans="1:11" x14ac:dyDescent="0.25">
      <c r="A892" t="s">
        <v>4084</v>
      </c>
      <c r="B892" t="s">
        <v>2568</v>
      </c>
      <c r="C892" t="s">
        <v>3034</v>
      </c>
      <c r="D892" s="1">
        <v>46030.993009259262</v>
      </c>
      <c r="E892">
        <v>360.82</v>
      </c>
      <c r="F892">
        <v>10.76</v>
      </c>
      <c r="G892">
        <v>350.06</v>
      </c>
      <c r="H892" t="s">
        <v>25</v>
      </c>
      <c r="I892" t="s">
        <v>3904</v>
      </c>
      <c r="J892" t="s">
        <v>3036</v>
      </c>
      <c r="K892">
        <v>360.82</v>
      </c>
    </row>
    <row r="893" spans="1:11" x14ac:dyDescent="0.25">
      <c r="A893" t="s">
        <v>4085</v>
      </c>
      <c r="B893" t="s">
        <v>2571</v>
      </c>
      <c r="C893" t="s">
        <v>3034</v>
      </c>
      <c r="D893" s="1">
        <v>46032.076655092591</v>
      </c>
      <c r="E893">
        <v>265.27999999999997</v>
      </c>
      <c r="F893">
        <v>7.99</v>
      </c>
      <c r="G893">
        <v>257.29000000000002</v>
      </c>
      <c r="H893" t="s">
        <v>25</v>
      </c>
      <c r="I893" t="s">
        <v>4086</v>
      </c>
      <c r="J893" t="s">
        <v>3036</v>
      </c>
      <c r="K893">
        <v>265.27999999999997</v>
      </c>
    </row>
    <row r="894" spans="1:11" x14ac:dyDescent="0.25">
      <c r="A894" t="s">
        <v>4087</v>
      </c>
      <c r="B894" t="s">
        <v>2574</v>
      </c>
      <c r="C894" t="s">
        <v>3034</v>
      </c>
      <c r="D894" s="1">
        <v>46033.179120370369</v>
      </c>
      <c r="E894">
        <v>42.48</v>
      </c>
      <c r="F894">
        <v>1.53</v>
      </c>
      <c r="G894">
        <v>40.950000000000003</v>
      </c>
      <c r="H894" t="s">
        <v>52</v>
      </c>
      <c r="I894" t="s">
        <v>3908</v>
      </c>
      <c r="J894" t="s">
        <v>3036</v>
      </c>
      <c r="K894">
        <v>42.48</v>
      </c>
    </row>
    <row r="895" spans="1:11" x14ac:dyDescent="0.25">
      <c r="A895" t="s">
        <v>4088</v>
      </c>
      <c r="B895" t="s">
        <v>2577</v>
      </c>
      <c r="C895" t="s">
        <v>3034</v>
      </c>
      <c r="D895" s="1">
        <v>46033.239317129628</v>
      </c>
      <c r="E895">
        <v>41.73</v>
      </c>
      <c r="F895">
        <v>1.51</v>
      </c>
      <c r="G895">
        <v>40.22</v>
      </c>
      <c r="H895" t="s">
        <v>19</v>
      </c>
      <c r="I895" t="s">
        <v>3910</v>
      </c>
      <c r="J895" t="s">
        <v>3036</v>
      </c>
      <c r="K895">
        <v>41.73</v>
      </c>
    </row>
    <row r="896" spans="1:11" x14ac:dyDescent="0.25">
      <c r="A896" t="s">
        <v>4089</v>
      </c>
      <c r="B896" t="s">
        <v>2577</v>
      </c>
      <c r="C896" t="s">
        <v>3076</v>
      </c>
      <c r="D896" s="1">
        <v>46034.232372685183</v>
      </c>
      <c r="E896">
        <v>-20.87</v>
      </c>
      <c r="F896">
        <v>0</v>
      </c>
      <c r="G896">
        <v>-20.87</v>
      </c>
      <c r="H896" t="s">
        <v>19</v>
      </c>
      <c r="I896" t="s">
        <v>4090</v>
      </c>
      <c r="J896" t="s">
        <v>3036</v>
      </c>
      <c r="K896">
        <v>-20.87</v>
      </c>
    </row>
    <row r="897" spans="1:11" x14ac:dyDescent="0.25">
      <c r="A897" t="s">
        <v>4091</v>
      </c>
      <c r="B897" t="s">
        <v>2580</v>
      </c>
      <c r="C897" t="s">
        <v>3034</v>
      </c>
      <c r="D897" s="1">
        <v>46034.334108796298</v>
      </c>
      <c r="E897">
        <v>63.11</v>
      </c>
      <c r="F897">
        <v>2.13</v>
      </c>
      <c r="G897">
        <v>60.98</v>
      </c>
      <c r="H897" t="s">
        <v>25</v>
      </c>
      <c r="I897" t="s">
        <v>3912</v>
      </c>
      <c r="J897" t="s">
        <v>3036</v>
      </c>
      <c r="K897">
        <v>63.11</v>
      </c>
    </row>
    <row r="898" spans="1:11" x14ac:dyDescent="0.25">
      <c r="A898" t="s">
        <v>4091</v>
      </c>
      <c r="B898" t="s">
        <v>2580</v>
      </c>
      <c r="C898" t="s">
        <v>3034</v>
      </c>
      <c r="D898" s="1">
        <v>46034.334108796298</v>
      </c>
      <c r="E898">
        <v>63.11</v>
      </c>
      <c r="F898">
        <v>2.13</v>
      </c>
      <c r="G898">
        <v>60.98</v>
      </c>
      <c r="H898" t="s">
        <v>25</v>
      </c>
      <c r="I898" t="s">
        <v>3912</v>
      </c>
      <c r="J898" t="s">
        <v>3036</v>
      </c>
      <c r="K898">
        <v>63.11</v>
      </c>
    </row>
    <row r="899" spans="1:11" x14ac:dyDescent="0.25">
      <c r="A899" t="s">
        <v>4092</v>
      </c>
      <c r="B899" t="s">
        <v>2583</v>
      </c>
      <c r="C899" t="s">
        <v>3034</v>
      </c>
      <c r="D899" s="1">
        <v>46035.438449074078</v>
      </c>
      <c r="E899">
        <v>1748.28</v>
      </c>
      <c r="F899">
        <v>51</v>
      </c>
      <c r="G899">
        <v>1697.28</v>
      </c>
      <c r="H899" t="s">
        <v>25</v>
      </c>
      <c r="I899" t="s">
        <v>3914</v>
      </c>
      <c r="J899" t="s">
        <v>3036</v>
      </c>
      <c r="K899">
        <v>1748.28</v>
      </c>
    </row>
    <row r="900" spans="1:11" x14ac:dyDescent="0.25">
      <c r="A900" t="s">
        <v>4093</v>
      </c>
      <c r="B900" t="s">
        <v>2586</v>
      </c>
      <c r="C900" t="s">
        <v>3034</v>
      </c>
      <c r="D900" s="1">
        <v>46036.534861111111</v>
      </c>
      <c r="E900">
        <v>594.07000000000005</v>
      </c>
      <c r="F900">
        <v>17.53</v>
      </c>
      <c r="G900">
        <v>576.54</v>
      </c>
      <c r="H900" t="s">
        <v>25</v>
      </c>
      <c r="I900" t="s">
        <v>3916</v>
      </c>
      <c r="J900" t="s">
        <v>3036</v>
      </c>
      <c r="K900">
        <v>594.07000000000005</v>
      </c>
    </row>
    <row r="901" spans="1:11" x14ac:dyDescent="0.25">
      <c r="A901" t="s">
        <v>4094</v>
      </c>
      <c r="B901" t="s">
        <v>2589</v>
      </c>
      <c r="C901" t="s">
        <v>3034</v>
      </c>
      <c r="D901" s="1">
        <v>46023.60796296296</v>
      </c>
      <c r="E901">
        <v>2094.6999999999998</v>
      </c>
      <c r="F901">
        <v>61.05</v>
      </c>
      <c r="G901">
        <v>2033.65</v>
      </c>
      <c r="H901" t="s">
        <v>25</v>
      </c>
      <c r="I901" t="s">
        <v>3918</v>
      </c>
      <c r="J901" t="s">
        <v>3036</v>
      </c>
      <c r="K901">
        <v>2094.6999999999998</v>
      </c>
    </row>
    <row r="902" spans="1:11" x14ac:dyDescent="0.25">
      <c r="A902" t="s">
        <v>4095</v>
      </c>
      <c r="B902" t="s">
        <v>2592</v>
      </c>
      <c r="C902" t="s">
        <v>3034</v>
      </c>
      <c r="D902" s="1">
        <v>46024.704918981479</v>
      </c>
      <c r="E902">
        <v>798.51</v>
      </c>
      <c r="F902">
        <v>23.46</v>
      </c>
      <c r="G902">
        <v>775.05</v>
      </c>
      <c r="H902" t="s">
        <v>25</v>
      </c>
      <c r="I902" t="s">
        <v>3890</v>
      </c>
      <c r="J902" t="s">
        <v>3036</v>
      </c>
      <c r="K902">
        <v>798.51</v>
      </c>
    </row>
    <row r="903" spans="1:11" x14ac:dyDescent="0.25">
      <c r="A903" t="s">
        <v>4096</v>
      </c>
      <c r="B903" t="s">
        <v>2595</v>
      </c>
      <c r="C903" t="s">
        <v>3034</v>
      </c>
      <c r="D903" s="1">
        <v>46025.808657407404</v>
      </c>
      <c r="E903">
        <v>2321.09</v>
      </c>
      <c r="F903">
        <v>67.61</v>
      </c>
      <c r="G903">
        <v>2253.48</v>
      </c>
      <c r="H903" t="s">
        <v>25</v>
      </c>
      <c r="I903" t="s">
        <v>3894</v>
      </c>
      <c r="J903" t="s">
        <v>3036</v>
      </c>
      <c r="K903">
        <v>2321.09</v>
      </c>
    </row>
    <row r="904" spans="1:11" x14ac:dyDescent="0.25">
      <c r="A904" t="s">
        <v>4097</v>
      </c>
      <c r="B904" t="s">
        <v>2598</v>
      </c>
      <c r="C904" t="s">
        <v>3034</v>
      </c>
      <c r="D904" s="1">
        <v>46026.880196759259</v>
      </c>
      <c r="E904">
        <v>2148.77</v>
      </c>
      <c r="F904">
        <v>62.61</v>
      </c>
      <c r="G904">
        <v>2086.16</v>
      </c>
      <c r="H904" t="s">
        <v>25</v>
      </c>
      <c r="I904" t="s">
        <v>3896</v>
      </c>
      <c r="J904" t="s">
        <v>3036</v>
      </c>
      <c r="K904">
        <v>2148.77</v>
      </c>
    </row>
    <row r="905" spans="1:11" x14ac:dyDescent="0.25">
      <c r="A905" t="s">
        <v>4098</v>
      </c>
      <c r="B905" t="s">
        <v>2601</v>
      </c>
      <c r="C905" t="s">
        <v>3034</v>
      </c>
      <c r="D905" s="1">
        <v>46027.980034722219</v>
      </c>
      <c r="E905">
        <v>1021.65</v>
      </c>
      <c r="F905">
        <v>29.93</v>
      </c>
      <c r="G905">
        <v>991.72</v>
      </c>
      <c r="H905" t="s">
        <v>25</v>
      </c>
      <c r="I905" t="s">
        <v>3923</v>
      </c>
      <c r="J905" t="s">
        <v>3036</v>
      </c>
      <c r="K905">
        <v>1021.65</v>
      </c>
    </row>
    <row r="906" spans="1:11" x14ac:dyDescent="0.25">
      <c r="A906" t="s">
        <v>4099</v>
      </c>
      <c r="B906" t="s">
        <v>2604</v>
      </c>
      <c r="C906" t="s">
        <v>3034</v>
      </c>
      <c r="D906" s="1">
        <v>46029.06695601852</v>
      </c>
      <c r="E906">
        <v>2088.59</v>
      </c>
      <c r="F906">
        <v>60.87</v>
      </c>
      <c r="G906">
        <v>2027.72</v>
      </c>
      <c r="H906" t="s">
        <v>52</v>
      </c>
      <c r="I906" t="s">
        <v>3925</v>
      </c>
      <c r="J906" t="s">
        <v>3036</v>
      </c>
      <c r="K906">
        <v>2088.59</v>
      </c>
    </row>
    <row r="907" spans="1:11" x14ac:dyDescent="0.25">
      <c r="A907" t="s">
        <v>4100</v>
      </c>
      <c r="B907" t="s">
        <v>2607</v>
      </c>
      <c r="C907" t="s">
        <v>3034</v>
      </c>
      <c r="D907" s="1">
        <v>46030.189814814818</v>
      </c>
      <c r="E907">
        <v>2103.84</v>
      </c>
      <c r="F907">
        <v>61.31</v>
      </c>
      <c r="G907">
        <v>2042.53</v>
      </c>
      <c r="H907" t="s">
        <v>19</v>
      </c>
      <c r="I907" t="s">
        <v>3927</v>
      </c>
      <c r="J907" t="s">
        <v>3036</v>
      </c>
      <c r="K907">
        <v>2103.84</v>
      </c>
    </row>
    <row r="908" spans="1:11" x14ac:dyDescent="0.25">
      <c r="A908" t="s">
        <v>4101</v>
      </c>
      <c r="B908" t="s">
        <v>2610</v>
      </c>
      <c r="C908" t="s">
        <v>3034</v>
      </c>
      <c r="D908" s="1">
        <v>46030.263506944444</v>
      </c>
      <c r="E908">
        <v>635.57000000000005</v>
      </c>
      <c r="F908">
        <v>18.73</v>
      </c>
      <c r="G908">
        <v>616.84</v>
      </c>
      <c r="H908" t="s">
        <v>25</v>
      </c>
      <c r="I908" t="s">
        <v>3904</v>
      </c>
      <c r="J908" t="s">
        <v>3036</v>
      </c>
      <c r="K908">
        <v>635.57000000000005</v>
      </c>
    </row>
    <row r="909" spans="1:11" x14ac:dyDescent="0.25">
      <c r="A909" t="s">
        <v>4102</v>
      </c>
      <c r="B909" t="s">
        <v>2613</v>
      </c>
      <c r="C909" t="s">
        <v>3034</v>
      </c>
      <c r="D909" s="1">
        <v>46031.337199074071</v>
      </c>
      <c r="E909">
        <v>421.29</v>
      </c>
      <c r="F909">
        <v>12.52</v>
      </c>
      <c r="G909">
        <v>408.77</v>
      </c>
      <c r="H909" t="s">
        <v>25</v>
      </c>
      <c r="I909" t="s">
        <v>3930</v>
      </c>
      <c r="J909" t="s">
        <v>3036</v>
      </c>
      <c r="K909">
        <v>421.29</v>
      </c>
    </row>
    <row r="910" spans="1:11" x14ac:dyDescent="0.25">
      <c r="A910" t="s">
        <v>4103</v>
      </c>
      <c r="B910" t="s">
        <v>2613</v>
      </c>
      <c r="C910" t="s">
        <v>3034</v>
      </c>
      <c r="D910" s="1">
        <v>46031.337893518517</v>
      </c>
      <c r="E910">
        <v>421.29</v>
      </c>
      <c r="F910">
        <v>12.52</v>
      </c>
      <c r="G910">
        <v>408.77</v>
      </c>
      <c r="H910" t="s">
        <v>25</v>
      </c>
      <c r="I910" t="s">
        <v>3930</v>
      </c>
      <c r="J910" t="s">
        <v>3036</v>
      </c>
      <c r="K910">
        <v>421.29</v>
      </c>
    </row>
    <row r="911" spans="1:11" x14ac:dyDescent="0.25">
      <c r="A911" t="s">
        <v>4104</v>
      </c>
      <c r="B911" t="s">
        <v>2616</v>
      </c>
      <c r="C911" t="s">
        <v>3034</v>
      </c>
      <c r="D911" s="1">
        <v>46032.463958333334</v>
      </c>
      <c r="E911">
        <v>2129.65</v>
      </c>
      <c r="F911">
        <v>62.06</v>
      </c>
      <c r="G911">
        <v>2067.59</v>
      </c>
      <c r="H911" t="s">
        <v>25</v>
      </c>
      <c r="I911" t="s">
        <v>3932</v>
      </c>
      <c r="J911" t="s">
        <v>3036</v>
      </c>
      <c r="K911">
        <v>2129.65</v>
      </c>
    </row>
    <row r="912" spans="1:11" x14ac:dyDescent="0.25">
      <c r="A912" t="s">
        <v>4105</v>
      </c>
      <c r="B912" t="s">
        <v>2619</v>
      </c>
      <c r="C912" t="s">
        <v>3034</v>
      </c>
      <c r="D912" s="1">
        <v>46033.529537037037</v>
      </c>
      <c r="E912">
        <v>1845.84</v>
      </c>
      <c r="F912">
        <v>53.83</v>
      </c>
      <c r="G912">
        <v>1792.01</v>
      </c>
      <c r="H912" t="s">
        <v>25</v>
      </c>
      <c r="I912" t="s">
        <v>3934</v>
      </c>
      <c r="J912" t="s">
        <v>3036</v>
      </c>
      <c r="K912">
        <v>1845.84</v>
      </c>
    </row>
    <row r="913" spans="1:11" x14ac:dyDescent="0.25">
      <c r="A913" t="s">
        <v>4106</v>
      </c>
      <c r="B913" t="s">
        <v>2622</v>
      </c>
      <c r="C913" t="s">
        <v>3034</v>
      </c>
      <c r="D913" s="1">
        <v>46034.629328703704</v>
      </c>
      <c r="E913">
        <v>1148.5</v>
      </c>
      <c r="F913">
        <v>33.61</v>
      </c>
      <c r="G913">
        <v>1114.8900000000001</v>
      </c>
      <c r="H913" t="s">
        <v>25</v>
      </c>
      <c r="I913" t="s">
        <v>3912</v>
      </c>
      <c r="J913" t="s">
        <v>3036</v>
      </c>
      <c r="K913">
        <v>1148.5</v>
      </c>
    </row>
    <row r="914" spans="1:11" x14ac:dyDescent="0.25">
      <c r="A914" t="s">
        <v>4107</v>
      </c>
      <c r="B914" t="s">
        <v>2625</v>
      </c>
      <c r="C914" t="s">
        <v>3034</v>
      </c>
      <c r="D914" s="1">
        <v>46035.702407407407</v>
      </c>
      <c r="E914">
        <v>785.53</v>
      </c>
      <c r="F914">
        <v>23.08</v>
      </c>
      <c r="G914">
        <v>762.45</v>
      </c>
      <c r="H914" t="s">
        <v>25</v>
      </c>
      <c r="I914" t="s">
        <v>3914</v>
      </c>
      <c r="J914" t="s">
        <v>3036</v>
      </c>
      <c r="K914">
        <v>785.53</v>
      </c>
    </row>
    <row r="915" spans="1:11" x14ac:dyDescent="0.25">
      <c r="A915" t="s">
        <v>4108</v>
      </c>
      <c r="B915" t="s">
        <v>2628</v>
      </c>
      <c r="C915" t="s">
        <v>3034</v>
      </c>
      <c r="D915" s="1">
        <v>46036.814745370371</v>
      </c>
      <c r="E915">
        <v>1896.81</v>
      </c>
      <c r="F915">
        <v>55.31</v>
      </c>
      <c r="G915">
        <v>1841.5</v>
      </c>
      <c r="H915" t="s">
        <v>25</v>
      </c>
      <c r="I915" t="s">
        <v>3916</v>
      </c>
      <c r="J915" t="s">
        <v>3036</v>
      </c>
      <c r="K915">
        <v>1896.81</v>
      </c>
    </row>
    <row r="916" spans="1:11" x14ac:dyDescent="0.25">
      <c r="A916" t="s">
        <v>4109</v>
      </c>
      <c r="B916" t="s">
        <v>2631</v>
      </c>
      <c r="C916" t="s">
        <v>3034</v>
      </c>
      <c r="D916" s="1">
        <v>46023.917442129627</v>
      </c>
      <c r="E916">
        <v>2480.9</v>
      </c>
      <c r="F916">
        <v>72.25</v>
      </c>
      <c r="G916">
        <v>2408.65</v>
      </c>
      <c r="H916" t="s">
        <v>25</v>
      </c>
      <c r="I916" t="s">
        <v>3918</v>
      </c>
      <c r="J916" t="s">
        <v>3036</v>
      </c>
      <c r="K916">
        <v>2480.9</v>
      </c>
    </row>
    <row r="917" spans="1:11" x14ac:dyDescent="0.25">
      <c r="A917" t="s">
        <v>4110</v>
      </c>
      <c r="B917" t="s">
        <v>2634</v>
      </c>
      <c r="C917" t="s">
        <v>3034</v>
      </c>
      <c r="D917" s="1">
        <v>46025.007650462961</v>
      </c>
      <c r="E917">
        <v>2369.58</v>
      </c>
      <c r="F917">
        <v>69.02</v>
      </c>
      <c r="G917">
        <v>2300.56</v>
      </c>
      <c r="H917" t="s">
        <v>52</v>
      </c>
      <c r="I917" t="s">
        <v>3941</v>
      </c>
      <c r="J917" t="s">
        <v>3036</v>
      </c>
      <c r="K917">
        <v>2369.58</v>
      </c>
    </row>
    <row r="918" spans="1:11" x14ac:dyDescent="0.25">
      <c r="A918" t="s">
        <v>4111</v>
      </c>
      <c r="B918" t="s">
        <v>2637</v>
      </c>
      <c r="C918" t="s">
        <v>3034</v>
      </c>
      <c r="D918" s="1">
        <v>46026.10497685185</v>
      </c>
      <c r="E918">
        <v>2348.33</v>
      </c>
      <c r="F918">
        <v>68.400000000000006</v>
      </c>
      <c r="G918">
        <v>2279.9299999999998</v>
      </c>
      <c r="H918" t="s">
        <v>19</v>
      </c>
      <c r="I918" t="s">
        <v>3943</v>
      </c>
      <c r="J918" t="s">
        <v>3036</v>
      </c>
      <c r="K918">
        <v>2348.33</v>
      </c>
    </row>
    <row r="919" spans="1:11" x14ac:dyDescent="0.25">
      <c r="A919" t="s">
        <v>4112</v>
      </c>
      <c r="B919" t="s">
        <v>2637</v>
      </c>
      <c r="C919" t="s">
        <v>3076</v>
      </c>
      <c r="D919" s="1">
        <v>46027.098032407404</v>
      </c>
      <c r="E919">
        <v>-1174.17</v>
      </c>
      <c r="F919">
        <v>0</v>
      </c>
      <c r="G919">
        <v>-1174.17</v>
      </c>
      <c r="H919" t="s">
        <v>19</v>
      </c>
      <c r="I919" t="s">
        <v>4113</v>
      </c>
      <c r="J919" t="s">
        <v>3036</v>
      </c>
      <c r="K919">
        <v>-1174.17</v>
      </c>
    </row>
    <row r="920" spans="1:11" x14ac:dyDescent="0.25">
      <c r="A920" t="s">
        <v>4114</v>
      </c>
      <c r="B920" t="s">
        <v>2640</v>
      </c>
      <c r="C920" t="s">
        <v>3034</v>
      </c>
      <c r="D920" s="1">
        <v>46027.184282407405</v>
      </c>
      <c r="E920">
        <v>2330.98</v>
      </c>
      <c r="F920">
        <v>67.900000000000006</v>
      </c>
      <c r="G920">
        <v>2263.08</v>
      </c>
      <c r="H920" t="s">
        <v>25</v>
      </c>
      <c r="I920" t="s">
        <v>3896</v>
      </c>
      <c r="J920" t="s">
        <v>3036</v>
      </c>
      <c r="K920">
        <v>2330.98</v>
      </c>
    </row>
    <row r="921" spans="1:11" x14ac:dyDescent="0.25">
      <c r="A921" t="s">
        <v>4115</v>
      </c>
      <c r="B921" t="s">
        <v>2643</v>
      </c>
      <c r="C921" t="s">
        <v>3034</v>
      </c>
      <c r="D921" s="1">
        <v>46027.289687500001</v>
      </c>
      <c r="E921">
        <v>335.56</v>
      </c>
      <c r="F921">
        <v>10.029999999999999</v>
      </c>
      <c r="G921">
        <v>325.52999999999997</v>
      </c>
      <c r="H921" t="s">
        <v>25</v>
      </c>
      <c r="I921" t="s">
        <v>3923</v>
      </c>
      <c r="J921" t="s">
        <v>3036</v>
      </c>
      <c r="K921">
        <v>335.56</v>
      </c>
    </row>
    <row r="922" spans="1:11" x14ac:dyDescent="0.25">
      <c r="A922" t="s">
        <v>4116</v>
      </c>
      <c r="B922" t="s">
        <v>2646</v>
      </c>
      <c r="C922" t="s">
        <v>3034</v>
      </c>
      <c r="D922" s="1">
        <v>46028.375393518516</v>
      </c>
      <c r="E922">
        <v>1215.7</v>
      </c>
      <c r="F922">
        <v>35.56</v>
      </c>
      <c r="G922">
        <v>1180.1400000000001</v>
      </c>
      <c r="H922" t="s">
        <v>25</v>
      </c>
      <c r="I922" t="s">
        <v>3900</v>
      </c>
      <c r="J922" t="s">
        <v>3036</v>
      </c>
      <c r="K922">
        <v>1215.7</v>
      </c>
    </row>
    <row r="923" spans="1:11" x14ac:dyDescent="0.25">
      <c r="A923" t="s">
        <v>4117</v>
      </c>
      <c r="B923" t="s">
        <v>2649</v>
      </c>
      <c r="C923" t="s">
        <v>3034</v>
      </c>
      <c r="D923" s="1">
        <v>46029.46675925926</v>
      </c>
      <c r="E923">
        <v>1605.02</v>
      </c>
      <c r="F923">
        <v>46.85</v>
      </c>
      <c r="G923">
        <v>1558.17</v>
      </c>
      <c r="H923" t="s">
        <v>25</v>
      </c>
      <c r="I923" t="s">
        <v>4118</v>
      </c>
      <c r="J923" t="s">
        <v>3036</v>
      </c>
      <c r="K923">
        <v>1605.02</v>
      </c>
    </row>
    <row r="924" spans="1:11" x14ac:dyDescent="0.25">
      <c r="A924" t="s">
        <v>4119</v>
      </c>
      <c r="B924" t="s">
        <v>2652</v>
      </c>
      <c r="C924" t="s">
        <v>3034</v>
      </c>
      <c r="D924" s="1">
        <v>46030.532106481478</v>
      </c>
      <c r="E924">
        <v>557.58000000000004</v>
      </c>
      <c r="F924">
        <v>16.47</v>
      </c>
      <c r="G924">
        <v>541.11</v>
      </c>
      <c r="H924" t="s">
        <v>25</v>
      </c>
      <c r="I924" t="s">
        <v>3904</v>
      </c>
      <c r="J924" t="s">
        <v>3036</v>
      </c>
      <c r="K924">
        <v>557.58000000000004</v>
      </c>
    </row>
    <row r="925" spans="1:11" x14ac:dyDescent="0.25">
      <c r="A925" t="s">
        <v>4120</v>
      </c>
      <c r="B925" t="s">
        <v>2655</v>
      </c>
      <c r="C925" t="s">
        <v>3034</v>
      </c>
      <c r="D925" s="1">
        <v>46031.639560185184</v>
      </c>
      <c r="E925">
        <v>2168.86</v>
      </c>
      <c r="F925">
        <v>63.2</v>
      </c>
      <c r="G925">
        <v>2105.66</v>
      </c>
      <c r="H925" t="s">
        <v>25</v>
      </c>
      <c r="I925" t="s">
        <v>3930</v>
      </c>
      <c r="J925" t="s">
        <v>3036</v>
      </c>
      <c r="K925">
        <v>2168.86</v>
      </c>
    </row>
    <row r="926" spans="1:11" x14ac:dyDescent="0.25">
      <c r="A926" t="s">
        <v>4121</v>
      </c>
      <c r="B926" t="s">
        <v>2658</v>
      </c>
      <c r="C926" t="s">
        <v>3034</v>
      </c>
      <c r="D926" s="1">
        <v>46032.727731481478</v>
      </c>
      <c r="E926">
        <v>394.83</v>
      </c>
      <c r="F926">
        <v>11.75</v>
      </c>
      <c r="G926">
        <v>383.08</v>
      </c>
      <c r="H926" t="s">
        <v>25</v>
      </c>
      <c r="I926" t="s">
        <v>3932</v>
      </c>
      <c r="J926" t="s">
        <v>3036</v>
      </c>
      <c r="K926">
        <v>394.83</v>
      </c>
    </row>
    <row r="927" spans="1:11" x14ac:dyDescent="0.25">
      <c r="A927" t="s">
        <v>4122</v>
      </c>
      <c r="B927" t="s">
        <v>2661</v>
      </c>
      <c r="C927" t="s">
        <v>3034</v>
      </c>
      <c r="D927" s="1">
        <v>46033.82534722222</v>
      </c>
      <c r="E927">
        <v>85.57</v>
      </c>
      <c r="F927">
        <v>2.78</v>
      </c>
      <c r="G927">
        <v>82.79</v>
      </c>
      <c r="H927" t="s">
        <v>25</v>
      </c>
      <c r="I927" t="s">
        <v>3934</v>
      </c>
      <c r="J927" t="s">
        <v>3036</v>
      </c>
      <c r="K927">
        <v>85.57</v>
      </c>
    </row>
    <row r="928" spans="1:11" x14ac:dyDescent="0.25">
      <c r="A928" t="s">
        <v>4123</v>
      </c>
      <c r="B928" t="s">
        <v>2664</v>
      </c>
      <c r="C928" t="s">
        <v>3034</v>
      </c>
      <c r="D928" s="1">
        <v>46034.900729166664</v>
      </c>
      <c r="E928">
        <v>113.44</v>
      </c>
      <c r="F928">
        <v>3.59</v>
      </c>
      <c r="G928">
        <v>109.85</v>
      </c>
      <c r="H928" t="s">
        <v>52</v>
      </c>
      <c r="I928" t="s">
        <v>3954</v>
      </c>
      <c r="J928" t="s">
        <v>3036</v>
      </c>
      <c r="K928">
        <v>113.44</v>
      </c>
    </row>
    <row r="929" spans="1:11" x14ac:dyDescent="0.25">
      <c r="A929" t="s">
        <v>4124</v>
      </c>
      <c r="B929" t="s">
        <v>2667</v>
      </c>
      <c r="C929" t="s">
        <v>3034</v>
      </c>
      <c r="D929" s="1">
        <v>46036.005300925928</v>
      </c>
      <c r="E929">
        <v>1001.11</v>
      </c>
      <c r="F929">
        <v>29.33</v>
      </c>
      <c r="G929">
        <v>971.78</v>
      </c>
      <c r="H929" t="s">
        <v>19</v>
      </c>
      <c r="I929" t="s">
        <v>4125</v>
      </c>
      <c r="J929" t="s">
        <v>3036</v>
      </c>
      <c r="K929">
        <v>1001.11</v>
      </c>
    </row>
    <row r="930" spans="1:11" x14ac:dyDescent="0.25">
      <c r="A930" t="s">
        <v>4126</v>
      </c>
      <c r="B930" t="s">
        <v>2667</v>
      </c>
      <c r="C930" t="s">
        <v>3076</v>
      </c>
      <c r="D930" s="1">
        <v>46036.998356481483</v>
      </c>
      <c r="E930">
        <v>-500.56</v>
      </c>
      <c r="F930">
        <v>0</v>
      </c>
      <c r="G930">
        <v>-500.56</v>
      </c>
      <c r="H930" t="s">
        <v>19</v>
      </c>
      <c r="I930" t="s">
        <v>4127</v>
      </c>
      <c r="J930" t="s">
        <v>3036</v>
      </c>
      <c r="K930">
        <v>-500.56</v>
      </c>
    </row>
    <row r="931" spans="1:11" x14ac:dyDescent="0.25">
      <c r="A931" t="s">
        <v>4128</v>
      </c>
      <c r="B931" t="s">
        <v>2673</v>
      </c>
      <c r="C931" t="s">
        <v>3034</v>
      </c>
      <c r="D931" s="1">
        <v>46024.195636574077</v>
      </c>
      <c r="E931">
        <v>1823.75</v>
      </c>
      <c r="F931">
        <v>53.19</v>
      </c>
      <c r="G931">
        <v>1770.56</v>
      </c>
      <c r="H931" t="s">
        <v>25</v>
      </c>
      <c r="I931" t="s">
        <v>3918</v>
      </c>
      <c r="J931" t="s">
        <v>3036</v>
      </c>
      <c r="K931">
        <v>1823.75</v>
      </c>
    </row>
    <row r="932" spans="1:11" x14ac:dyDescent="0.25">
      <c r="A932" t="s">
        <v>4129</v>
      </c>
      <c r="B932" t="s">
        <v>2676</v>
      </c>
      <c r="C932" t="s">
        <v>3034</v>
      </c>
      <c r="D932" s="1">
        <v>46024.28875</v>
      </c>
      <c r="E932">
        <v>735.46</v>
      </c>
      <c r="F932">
        <v>21.63</v>
      </c>
      <c r="G932">
        <v>713.83</v>
      </c>
      <c r="H932" t="s">
        <v>25</v>
      </c>
      <c r="I932" t="s">
        <v>3890</v>
      </c>
      <c r="J932" t="s">
        <v>3036</v>
      </c>
      <c r="K932">
        <v>735.46</v>
      </c>
    </row>
    <row r="933" spans="1:11" x14ac:dyDescent="0.25">
      <c r="A933" t="s">
        <v>4130</v>
      </c>
      <c r="B933" t="s">
        <v>2679</v>
      </c>
      <c r="C933" t="s">
        <v>3034</v>
      </c>
      <c r="D933" s="1">
        <v>46025.385972222219</v>
      </c>
      <c r="E933">
        <v>2045.81</v>
      </c>
      <c r="F933">
        <v>59.63</v>
      </c>
      <c r="G933">
        <v>1986.18</v>
      </c>
      <c r="H933" t="s">
        <v>25</v>
      </c>
      <c r="I933" t="s">
        <v>3894</v>
      </c>
      <c r="J933" t="s">
        <v>3036</v>
      </c>
      <c r="K933">
        <v>2045.81</v>
      </c>
    </row>
    <row r="934" spans="1:11" x14ac:dyDescent="0.25">
      <c r="A934" t="s">
        <v>4131</v>
      </c>
      <c r="B934" t="s">
        <v>2682</v>
      </c>
      <c r="C934" t="s">
        <v>3034</v>
      </c>
      <c r="D934" s="1">
        <v>46026.459537037037</v>
      </c>
      <c r="E934">
        <v>1843.92</v>
      </c>
      <c r="F934">
        <v>53.77</v>
      </c>
      <c r="G934">
        <v>1790.15</v>
      </c>
      <c r="H934" t="s">
        <v>25</v>
      </c>
      <c r="I934" t="s">
        <v>4132</v>
      </c>
      <c r="J934" t="s">
        <v>3036</v>
      </c>
      <c r="K934">
        <v>1843.92</v>
      </c>
    </row>
    <row r="935" spans="1:11" x14ac:dyDescent="0.25">
      <c r="A935" t="s">
        <v>4133</v>
      </c>
      <c r="B935" t="s">
        <v>2688</v>
      </c>
      <c r="C935" t="s">
        <v>3034</v>
      </c>
      <c r="D935" s="1">
        <v>46028.640277777777</v>
      </c>
      <c r="E935">
        <v>993.25</v>
      </c>
      <c r="F935">
        <v>29.1</v>
      </c>
      <c r="G935">
        <v>964.15</v>
      </c>
      <c r="H935" t="s">
        <v>25</v>
      </c>
      <c r="I935" t="s">
        <v>3900</v>
      </c>
      <c r="J935" t="s">
        <v>3036</v>
      </c>
      <c r="K935">
        <v>993.25</v>
      </c>
    </row>
    <row r="936" spans="1:11" x14ac:dyDescent="0.25">
      <c r="A936" t="s">
        <v>4134</v>
      </c>
      <c r="B936" t="s">
        <v>2691</v>
      </c>
      <c r="C936" t="s">
        <v>3034</v>
      </c>
      <c r="D936" s="1">
        <v>46029.750162037039</v>
      </c>
      <c r="E936">
        <v>974.31</v>
      </c>
      <c r="F936">
        <v>28.55</v>
      </c>
      <c r="G936">
        <v>945.76</v>
      </c>
      <c r="H936" t="s">
        <v>25</v>
      </c>
      <c r="I936" t="s">
        <v>3902</v>
      </c>
      <c r="J936" t="s">
        <v>3036</v>
      </c>
      <c r="K936">
        <v>974.31</v>
      </c>
    </row>
    <row r="937" spans="1:11" x14ac:dyDescent="0.25">
      <c r="A937" t="s">
        <v>4135</v>
      </c>
      <c r="B937" t="s">
        <v>2694</v>
      </c>
      <c r="C937" t="s">
        <v>3034</v>
      </c>
      <c r="D937" s="1">
        <v>46030.826516203706</v>
      </c>
      <c r="E937">
        <v>511.71</v>
      </c>
      <c r="F937">
        <v>15.14</v>
      </c>
      <c r="G937">
        <v>496.57</v>
      </c>
      <c r="H937" t="s">
        <v>52</v>
      </c>
      <c r="I937" t="s">
        <v>3968</v>
      </c>
      <c r="J937" t="s">
        <v>3036</v>
      </c>
      <c r="K937">
        <v>511.71</v>
      </c>
    </row>
    <row r="938" spans="1:11" x14ac:dyDescent="0.25">
      <c r="A938" t="s">
        <v>4136</v>
      </c>
      <c r="B938" t="s">
        <v>2697</v>
      </c>
      <c r="C938" t="s">
        <v>3034</v>
      </c>
      <c r="D938" s="1">
        <v>46031.907337962963</v>
      </c>
      <c r="E938">
        <v>1864.24</v>
      </c>
      <c r="F938">
        <v>54.36</v>
      </c>
      <c r="G938">
        <v>1809.88</v>
      </c>
      <c r="H938" t="s">
        <v>19</v>
      </c>
      <c r="I938" t="s">
        <v>3970</v>
      </c>
      <c r="J938" t="s">
        <v>3036</v>
      </c>
      <c r="K938">
        <v>1864.24</v>
      </c>
    </row>
    <row r="939" spans="1:11" x14ac:dyDescent="0.25">
      <c r="A939" t="s">
        <v>4137</v>
      </c>
      <c r="B939" t="s">
        <v>2700</v>
      </c>
      <c r="C939" t="s">
        <v>3034</v>
      </c>
      <c r="D939" s="1">
        <v>46033.013692129629</v>
      </c>
      <c r="E939">
        <v>1935.98</v>
      </c>
      <c r="F939">
        <v>56.44</v>
      </c>
      <c r="G939">
        <v>1879.54</v>
      </c>
      <c r="H939" t="s">
        <v>25</v>
      </c>
      <c r="I939" t="s">
        <v>3932</v>
      </c>
      <c r="J939" t="s">
        <v>3036</v>
      </c>
      <c r="K939">
        <v>1935.98</v>
      </c>
    </row>
    <row r="940" spans="1:11" x14ac:dyDescent="0.25">
      <c r="A940" t="s">
        <v>4138</v>
      </c>
      <c r="B940" t="s">
        <v>2703</v>
      </c>
      <c r="C940" t="s">
        <v>3034</v>
      </c>
      <c r="D940" s="1">
        <v>46034.124490740738</v>
      </c>
      <c r="E940">
        <v>1808.05</v>
      </c>
      <c r="F940">
        <v>52.73</v>
      </c>
      <c r="G940">
        <v>1755.32</v>
      </c>
      <c r="H940" t="s">
        <v>25</v>
      </c>
      <c r="I940" t="s">
        <v>4139</v>
      </c>
      <c r="J940" t="s">
        <v>3036</v>
      </c>
      <c r="K940">
        <v>1808.05</v>
      </c>
    </row>
    <row r="941" spans="1:11" x14ac:dyDescent="0.25">
      <c r="A941" t="s">
        <v>4140</v>
      </c>
      <c r="B941" t="s">
        <v>2706</v>
      </c>
      <c r="C941" t="s">
        <v>3034</v>
      </c>
      <c r="D941" s="1">
        <v>46035.209328703706</v>
      </c>
      <c r="E941">
        <v>2447.9499999999998</v>
      </c>
      <c r="F941">
        <v>71.290000000000006</v>
      </c>
      <c r="G941">
        <v>2376.66</v>
      </c>
      <c r="H941" t="s">
        <v>25</v>
      </c>
      <c r="I941" t="s">
        <v>3912</v>
      </c>
      <c r="J941" t="s">
        <v>3036</v>
      </c>
      <c r="K941">
        <v>2447.9499999999998</v>
      </c>
    </row>
    <row r="942" spans="1:11" x14ac:dyDescent="0.25">
      <c r="A942" t="s">
        <v>4141</v>
      </c>
      <c r="B942" t="s">
        <v>2709</v>
      </c>
      <c r="C942" t="s">
        <v>3034</v>
      </c>
      <c r="D942" s="1">
        <v>46035.293530092589</v>
      </c>
      <c r="E942">
        <v>646.74</v>
      </c>
      <c r="F942">
        <v>19.059999999999999</v>
      </c>
      <c r="G942">
        <v>627.67999999999995</v>
      </c>
      <c r="H942" t="s">
        <v>25</v>
      </c>
      <c r="I942" t="s">
        <v>3914</v>
      </c>
      <c r="J942" t="s">
        <v>3036</v>
      </c>
      <c r="K942">
        <v>646.74</v>
      </c>
    </row>
    <row r="943" spans="1:11" x14ac:dyDescent="0.25">
      <c r="A943" t="s">
        <v>4142</v>
      </c>
      <c r="B943" t="s">
        <v>2712</v>
      </c>
      <c r="C943" t="s">
        <v>3034</v>
      </c>
      <c r="D943" s="1">
        <v>46036.381041666667</v>
      </c>
      <c r="E943">
        <v>1530.95</v>
      </c>
      <c r="F943">
        <v>44.7</v>
      </c>
      <c r="G943">
        <v>1486.25</v>
      </c>
      <c r="H943" t="s">
        <v>25</v>
      </c>
      <c r="I943" t="s">
        <v>3916</v>
      </c>
      <c r="J943" t="s">
        <v>3036</v>
      </c>
      <c r="K943">
        <v>1530.95</v>
      </c>
    </row>
    <row r="944" spans="1:11" x14ac:dyDescent="0.25">
      <c r="A944" t="s">
        <v>4143</v>
      </c>
      <c r="B944" t="s">
        <v>2715</v>
      </c>
      <c r="C944" t="s">
        <v>3034</v>
      </c>
      <c r="D944" s="1">
        <v>46023.486527777779</v>
      </c>
      <c r="E944">
        <v>373.69</v>
      </c>
      <c r="F944">
        <v>11.14</v>
      </c>
      <c r="G944">
        <v>362.55</v>
      </c>
      <c r="H944" t="s">
        <v>25</v>
      </c>
      <c r="I944" t="s">
        <v>3918</v>
      </c>
      <c r="J944" t="s">
        <v>3036</v>
      </c>
      <c r="K944">
        <v>373.69</v>
      </c>
    </row>
    <row r="945" spans="1:11" x14ac:dyDescent="0.25">
      <c r="A945" t="s">
        <v>4144</v>
      </c>
      <c r="B945" t="s">
        <v>2718</v>
      </c>
      <c r="C945" t="s">
        <v>3034</v>
      </c>
      <c r="D945" s="1">
        <v>46024.54241898148</v>
      </c>
      <c r="E945">
        <v>2370.52</v>
      </c>
      <c r="F945">
        <v>69.05</v>
      </c>
      <c r="G945">
        <v>2301.4699999999998</v>
      </c>
      <c r="H945" t="s">
        <v>25</v>
      </c>
      <c r="I945" t="s">
        <v>3890</v>
      </c>
      <c r="J945" t="s">
        <v>3036</v>
      </c>
      <c r="K945">
        <v>2370.52</v>
      </c>
    </row>
    <row r="946" spans="1:11" x14ac:dyDescent="0.25">
      <c r="A946" t="s">
        <v>4145</v>
      </c>
      <c r="B946" t="s">
        <v>2718</v>
      </c>
      <c r="C946" t="s">
        <v>3076</v>
      </c>
      <c r="D946" s="1">
        <v>46025.535474537035</v>
      </c>
      <c r="E946">
        <v>-2370.52</v>
      </c>
      <c r="F946">
        <v>0</v>
      </c>
      <c r="G946">
        <v>-2370.52</v>
      </c>
      <c r="H946" t="s">
        <v>25</v>
      </c>
      <c r="I946" t="s">
        <v>4146</v>
      </c>
      <c r="J946" t="s">
        <v>3036</v>
      </c>
      <c r="K946">
        <v>-2370.52</v>
      </c>
    </row>
    <row r="947" spans="1:11" x14ac:dyDescent="0.25">
      <c r="A947" t="s">
        <v>4147</v>
      </c>
      <c r="B947" t="s">
        <v>2721</v>
      </c>
      <c r="C947" t="s">
        <v>3034</v>
      </c>
      <c r="D947" s="1">
        <v>46025.674629629626</v>
      </c>
      <c r="E947">
        <v>1460.54</v>
      </c>
      <c r="F947">
        <v>42.66</v>
      </c>
      <c r="G947">
        <v>1417.88</v>
      </c>
      <c r="H947" t="s">
        <v>25</v>
      </c>
      <c r="I947" t="s">
        <v>3894</v>
      </c>
      <c r="J947" t="s">
        <v>3036</v>
      </c>
      <c r="K947">
        <v>1460.54</v>
      </c>
    </row>
    <row r="948" spans="1:11" x14ac:dyDescent="0.25">
      <c r="A948" t="s">
        <v>4148</v>
      </c>
      <c r="B948" t="s">
        <v>2724</v>
      </c>
      <c r="C948" t="s">
        <v>3034</v>
      </c>
      <c r="D948" s="1">
        <v>46026.741238425922</v>
      </c>
      <c r="E948">
        <v>1267.3399999999999</v>
      </c>
      <c r="F948">
        <v>37.049999999999997</v>
      </c>
      <c r="G948">
        <v>1230.29</v>
      </c>
      <c r="H948" t="s">
        <v>52</v>
      </c>
      <c r="I948" t="s">
        <v>3984</v>
      </c>
      <c r="J948" t="s">
        <v>3036</v>
      </c>
      <c r="K948">
        <v>1267.3399999999999</v>
      </c>
    </row>
    <row r="949" spans="1:11" x14ac:dyDescent="0.25">
      <c r="A949" t="s">
        <v>4149</v>
      </c>
      <c r="B949" t="s">
        <v>2727</v>
      </c>
      <c r="C949" t="s">
        <v>3034</v>
      </c>
      <c r="D949" s="1">
        <v>46027.818692129629</v>
      </c>
      <c r="E949">
        <v>2112.7199999999998</v>
      </c>
      <c r="F949">
        <v>61.57</v>
      </c>
      <c r="G949">
        <v>2051.15</v>
      </c>
      <c r="H949" t="s">
        <v>19</v>
      </c>
      <c r="I949" t="s">
        <v>3986</v>
      </c>
      <c r="J949" t="s">
        <v>3036</v>
      </c>
      <c r="K949">
        <v>2112.7199999999998</v>
      </c>
    </row>
    <row r="950" spans="1:11" x14ac:dyDescent="0.25">
      <c r="A950" t="s">
        <v>4150</v>
      </c>
      <c r="B950" t="s">
        <v>2730</v>
      </c>
      <c r="C950" t="s">
        <v>3034</v>
      </c>
      <c r="D950" s="1">
        <v>46028.919594907406</v>
      </c>
      <c r="E950">
        <v>699.68</v>
      </c>
      <c r="F950">
        <v>20.59</v>
      </c>
      <c r="G950">
        <v>679.09</v>
      </c>
      <c r="H950" t="s">
        <v>25</v>
      </c>
      <c r="I950" t="s">
        <v>3900</v>
      </c>
      <c r="J950" t="s">
        <v>3036</v>
      </c>
      <c r="K950">
        <v>699.68</v>
      </c>
    </row>
    <row r="951" spans="1:11" x14ac:dyDescent="0.25">
      <c r="A951" t="s">
        <v>4150</v>
      </c>
      <c r="B951" t="s">
        <v>2730</v>
      </c>
      <c r="C951" t="s">
        <v>3034</v>
      </c>
      <c r="D951" s="1">
        <v>46028.919594907406</v>
      </c>
      <c r="E951">
        <v>699.68</v>
      </c>
      <c r="F951">
        <v>20.59</v>
      </c>
      <c r="G951">
        <v>679.09</v>
      </c>
      <c r="H951" t="s">
        <v>25</v>
      </c>
      <c r="I951" t="s">
        <v>3900</v>
      </c>
      <c r="J951" t="s">
        <v>3036</v>
      </c>
      <c r="K951">
        <v>699.68</v>
      </c>
    </row>
    <row r="952" spans="1:11" x14ac:dyDescent="0.25">
      <c r="A952" t="s">
        <v>4151</v>
      </c>
      <c r="B952" t="s">
        <v>2733</v>
      </c>
      <c r="C952" t="s">
        <v>3034</v>
      </c>
      <c r="D952" s="1">
        <v>46030.0234837963</v>
      </c>
      <c r="E952">
        <v>1213.06</v>
      </c>
      <c r="F952">
        <v>35.479999999999997</v>
      </c>
      <c r="G952">
        <v>1177.58</v>
      </c>
      <c r="H952" t="s">
        <v>25</v>
      </c>
      <c r="I952" t="s">
        <v>3902</v>
      </c>
      <c r="J952" t="s">
        <v>3036</v>
      </c>
      <c r="K952">
        <v>1213.06</v>
      </c>
    </row>
    <row r="953" spans="1:11" x14ac:dyDescent="0.25">
      <c r="A953" t="s">
        <v>4152</v>
      </c>
      <c r="B953" t="s">
        <v>2736</v>
      </c>
      <c r="C953" t="s">
        <v>3034</v>
      </c>
      <c r="D953" s="1">
        <v>46031.096250000002</v>
      </c>
      <c r="E953">
        <v>1255.8</v>
      </c>
      <c r="F953">
        <v>36.72</v>
      </c>
      <c r="G953">
        <v>1219.08</v>
      </c>
      <c r="H953" t="s">
        <v>25</v>
      </c>
      <c r="I953" t="s">
        <v>3904</v>
      </c>
      <c r="J953" t="s">
        <v>3036</v>
      </c>
      <c r="K953">
        <v>1255.8</v>
      </c>
    </row>
    <row r="954" spans="1:11" x14ac:dyDescent="0.25">
      <c r="A954" t="s">
        <v>4153</v>
      </c>
      <c r="B954" t="s">
        <v>2739</v>
      </c>
      <c r="C954" t="s">
        <v>3034</v>
      </c>
      <c r="D954" s="1">
        <v>46032.185208333336</v>
      </c>
      <c r="E954">
        <v>1351.66</v>
      </c>
      <c r="F954">
        <v>39.5</v>
      </c>
      <c r="G954">
        <v>1312.16</v>
      </c>
      <c r="H954" t="s">
        <v>25</v>
      </c>
      <c r="I954" t="s">
        <v>3930</v>
      </c>
      <c r="J954" t="s">
        <v>3036</v>
      </c>
      <c r="K954">
        <v>1351.66</v>
      </c>
    </row>
    <row r="955" spans="1:11" x14ac:dyDescent="0.25">
      <c r="A955" t="s">
        <v>4154</v>
      </c>
      <c r="B955" t="s">
        <v>2742</v>
      </c>
      <c r="C955" t="s">
        <v>3034</v>
      </c>
      <c r="D955" s="1">
        <v>46032.288877314815</v>
      </c>
      <c r="E955">
        <v>1863.47</v>
      </c>
      <c r="F955">
        <v>54.34</v>
      </c>
      <c r="G955">
        <v>1809.13</v>
      </c>
      <c r="H955" t="s">
        <v>25</v>
      </c>
      <c r="I955" t="s">
        <v>3932</v>
      </c>
      <c r="J955" t="s">
        <v>3036</v>
      </c>
      <c r="K955">
        <v>1863.47</v>
      </c>
    </row>
    <row r="956" spans="1:11" x14ac:dyDescent="0.25">
      <c r="A956" t="s">
        <v>4155</v>
      </c>
      <c r="B956" t="s">
        <v>2745</v>
      </c>
      <c r="C956" t="s">
        <v>3034</v>
      </c>
      <c r="D956" s="1">
        <v>46033.401932870373</v>
      </c>
      <c r="E956">
        <v>998.64</v>
      </c>
      <c r="F956">
        <v>29.26</v>
      </c>
      <c r="G956">
        <v>969.38</v>
      </c>
      <c r="H956" t="s">
        <v>25</v>
      </c>
      <c r="I956" t="s">
        <v>3934</v>
      </c>
      <c r="J956" t="s">
        <v>3036</v>
      </c>
      <c r="K956">
        <v>998.64</v>
      </c>
    </row>
    <row r="957" spans="1:11" x14ac:dyDescent="0.25">
      <c r="A957" t="s">
        <v>4156</v>
      </c>
      <c r="B957" t="s">
        <v>2748</v>
      </c>
      <c r="C957" t="s">
        <v>3034</v>
      </c>
      <c r="D957" s="1">
        <v>46034.497152777774</v>
      </c>
      <c r="E957">
        <v>2177.5500000000002</v>
      </c>
      <c r="F957">
        <v>63.45</v>
      </c>
      <c r="G957">
        <v>2114.1</v>
      </c>
      <c r="H957" t="s">
        <v>25</v>
      </c>
      <c r="I957" t="s">
        <v>3912</v>
      </c>
      <c r="J957" t="s">
        <v>3036</v>
      </c>
      <c r="K957">
        <v>2177.5500000000002</v>
      </c>
    </row>
    <row r="958" spans="1:11" x14ac:dyDescent="0.25">
      <c r="A958" t="s">
        <v>4157</v>
      </c>
      <c r="B958" t="s">
        <v>2751</v>
      </c>
      <c r="C958" t="s">
        <v>3034</v>
      </c>
      <c r="D958" s="1">
        <v>46035.585972222223</v>
      </c>
      <c r="E958">
        <v>1129.57</v>
      </c>
      <c r="F958">
        <v>33.06</v>
      </c>
      <c r="G958">
        <v>1096.51</v>
      </c>
      <c r="H958" t="s">
        <v>25</v>
      </c>
      <c r="I958" t="s">
        <v>3914</v>
      </c>
      <c r="J958" t="s">
        <v>3036</v>
      </c>
      <c r="K958">
        <v>1129.57</v>
      </c>
    </row>
    <row r="959" spans="1:11" x14ac:dyDescent="0.25">
      <c r="A959" t="s">
        <v>4158</v>
      </c>
      <c r="B959" t="s">
        <v>2754</v>
      </c>
      <c r="C959" t="s">
        <v>3034</v>
      </c>
      <c r="D959" s="1">
        <v>46036.666585648149</v>
      </c>
      <c r="E959">
        <v>862.82</v>
      </c>
      <c r="F959">
        <v>25.32</v>
      </c>
      <c r="G959">
        <v>837.5</v>
      </c>
      <c r="H959" t="s">
        <v>52</v>
      </c>
      <c r="I959" t="s">
        <v>3998</v>
      </c>
      <c r="J959" t="s">
        <v>3036</v>
      </c>
      <c r="K959">
        <v>862.82</v>
      </c>
    </row>
    <row r="960" spans="1:11" x14ac:dyDescent="0.25">
      <c r="A960" t="s">
        <v>4159</v>
      </c>
      <c r="B960" t="s">
        <v>2757</v>
      </c>
      <c r="C960" t="s">
        <v>3034</v>
      </c>
      <c r="D960" s="1">
        <v>46023.758842592593</v>
      </c>
      <c r="E960">
        <v>796.22</v>
      </c>
      <c r="F960">
        <v>23.39</v>
      </c>
      <c r="G960">
        <v>772.83</v>
      </c>
      <c r="H960" t="s">
        <v>19</v>
      </c>
      <c r="I960" t="s">
        <v>3888</v>
      </c>
      <c r="J960" t="s">
        <v>3036</v>
      </c>
      <c r="K960">
        <v>796.22</v>
      </c>
    </row>
    <row r="961" spans="1:11" x14ac:dyDescent="0.25">
      <c r="A961" t="s">
        <v>4160</v>
      </c>
      <c r="B961" t="s">
        <v>2760</v>
      </c>
      <c r="C961" t="s">
        <v>3034</v>
      </c>
      <c r="D961" s="1">
        <v>46024.830335648148</v>
      </c>
      <c r="E961">
        <v>664.89</v>
      </c>
      <c r="F961">
        <v>19.579999999999998</v>
      </c>
      <c r="G961">
        <v>645.30999999999995</v>
      </c>
      <c r="H961" t="s">
        <v>25</v>
      </c>
      <c r="I961" t="s">
        <v>3890</v>
      </c>
      <c r="J961" t="s">
        <v>3036</v>
      </c>
      <c r="K961">
        <v>664.89</v>
      </c>
    </row>
    <row r="962" spans="1:11" x14ac:dyDescent="0.25">
      <c r="A962" t="s">
        <v>4161</v>
      </c>
      <c r="B962" t="s">
        <v>2760</v>
      </c>
      <c r="C962" t="s">
        <v>3076</v>
      </c>
      <c r="D962" s="1">
        <v>46025.823391203703</v>
      </c>
      <c r="E962">
        <v>-332.45</v>
      </c>
      <c r="F962">
        <v>0</v>
      </c>
      <c r="G962">
        <v>-332.45</v>
      </c>
      <c r="H962" t="s">
        <v>25</v>
      </c>
      <c r="I962" t="s">
        <v>4162</v>
      </c>
      <c r="J962" t="s">
        <v>3036</v>
      </c>
      <c r="K962">
        <v>-332.45</v>
      </c>
    </row>
    <row r="963" spans="1:11" x14ac:dyDescent="0.25">
      <c r="A963" t="s">
        <v>4163</v>
      </c>
      <c r="B963" t="s">
        <v>2763</v>
      </c>
      <c r="C963" t="s">
        <v>3034</v>
      </c>
      <c r="D963" s="1">
        <v>46025.943819444445</v>
      </c>
      <c r="E963">
        <v>2126.34</v>
      </c>
      <c r="F963">
        <v>61.96</v>
      </c>
      <c r="G963">
        <v>2064.38</v>
      </c>
      <c r="H963" t="s">
        <v>25</v>
      </c>
      <c r="I963" t="s">
        <v>3894</v>
      </c>
      <c r="J963" t="s">
        <v>3036</v>
      </c>
      <c r="K963">
        <v>2126.34</v>
      </c>
    </row>
    <row r="964" spans="1:11" x14ac:dyDescent="0.25">
      <c r="A964" t="s">
        <v>4164</v>
      </c>
      <c r="B964" t="s">
        <v>2766</v>
      </c>
      <c r="C964" t="s">
        <v>3034</v>
      </c>
      <c r="D964" s="1">
        <v>46027.03019675926</v>
      </c>
      <c r="E964">
        <v>192.78</v>
      </c>
      <c r="F964">
        <v>5.89</v>
      </c>
      <c r="G964">
        <v>186.89</v>
      </c>
      <c r="H964" t="s">
        <v>25</v>
      </c>
      <c r="I964" t="s">
        <v>3896</v>
      </c>
      <c r="J964" t="s">
        <v>3036</v>
      </c>
      <c r="K964">
        <v>192.78</v>
      </c>
    </row>
    <row r="965" spans="1:11" x14ac:dyDescent="0.25">
      <c r="A965" t="s">
        <v>4165</v>
      </c>
      <c r="B965" t="s">
        <v>2769</v>
      </c>
      <c r="C965" t="s">
        <v>3034</v>
      </c>
      <c r="D965" s="1">
        <v>46028.107071759259</v>
      </c>
      <c r="E965">
        <v>1999.24</v>
      </c>
      <c r="F965">
        <v>58.28</v>
      </c>
      <c r="G965">
        <v>1940.96</v>
      </c>
      <c r="H965" t="s">
        <v>25</v>
      </c>
      <c r="I965" t="s">
        <v>3923</v>
      </c>
      <c r="J965" t="s">
        <v>3036</v>
      </c>
      <c r="K965">
        <v>1999.24</v>
      </c>
    </row>
    <row r="966" spans="1:11" x14ac:dyDescent="0.25">
      <c r="A966" t="s">
        <v>4166</v>
      </c>
      <c r="B966" t="s">
        <v>2772</v>
      </c>
      <c r="C966" t="s">
        <v>3034</v>
      </c>
      <c r="D966" s="1">
        <v>46029.204328703701</v>
      </c>
      <c r="E966">
        <v>720.22</v>
      </c>
      <c r="F966">
        <v>21.19</v>
      </c>
      <c r="G966">
        <v>699.03</v>
      </c>
      <c r="H966" t="s">
        <v>25</v>
      </c>
      <c r="I966" t="s">
        <v>3900</v>
      </c>
      <c r="J966" t="s">
        <v>3036</v>
      </c>
      <c r="K966">
        <v>720.22</v>
      </c>
    </row>
    <row r="967" spans="1:11" x14ac:dyDescent="0.25">
      <c r="A967" t="s">
        <v>4167</v>
      </c>
      <c r="B967" t="s">
        <v>2775</v>
      </c>
      <c r="C967" t="s">
        <v>3034</v>
      </c>
      <c r="D967" s="1">
        <v>46029.325069444443</v>
      </c>
      <c r="E967">
        <v>1380.99</v>
      </c>
      <c r="F967">
        <v>40.35</v>
      </c>
      <c r="G967">
        <v>1340.64</v>
      </c>
      <c r="H967" t="s">
        <v>25</v>
      </c>
      <c r="I967" t="s">
        <v>3902</v>
      </c>
      <c r="J967" t="s">
        <v>3036</v>
      </c>
      <c r="K967">
        <v>1380.99</v>
      </c>
    </row>
    <row r="968" spans="1:11" x14ac:dyDescent="0.25">
      <c r="A968" t="s">
        <v>4168</v>
      </c>
      <c r="B968" t="s">
        <v>2778</v>
      </c>
      <c r="C968" t="s">
        <v>3034</v>
      </c>
      <c r="D968" s="1">
        <v>46030.388182870367</v>
      </c>
      <c r="E968">
        <v>1523.19</v>
      </c>
      <c r="F968">
        <v>44.47</v>
      </c>
      <c r="G968">
        <v>1478.72</v>
      </c>
      <c r="H968" t="s">
        <v>25</v>
      </c>
      <c r="I968" t="s">
        <v>3904</v>
      </c>
      <c r="J968" t="s">
        <v>3036</v>
      </c>
      <c r="K968">
        <v>1523.19</v>
      </c>
    </row>
    <row r="969" spans="1:11" x14ac:dyDescent="0.25">
      <c r="A969" t="s">
        <v>4169</v>
      </c>
      <c r="B969" t="s">
        <v>2781</v>
      </c>
      <c r="C969" t="s">
        <v>3034</v>
      </c>
      <c r="D969" s="1">
        <v>46031.496932870374</v>
      </c>
      <c r="E969">
        <v>2028.85</v>
      </c>
      <c r="F969">
        <v>59.14</v>
      </c>
      <c r="G969">
        <v>1969.71</v>
      </c>
      <c r="H969" t="s">
        <v>25</v>
      </c>
      <c r="I969" t="s">
        <v>3930</v>
      </c>
      <c r="J969" t="s">
        <v>3036</v>
      </c>
      <c r="K969">
        <v>2028.85</v>
      </c>
    </row>
    <row r="970" spans="1:11" x14ac:dyDescent="0.25">
      <c r="A970" t="s">
        <v>4170</v>
      </c>
      <c r="B970" t="s">
        <v>2784</v>
      </c>
      <c r="C970" t="s">
        <v>3034</v>
      </c>
      <c r="D970" s="1">
        <v>46032.590925925928</v>
      </c>
      <c r="E970">
        <v>1344.26</v>
      </c>
      <c r="F970">
        <v>39.28</v>
      </c>
      <c r="G970">
        <v>1304.98</v>
      </c>
      <c r="H970" t="s">
        <v>52</v>
      </c>
      <c r="I970" t="s">
        <v>4171</v>
      </c>
      <c r="J970" t="s">
        <v>3036</v>
      </c>
      <c r="K970">
        <v>1344.26</v>
      </c>
    </row>
    <row r="971" spans="1:11" x14ac:dyDescent="0.25">
      <c r="A971" t="s">
        <v>4172</v>
      </c>
      <c r="B971" t="s">
        <v>2787</v>
      </c>
      <c r="C971" t="s">
        <v>3034</v>
      </c>
      <c r="D971" s="1">
        <v>46033.679502314815</v>
      </c>
      <c r="E971">
        <v>1562.2</v>
      </c>
      <c r="F971">
        <v>45.6</v>
      </c>
      <c r="G971">
        <v>1516.6</v>
      </c>
      <c r="H971" t="s">
        <v>19</v>
      </c>
      <c r="I971" t="s">
        <v>3910</v>
      </c>
      <c r="J971" t="s">
        <v>3036</v>
      </c>
      <c r="K971">
        <v>1562.2</v>
      </c>
    </row>
    <row r="972" spans="1:11" x14ac:dyDescent="0.25">
      <c r="A972" t="s">
        <v>4173</v>
      </c>
      <c r="B972" t="s">
        <v>2790</v>
      </c>
      <c r="C972" t="s">
        <v>3034</v>
      </c>
      <c r="D972" s="1">
        <v>46034.768993055557</v>
      </c>
      <c r="E972">
        <v>1660.32</v>
      </c>
      <c r="F972">
        <v>48.45</v>
      </c>
      <c r="G972">
        <v>1611.87</v>
      </c>
      <c r="H972" t="s">
        <v>25</v>
      </c>
      <c r="I972" t="s">
        <v>3912</v>
      </c>
      <c r="J972" t="s">
        <v>3036</v>
      </c>
      <c r="K972">
        <v>1660.32</v>
      </c>
    </row>
    <row r="973" spans="1:11" x14ac:dyDescent="0.25">
      <c r="A973" t="s">
        <v>4174</v>
      </c>
      <c r="B973" t="s">
        <v>2793</v>
      </c>
      <c r="C973" t="s">
        <v>3034</v>
      </c>
      <c r="D973" s="1">
        <v>46035.860925925925</v>
      </c>
      <c r="E973">
        <v>2303.59</v>
      </c>
      <c r="F973">
        <v>67.099999999999994</v>
      </c>
      <c r="G973">
        <v>2236.4899999999998</v>
      </c>
      <c r="H973" t="s">
        <v>25</v>
      </c>
      <c r="I973" t="s">
        <v>3914</v>
      </c>
      <c r="J973" t="s">
        <v>3036</v>
      </c>
      <c r="K973">
        <v>2303.59</v>
      </c>
    </row>
    <row r="974" spans="1:11" x14ac:dyDescent="0.25">
      <c r="A974" t="s">
        <v>4175</v>
      </c>
      <c r="B974" t="s">
        <v>2796</v>
      </c>
      <c r="C974" t="s">
        <v>3034</v>
      </c>
      <c r="D974" s="1">
        <v>46036.950208333335</v>
      </c>
      <c r="E974">
        <v>692.78</v>
      </c>
      <c r="F974">
        <v>20.39</v>
      </c>
      <c r="G974">
        <v>672.39</v>
      </c>
      <c r="H974" t="s">
        <v>25</v>
      </c>
      <c r="I974" t="s">
        <v>3916</v>
      </c>
      <c r="J974" t="s">
        <v>3036</v>
      </c>
      <c r="K974">
        <v>692.78</v>
      </c>
    </row>
    <row r="975" spans="1:11" x14ac:dyDescent="0.25">
      <c r="A975" t="s">
        <v>4176</v>
      </c>
      <c r="B975" t="s">
        <v>2799</v>
      </c>
      <c r="C975" t="s">
        <v>3034</v>
      </c>
      <c r="D975" s="1">
        <v>46024.020810185182</v>
      </c>
      <c r="E975">
        <v>1412.34</v>
      </c>
      <c r="F975">
        <v>41.26</v>
      </c>
      <c r="G975">
        <v>1371.08</v>
      </c>
      <c r="H975" t="s">
        <v>25</v>
      </c>
      <c r="I975" t="s">
        <v>3918</v>
      </c>
      <c r="J975" t="s">
        <v>3036</v>
      </c>
      <c r="K975">
        <v>1412.34</v>
      </c>
    </row>
    <row r="976" spans="1:11" x14ac:dyDescent="0.25">
      <c r="A976" t="s">
        <v>4177</v>
      </c>
      <c r="B976" t="s">
        <v>2802</v>
      </c>
      <c r="C976" t="s">
        <v>3034</v>
      </c>
      <c r="D976" s="1">
        <v>46025.131643518522</v>
      </c>
      <c r="E976">
        <v>1743.14</v>
      </c>
      <c r="F976">
        <v>50.85</v>
      </c>
      <c r="G976">
        <v>1692.29</v>
      </c>
      <c r="H976" t="s">
        <v>25</v>
      </c>
      <c r="I976" t="s">
        <v>4178</v>
      </c>
      <c r="J976" t="s">
        <v>3036</v>
      </c>
      <c r="K976">
        <v>1743.14</v>
      </c>
    </row>
    <row r="977" spans="1:11" x14ac:dyDescent="0.25">
      <c r="A977" t="s">
        <v>4179</v>
      </c>
      <c r="B977" t="s">
        <v>2805</v>
      </c>
      <c r="C977" t="s">
        <v>3034</v>
      </c>
      <c r="D977" s="1">
        <v>46026.225486111114</v>
      </c>
      <c r="E977">
        <v>898.59</v>
      </c>
      <c r="F977">
        <v>26.36</v>
      </c>
      <c r="G977">
        <v>872.23</v>
      </c>
      <c r="H977" t="s">
        <v>25</v>
      </c>
      <c r="I977" t="s">
        <v>3894</v>
      </c>
      <c r="J977" t="s">
        <v>3036</v>
      </c>
      <c r="K977">
        <v>898.59</v>
      </c>
    </row>
    <row r="978" spans="1:11" x14ac:dyDescent="0.25">
      <c r="A978" t="s">
        <v>4180</v>
      </c>
      <c r="B978" t="s">
        <v>2808</v>
      </c>
      <c r="C978" t="s">
        <v>3034</v>
      </c>
      <c r="D978" s="1">
        <v>46026.312210648146</v>
      </c>
      <c r="E978">
        <v>1025.76</v>
      </c>
      <c r="F978">
        <v>30.42</v>
      </c>
      <c r="G978">
        <v>995.34</v>
      </c>
      <c r="H978" t="s">
        <v>25</v>
      </c>
      <c r="I978" t="s">
        <v>3896</v>
      </c>
      <c r="J978" t="s">
        <v>3036</v>
      </c>
      <c r="K978">
        <v>1025.76</v>
      </c>
    </row>
    <row r="979" spans="1:11" x14ac:dyDescent="0.25">
      <c r="A979" t="s">
        <v>4181</v>
      </c>
      <c r="B979" t="s">
        <v>2811</v>
      </c>
      <c r="C979" t="s">
        <v>3034</v>
      </c>
      <c r="D979" s="1">
        <v>46027.404027777775</v>
      </c>
      <c r="E979">
        <v>701.47</v>
      </c>
      <c r="F979">
        <v>20.64</v>
      </c>
      <c r="G979">
        <v>680.83</v>
      </c>
      <c r="H979" t="s">
        <v>25</v>
      </c>
      <c r="I979" t="s">
        <v>3923</v>
      </c>
      <c r="J979" t="s">
        <v>3036</v>
      </c>
      <c r="K979">
        <v>701.47</v>
      </c>
    </row>
    <row r="980" spans="1:11" x14ac:dyDescent="0.25">
      <c r="A980" t="s">
        <v>4182</v>
      </c>
      <c r="B980" t="s">
        <v>2811</v>
      </c>
      <c r="C980" t="s">
        <v>3076</v>
      </c>
      <c r="D980" s="1">
        <v>46028.397083333337</v>
      </c>
      <c r="E980">
        <v>-701.47</v>
      </c>
      <c r="F980">
        <v>0</v>
      </c>
      <c r="G980">
        <v>-701.47</v>
      </c>
      <c r="H980" t="s">
        <v>25</v>
      </c>
      <c r="I980" t="s">
        <v>4183</v>
      </c>
      <c r="J980" t="s">
        <v>3036</v>
      </c>
      <c r="K980">
        <v>-701.47</v>
      </c>
    </row>
    <row r="981" spans="1:11" x14ac:dyDescent="0.25">
      <c r="A981" t="s">
        <v>4184</v>
      </c>
      <c r="B981" t="s">
        <v>2814</v>
      </c>
      <c r="C981" t="s">
        <v>3034</v>
      </c>
      <c r="D981" s="1">
        <v>46028.509791666664</v>
      </c>
      <c r="E981">
        <v>1223</v>
      </c>
      <c r="F981">
        <v>35.770000000000003</v>
      </c>
      <c r="G981">
        <v>1187.23</v>
      </c>
      <c r="H981" t="s">
        <v>52</v>
      </c>
      <c r="I981" t="s">
        <v>3925</v>
      </c>
      <c r="J981" t="s">
        <v>3036</v>
      </c>
      <c r="K981">
        <v>1223</v>
      </c>
    </row>
    <row r="982" spans="1:11" x14ac:dyDescent="0.25">
      <c r="A982" t="s">
        <v>4185</v>
      </c>
      <c r="B982" t="s">
        <v>2817</v>
      </c>
      <c r="C982" t="s">
        <v>3034</v>
      </c>
      <c r="D982" s="1">
        <v>46029.591435185182</v>
      </c>
      <c r="E982">
        <v>673.63</v>
      </c>
      <c r="F982">
        <v>19.84</v>
      </c>
      <c r="G982">
        <v>653.79</v>
      </c>
      <c r="H982" t="s">
        <v>19</v>
      </c>
      <c r="I982" t="s">
        <v>3927</v>
      </c>
      <c r="J982" t="s">
        <v>3036</v>
      </c>
      <c r="K982">
        <v>673.63</v>
      </c>
    </row>
    <row r="983" spans="1:11" x14ac:dyDescent="0.25">
      <c r="A983" t="s">
        <v>4186</v>
      </c>
      <c r="B983" t="s">
        <v>2820</v>
      </c>
      <c r="C983" t="s">
        <v>3034</v>
      </c>
      <c r="D983" s="1">
        <v>46030.690081018518</v>
      </c>
      <c r="E983">
        <v>1154.96</v>
      </c>
      <c r="F983">
        <v>33.79</v>
      </c>
      <c r="G983">
        <v>1121.17</v>
      </c>
      <c r="H983" t="s">
        <v>25</v>
      </c>
      <c r="I983" t="s">
        <v>3904</v>
      </c>
      <c r="J983" t="s">
        <v>3036</v>
      </c>
      <c r="K983">
        <v>1154.96</v>
      </c>
    </row>
    <row r="984" spans="1:11" x14ac:dyDescent="0.25">
      <c r="A984" t="s">
        <v>4187</v>
      </c>
      <c r="B984" t="s">
        <v>2823</v>
      </c>
      <c r="C984" t="s">
        <v>3034</v>
      </c>
      <c r="D984" s="1">
        <v>46031.781828703701</v>
      </c>
      <c r="E984">
        <v>221.56</v>
      </c>
      <c r="F984">
        <v>6.73</v>
      </c>
      <c r="G984">
        <v>214.83</v>
      </c>
      <c r="H984" t="s">
        <v>25</v>
      </c>
      <c r="I984" t="s">
        <v>3930</v>
      </c>
      <c r="J984" t="s">
        <v>3036</v>
      </c>
      <c r="K984">
        <v>221.56</v>
      </c>
    </row>
    <row r="985" spans="1:11" x14ac:dyDescent="0.25">
      <c r="A985" t="s">
        <v>4188</v>
      </c>
      <c r="B985" t="s">
        <v>2826</v>
      </c>
      <c r="C985" t="s">
        <v>3034</v>
      </c>
      <c r="D985" s="1">
        <v>46032.872939814813</v>
      </c>
      <c r="E985">
        <v>311.74</v>
      </c>
      <c r="F985">
        <v>9.34</v>
      </c>
      <c r="G985">
        <v>302.39999999999998</v>
      </c>
      <c r="H985" t="s">
        <v>25</v>
      </c>
      <c r="I985" t="s">
        <v>3932</v>
      </c>
      <c r="J985" t="s">
        <v>3036</v>
      </c>
      <c r="K985">
        <v>311.74</v>
      </c>
    </row>
    <row r="986" spans="1:11" x14ac:dyDescent="0.25">
      <c r="A986" t="s">
        <v>4189</v>
      </c>
      <c r="B986" t="s">
        <v>2829</v>
      </c>
      <c r="C986" t="s">
        <v>3034</v>
      </c>
      <c r="D986" s="1">
        <v>46033.966898148145</v>
      </c>
      <c r="E986">
        <v>329.74</v>
      </c>
      <c r="F986">
        <v>9.86</v>
      </c>
      <c r="G986">
        <v>319.88</v>
      </c>
      <c r="H986" t="s">
        <v>25</v>
      </c>
      <c r="I986" t="s">
        <v>3934</v>
      </c>
      <c r="J986" t="s">
        <v>3036</v>
      </c>
      <c r="K986">
        <v>329.74</v>
      </c>
    </row>
    <row r="987" spans="1:11" x14ac:dyDescent="0.25">
      <c r="A987" t="s">
        <v>4190</v>
      </c>
      <c r="B987" t="s">
        <v>2832</v>
      </c>
      <c r="C987" t="s">
        <v>3034</v>
      </c>
      <c r="D987" s="1">
        <v>46035.049490740741</v>
      </c>
      <c r="E987">
        <v>769.31</v>
      </c>
      <c r="F987">
        <v>22.61</v>
      </c>
      <c r="G987">
        <v>746.7</v>
      </c>
      <c r="H987" t="s">
        <v>25</v>
      </c>
      <c r="I987" t="s">
        <v>3912</v>
      </c>
      <c r="J987" t="s">
        <v>3036</v>
      </c>
      <c r="K987">
        <v>769.31</v>
      </c>
    </row>
    <row r="988" spans="1:11" x14ac:dyDescent="0.25">
      <c r="A988" t="s">
        <v>4191</v>
      </c>
      <c r="B988" t="s">
        <v>2835</v>
      </c>
      <c r="C988" t="s">
        <v>3034</v>
      </c>
      <c r="D988" s="1">
        <v>46036.134710648148</v>
      </c>
      <c r="E988">
        <v>1694.21</v>
      </c>
      <c r="F988">
        <v>49.43</v>
      </c>
      <c r="G988">
        <v>1644.78</v>
      </c>
      <c r="H988" t="s">
        <v>25</v>
      </c>
      <c r="I988" t="s">
        <v>3914</v>
      </c>
      <c r="J988" t="s">
        <v>3036</v>
      </c>
      <c r="K988">
        <v>1694.21</v>
      </c>
    </row>
    <row r="989" spans="1:11" x14ac:dyDescent="0.25">
      <c r="A989" t="s">
        <v>4192</v>
      </c>
      <c r="B989" t="s">
        <v>2838</v>
      </c>
      <c r="C989" t="s">
        <v>3034</v>
      </c>
      <c r="D989" s="1">
        <v>46037.230381944442</v>
      </c>
      <c r="E989">
        <v>1881.46</v>
      </c>
      <c r="F989">
        <v>54.86</v>
      </c>
      <c r="G989">
        <v>1826.6</v>
      </c>
      <c r="H989" t="s">
        <v>25</v>
      </c>
      <c r="I989" t="s">
        <v>3916</v>
      </c>
      <c r="J989" t="s">
        <v>3036</v>
      </c>
      <c r="K989">
        <v>1881.46</v>
      </c>
    </row>
    <row r="990" spans="1:11" x14ac:dyDescent="0.25">
      <c r="A990" t="s">
        <v>4193</v>
      </c>
      <c r="B990" t="s">
        <v>2841</v>
      </c>
      <c r="C990" t="s">
        <v>3034</v>
      </c>
      <c r="D990" s="1">
        <v>46023.331759259258</v>
      </c>
      <c r="E990">
        <v>1049.93</v>
      </c>
      <c r="F990">
        <v>30.75</v>
      </c>
      <c r="G990">
        <v>1019.18</v>
      </c>
      <c r="H990" t="s">
        <v>25</v>
      </c>
      <c r="I990" t="s">
        <v>3918</v>
      </c>
      <c r="J990" t="s">
        <v>3036</v>
      </c>
      <c r="K990">
        <v>1049.93</v>
      </c>
    </row>
    <row r="991" spans="1:11" x14ac:dyDescent="0.25">
      <c r="A991" t="s">
        <v>4194</v>
      </c>
      <c r="B991" t="s">
        <v>2844</v>
      </c>
      <c r="C991" t="s">
        <v>3034</v>
      </c>
      <c r="D991" s="1">
        <v>46024.421747685185</v>
      </c>
      <c r="E991">
        <v>1592.93</v>
      </c>
      <c r="F991">
        <v>46.49</v>
      </c>
      <c r="G991">
        <v>1546.44</v>
      </c>
      <c r="H991" t="s">
        <v>52</v>
      </c>
      <c r="I991" t="s">
        <v>3941</v>
      </c>
      <c r="J991" t="s">
        <v>3036</v>
      </c>
      <c r="K991">
        <v>1592.93</v>
      </c>
    </row>
    <row r="992" spans="1:11" x14ac:dyDescent="0.25">
      <c r="A992" t="s">
        <v>4195</v>
      </c>
      <c r="B992" t="s">
        <v>2847</v>
      </c>
      <c r="C992" t="s">
        <v>3034</v>
      </c>
      <c r="D992" s="1">
        <v>46025.507592592592</v>
      </c>
      <c r="E992">
        <v>411.28</v>
      </c>
      <c r="F992">
        <v>12.23</v>
      </c>
      <c r="G992">
        <v>399.05</v>
      </c>
      <c r="H992" t="s">
        <v>19</v>
      </c>
      <c r="I992" t="s">
        <v>3943</v>
      </c>
      <c r="J992" t="s">
        <v>3036</v>
      </c>
      <c r="K992">
        <v>411.28</v>
      </c>
    </row>
    <row r="993" spans="1:11" x14ac:dyDescent="0.25">
      <c r="A993" t="s">
        <v>4196</v>
      </c>
      <c r="B993" t="s">
        <v>2850</v>
      </c>
      <c r="C993" t="s">
        <v>3034</v>
      </c>
      <c r="D993" s="1">
        <v>46026.59170138889</v>
      </c>
      <c r="E993">
        <v>2486.5700000000002</v>
      </c>
      <c r="F993">
        <v>72.41</v>
      </c>
      <c r="G993">
        <v>2414.16</v>
      </c>
      <c r="H993" t="s">
        <v>25</v>
      </c>
      <c r="I993" t="s">
        <v>3896</v>
      </c>
      <c r="J993" t="s">
        <v>3036</v>
      </c>
      <c r="K993">
        <v>2486.5700000000002</v>
      </c>
    </row>
    <row r="994" spans="1:11" x14ac:dyDescent="0.25">
      <c r="A994" t="s">
        <v>4197</v>
      </c>
      <c r="B994" t="s">
        <v>2853</v>
      </c>
      <c r="C994" t="s">
        <v>3034</v>
      </c>
      <c r="D994" s="1">
        <v>46027.681909722225</v>
      </c>
      <c r="E994">
        <v>716.63</v>
      </c>
      <c r="F994">
        <v>21.08</v>
      </c>
      <c r="G994">
        <v>695.55</v>
      </c>
      <c r="H994" t="s">
        <v>25</v>
      </c>
      <c r="I994" t="s">
        <v>3923</v>
      </c>
      <c r="J994" t="s">
        <v>3036</v>
      </c>
      <c r="K994">
        <v>716.63</v>
      </c>
    </row>
    <row r="995" spans="1:11" x14ac:dyDescent="0.25">
      <c r="A995" t="s">
        <v>4198</v>
      </c>
      <c r="B995" t="s">
        <v>2856</v>
      </c>
      <c r="C995" t="s">
        <v>3034</v>
      </c>
      <c r="D995" s="1">
        <v>46028.768599537034</v>
      </c>
      <c r="E995">
        <v>1844.5</v>
      </c>
      <c r="F995">
        <v>53.79</v>
      </c>
      <c r="G995">
        <v>1790.71</v>
      </c>
      <c r="H995" t="s">
        <v>25</v>
      </c>
      <c r="I995" t="s">
        <v>3900</v>
      </c>
      <c r="J995" t="s">
        <v>3036</v>
      </c>
      <c r="K995">
        <v>1844.5</v>
      </c>
    </row>
    <row r="996" spans="1:11" x14ac:dyDescent="0.25">
      <c r="A996" t="s">
        <v>4199</v>
      </c>
      <c r="B996" t="s">
        <v>2859</v>
      </c>
      <c r="C996" t="s">
        <v>3034</v>
      </c>
      <c r="D996" s="1">
        <v>46029.858726851853</v>
      </c>
      <c r="E996">
        <v>148.65</v>
      </c>
      <c r="F996">
        <v>4.6100000000000003</v>
      </c>
      <c r="G996">
        <v>144.04</v>
      </c>
      <c r="H996" t="s">
        <v>25</v>
      </c>
      <c r="I996" t="s">
        <v>3902</v>
      </c>
      <c r="J996" t="s">
        <v>3036</v>
      </c>
      <c r="K996">
        <v>148.65</v>
      </c>
    </row>
    <row r="997" spans="1:11" x14ac:dyDescent="0.25">
      <c r="A997" t="s">
        <v>4200</v>
      </c>
      <c r="B997" t="s">
        <v>2862</v>
      </c>
      <c r="C997" t="s">
        <v>3034</v>
      </c>
      <c r="D997" s="1">
        <v>46030.967083333337</v>
      </c>
      <c r="E997">
        <v>2473.92</v>
      </c>
      <c r="F997">
        <v>72.040000000000006</v>
      </c>
      <c r="G997">
        <v>2401.88</v>
      </c>
      <c r="H997" t="s">
        <v>25</v>
      </c>
      <c r="I997" t="s">
        <v>3904</v>
      </c>
      <c r="J997" t="s">
        <v>3036</v>
      </c>
      <c r="K997">
        <v>2473.92</v>
      </c>
    </row>
    <row r="998" spans="1:11" x14ac:dyDescent="0.25">
      <c r="A998" t="s">
        <v>4201</v>
      </c>
      <c r="B998" t="s">
        <v>2865</v>
      </c>
      <c r="C998" t="s">
        <v>3034</v>
      </c>
      <c r="D998" s="1">
        <v>46032.061643518522</v>
      </c>
      <c r="E998">
        <v>41.4</v>
      </c>
      <c r="F998">
        <v>1.5</v>
      </c>
      <c r="G998">
        <v>39.9</v>
      </c>
      <c r="H998" t="s">
        <v>25</v>
      </c>
      <c r="I998" t="s">
        <v>3930</v>
      </c>
      <c r="J998" t="s">
        <v>3036</v>
      </c>
      <c r="K998">
        <v>41.4</v>
      </c>
    </row>
    <row r="999" spans="1:11" x14ac:dyDescent="0.25">
      <c r="A999" t="s">
        <v>4201</v>
      </c>
      <c r="B999" t="s">
        <v>2865</v>
      </c>
      <c r="C999" t="s">
        <v>3034</v>
      </c>
      <c r="D999" s="1">
        <v>46032.061643518522</v>
      </c>
      <c r="E999">
        <v>41.4</v>
      </c>
      <c r="F999">
        <v>1.5</v>
      </c>
      <c r="G999">
        <v>39.9</v>
      </c>
      <c r="H999" t="s">
        <v>25</v>
      </c>
      <c r="I999" t="s">
        <v>3930</v>
      </c>
      <c r="J999" t="s">
        <v>3036</v>
      </c>
      <c r="K999">
        <v>41.4</v>
      </c>
    </row>
    <row r="1000" spans="1:11" x14ac:dyDescent="0.25">
      <c r="A1000" t="s">
        <v>4202</v>
      </c>
      <c r="B1000" t="s">
        <v>2868</v>
      </c>
      <c r="C1000" t="s">
        <v>3034</v>
      </c>
      <c r="D1000" s="1">
        <v>46033.157604166663</v>
      </c>
      <c r="E1000">
        <v>2400.1799999999998</v>
      </c>
      <c r="F1000">
        <v>69.91</v>
      </c>
      <c r="G1000">
        <v>2330.27</v>
      </c>
      <c r="H1000" t="s">
        <v>25</v>
      </c>
      <c r="I1000" t="s">
        <v>3932</v>
      </c>
      <c r="J1000" t="s">
        <v>3036</v>
      </c>
      <c r="K1000">
        <v>2400.1799999999998</v>
      </c>
    </row>
    <row r="1001" spans="1:11" x14ac:dyDescent="0.25">
      <c r="A1001" t="s">
        <v>4203</v>
      </c>
      <c r="B1001" t="s">
        <v>2871</v>
      </c>
      <c r="C1001" t="s">
        <v>3034</v>
      </c>
      <c r="D1001" s="1">
        <v>46033.248657407406</v>
      </c>
      <c r="E1001">
        <v>2383.04</v>
      </c>
      <c r="F1001">
        <v>69.41</v>
      </c>
      <c r="G1001">
        <v>2313.63</v>
      </c>
      <c r="H1001" t="s">
        <v>25</v>
      </c>
      <c r="I1001" t="s">
        <v>3934</v>
      </c>
      <c r="J1001" t="s">
        <v>3036</v>
      </c>
      <c r="K1001">
        <v>2383.04</v>
      </c>
    </row>
    <row r="1002" spans="1:11" x14ac:dyDescent="0.25">
      <c r="A1002" t="s">
        <v>4204</v>
      </c>
      <c r="B1002" t="s">
        <v>2874</v>
      </c>
      <c r="C1002" t="s">
        <v>3034</v>
      </c>
      <c r="D1002" s="1">
        <v>46034.324456018519</v>
      </c>
      <c r="E1002">
        <v>2473.9</v>
      </c>
      <c r="F1002">
        <v>72.040000000000006</v>
      </c>
      <c r="G1002">
        <v>2401.86</v>
      </c>
      <c r="H1002" t="s">
        <v>52</v>
      </c>
      <c r="I1002" t="s">
        <v>3954</v>
      </c>
      <c r="J1002" t="s">
        <v>3036</v>
      </c>
      <c r="K1002">
        <v>2473.9</v>
      </c>
    </row>
    <row r="1003" spans="1:11" x14ac:dyDescent="0.25">
      <c r="A1003" t="s">
        <v>4205</v>
      </c>
      <c r="B1003" t="s">
        <v>2877</v>
      </c>
      <c r="C1003" t="s">
        <v>3034</v>
      </c>
      <c r="D1003" s="1">
        <v>46035.429594907408</v>
      </c>
      <c r="E1003">
        <v>2058.73</v>
      </c>
      <c r="F1003">
        <v>60</v>
      </c>
      <c r="G1003">
        <v>1998.73</v>
      </c>
      <c r="H1003" t="s">
        <v>19</v>
      </c>
      <c r="I1003" t="s">
        <v>4125</v>
      </c>
      <c r="J1003" t="s">
        <v>3036</v>
      </c>
      <c r="K1003">
        <v>2058.73</v>
      </c>
    </row>
    <row r="1004" spans="1:11" x14ac:dyDescent="0.25">
      <c r="A1004" t="s">
        <v>4206</v>
      </c>
      <c r="B1004" t="s">
        <v>2880</v>
      </c>
      <c r="C1004" t="s">
        <v>3034</v>
      </c>
      <c r="D1004" s="1">
        <v>46036.530439814815</v>
      </c>
      <c r="E1004">
        <v>2423</v>
      </c>
      <c r="F1004">
        <v>70.569999999999993</v>
      </c>
      <c r="G1004">
        <v>2352.4299999999998</v>
      </c>
      <c r="H1004" t="s">
        <v>25</v>
      </c>
      <c r="I1004" t="s">
        <v>3916</v>
      </c>
      <c r="J1004" t="s">
        <v>3036</v>
      </c>
      <c r="K1004">
        <v>2423</v>
      </c>
    </row>
    <row r="1005" spans="1:11" x14ac:dyDescent="0.25">
      <c r="A1005" t="s">
        <v>4207</v>
      </c>
      <c r="B1005" t="s">
        <v>2883</v>
      </c>
      <c r="C1005" t="s">
        <v>3034</v>
      </c>
      <c r="D1005" s="1">
        <v>46023.603784722225</v>
      </c>
      <c r="E1005">
        <v>849.21</v>
      </c>
      <c r="F1005">
        <v>24.93</v>
      </c>
      <c r="G1005">
        <v>824.28</v>
      </c>
      <c r="H1005" t="s">
        <v>25</v>
      </c>
      <c r="I1005" t="s">
        <v>3918</v>
      </c>
      <c r="J1005" t="s">
        <v>3036</v>
      </c>
      <c r="K1005">
        <v>849.21</v>
      </c>
    </row>
    <row r="1006" spans="1:11" x14ac:dyDescent="0.25">
      <c r="A1006" t="s">
        <v>4208</v>
      </c>
      <c r="B1006" t="s">
        <v>2886</v>
      </c>
      <c r="C1006" t="s">
        <v>3034</v>
      </c>
      <c r="D1006" s="1">
        <v>46024.68</v>
      </c>
      <c r="E1006">
        <v>192.83</v>
      </c>
      <c r="F1006">
        <v>5.89</v>
      </c>
      <c r="G1006">
        <v>186.94</v>
      </c>
      <c r="H1006" t="s">
        <v>25</v>
      </c>
      <c r="I1006" t="s">
        <v>3890</v>
      </c>
      <c r="J1006" t="s">
        <v>3036</v>
      </c>
      <c r="K1006">
        <v>192.83</v>
      </c>
    </row>
    <row r="1007" spans="1:11" x14ac:dyDescent="0.25">
      <c r="A1007" t="s">
        <v>4209</v>
      </c>
      <c r="B1007" t="s">
        <v>2889</v>
      </c>
      <c r="C1007" t="s">
        <v>3034</v>
      </c>
      <c r="D1007" s="1">
        <v>46025.805775462963</v>
      </c>
      <c r="E1007">
        <v>1615.86</v>
      </c>
      <c r="F1007">
        <v>47.16</v>
      </c>
      <c r="G1007">
        <v>1568.7</v>
      </c>
      <c r="H1007" t="s">
        <v>25</v>
      </c>
      <c r="I1007" t="s">
        <v>3894</v>
      </c>
      <c r="J1007" t="s">
        <v>3036</v>
      </c>
      <c r="K1007">
        <v>1615.86</v>
      </c>
    </row>
    <row r="1008" spans="1:11" x14ac:dyDescent="0.25">
      <c r="A1008" t="s">
        <v>4210</v>
      </c>
      <c r="B1008" t="s">
        <v>2892</v>
      </c>
      <c r="C1008" t="s">
        <v>3034</v>
      </c>
      <c r="D1008" s="1">
        <v>46026.882777777777</v>
      </c>
      <c r="E1008">
        <v>1709.24</v>
      </c>
      <c r="F1008">
        <v>50.24</v>
      </c>
      <c r="G1008">
        <v>1659</v>
      </c>
      <c r="H1008" t="s">
        <v>25</v>
      </c>
      <c r="I1008" t="s">
        <v>3896</v>
      </c>
      <c r="J1008" t="s">
        <v>3036</v>
      </c>
      <c r="K1008">
        <v>1709.24</v>
      </c>
    </row>
    <row r="1009" spans="1:11" x14ac:dyDescent="0.25">
      <c r="A1009" t="s">
        <v>4211</v>
      </c>
      <c r="B1009" t="s">
        <v>2895</v>
      </c>
      <c r="C1009" t="s">
        <v>3034</v>
      </c>
      <c r="D1009" s="1">
        <v>46027.954826388886</v>
      </c>
      <c r="E1009">
        <v>815.7</v>
      </c>
      <c r="F1009">
        <v>23.96</v>
      </c>
      <c r="G1009">
        <v>791.74</v>
      </c>
      <c r="H1009" t="s">
        <v>25</v>
      </c>
      <c r="I1009" t="s">
        <v>3923</v>
      </c>
      <c r="J1009" t="s">
        <v>3036</v>
      </c>
      <c r="K1009">
        <v>815.7</v>
      </c>
    </row>
    <row r="1010" spans="1:11" x14ac:dyDescent="0.25">
      <c r="A1010" t="s">
        <v>4212</v>
      </c>
      <c r="B1010" t="s">
        <v>2898</v>
      </c>
      <c r="C1010" t="s">
        <v>3034</v>
      </c>
      <c r="D1010" s="1">
        <v>46029.083136574074</v>
      </c>
      <c r="E1010">
        <v>1060.3900000000001</v>
      </c>
      <c r="F1010">
        <v>31.05</v>
      </c>
      <c r="G1010">
        <v>1029.3399999999999</v>
      </c>
      <c r="H1010" t="s">
        <v>25</v>
      </c>
      <c r="I1010" t="s">
        <v>3900</v>
      </c>
      <c r="J1010" t="s">
        <v>3036</v>
      </c>
      <c r="K1010">
        <v>1060.3900000000001</v>
      </c>
    </row>
    <row r="1011" spans="1:11" x14ac:dyDescent="0.25">
      <c r="A1011" t="s">
        <v>4213</v>
      </c>
      <c r="B1011" t="s">
        <v>2901</v>
      </c>
      <c r="C1011" t="s">
        <v>3034</v>
      </c>
      <c r="D1011" s="1">
        <v>46030.155069444445</v>
      </c>
      <c r="E1011">
        <v>1661.6</v>
      </c>
      <c r="F1011">
        <v>48.49</v>
      </c>
      <c r="G1011">
        <v>1613.11</v>
      </c>
      <c r="H1011" t="s">
        <v>25</v>
      </c>
      <c r="I1011" t="s">
        <v>3902</v>
      </c>
      <c r="J1011" t="s">
        <v>3036</v>
      </c>
      <c r="K1011">
        <v>1661.6</v>
      </c>
    </row>
    <row r="1012" spans="1:11" x14ac:dyDescent="0.25">
      <c r="A1012" t="s">
        <v>4214</v>
      </c>
      <c r="B1012" t="s">
        <v>2904</v>
      </c>
      <c r="C1012" t="s">
        <v>3034</v>
      </c>
      <c r="D1012" s="1">
        <v>46031.232106481482</v>
      </c>
      <c r="E1012">
        <v>333.63</v>
      </c>
      <c r="F1012">
        <v>9.98</v>
      </c>
      <c r="G1012">
        <v>323.64999999999998</v>
      </c>
      <c r="H1012" t="s">
        <v>52</v>
      </c>
      <c r="I1012" t="s">
        <v>3968</v>
      </c>
      <c r="J1012" t="s">
        <v>3036</v>
      </c>
      <c r="K1012">
        <v>333.63</v>
      </c>
    </row>
    <row r="1013" spans="1:11" x14ac:dyDescent="0.25">
      <c r="A1013" t="s">
        <v>4215</v>
      </c>
      <c r="B1013" t="s">
        <v>2907</v>
      </c>
      <c r="C1013" t="s">
        <v>3034</v>
      </c>
      <c r="D1013" s="1">
        <v>46031.344375000001</v>
      </c>
      <c r="E1013">
        <v>296.55</v>
      </c>
      <c r="F1013">
        <v>8.9</v>
      </c>
      <c r="G1013">
        <v>287.64999999999998</v>
      </c>
      <c r="H1013" t="s">
        <v>19</v>
      </c>
      <c r="I1013" t="s">
        <v>3970</v>
      </c>
      <c r="J1013" t="s">
        <v>3036</v>
      </c>
      <c r="K1013">
        <v>296.55</v>
      </c>
    </row>
    <row r="1014" spans="1:11" x14ac:dyDescent="0.25">
      <c r="A1014" t="s">
        <v>4216</v>
      </c>
      <c r="B1014" t="s">
        <v>2910</v>
      </c>
      <c r="C1014" t="s">
        <v>3034</v>
      </c>
      <c r="D1014" s="1">
        <v>46032.411874999998</v>
      </c>
      <c r="E1014">
        <v>1142.1600000000001</v>
      </c>
      <c r="F1014">
        <v>33.42</v>
      </c>
      <c r="G1014">
        <v>1108.74</v>
      </c>
      <c r="H1014" t="s">
        <v>25</v>
      </c>
      <c r="I1014" t="s">
        <v>3932</v>
      </c>
      <c r="J1014" t="s">
        <v>3036</v>
      </c>
      <c r="K1014">
        <v>1142.1600000000001</v>
      </c>
    </row>
    <row r="1015" spans="1:11" x14ac:dyDescent="0.25">
      <c r="A1015" t="s">
        <v>4217</v>
      </c>
      <c r="B1015" t="s">
        <v>2913</v>
      </c>
      <c r="C1015" t="s">
        <v>3034</v>
      </c>
      <c r="D1015" s="1">
        <v>46033.540196759262</v>
      </c>
      <c r="E1015">
        <v>30.89</v>
      </c>
      <c r="F1015">
        <v>1.2</v>
      </c>
      <c r="G1015">
        <v>29.69</v>
      </c>
      <c r="H1015" t="s">
        <v>25</v>
      </c>
      <c r="I1015" t="s">
        <v>4218</v>
      </c>
      <c r="J1015" t="s">
        <v>3036</v>
      </c>
      <c r="K1015">
        <v>30.89</v>
      </c>
    </row>
    <row r="1016" spans="1:11" x14ac:dyDescent="0.25">
      <c r="A1016" t="s">
        <v>4219</v>
      </c>
      <c r="B1016" t="s">
        <v>2916</v>
      </c>
      <c r="C1016" t="s">
        <v>3034</v>
      </c>
      <c r="D1016" s="1">
        <v>46034.617766203701</v>
      </c>
      <c r="E1016">
        <v>2370.34</v>
      </c>
      <c r="F1016">
        <v>69.040000000000006</v>
      </c>
      <c r="G1016">
        <v>2301.3000000000002</v>
      </c>
      <c r="H1016" t="s">
        <v>25</v>
      </c>
      <c r="I1016" t="s">
        <v>3912</v>
      </c>
      <c r="J1016" t="s">
        <v>3036</v>
      </c>
      <c r="K1016">
        <v>2370.34</v>
      </c>
    </row>
    <row r="1017" spans="1:11" x14ac:dyDescent="0.25">
      <c r="A1017" t="s">
        <v>4220</v>
      </c>
      <c r="B1017" t="s">
        <v>2919</v>
      </c>
      <c r="C1017" t="s">
        <v>3034</v>
      </c>
      <c r="D1017" s="1">
        <v>46035.68917824074</v>
      </c>
      <c r="E1017">
        <v>1977.8</v>
      </c>
      <c r="F1017">
        <v>57.66</v>
      </c>
      <c r="G1017">
        <v>1920.14</v>
      </c>
      <c r="H1017" t="s">
        <v>25</v>
      </c>
      <c r="I1017" t="s">
        <v>3914</v>
      </c>
      <c r="J1017" t="s">
        <v>3036</v>
      </c>
      <c r="K1017">
        <v>1977.8</v>
      </c>
    </row>
    <row r="1018" spans="1:11" x14ac:dyDescent="0.25">
      <c r="A1018" t="s">
        <v>4221</v>
      </c>
      <c r="B1018" t="s">
        <v>2922</v>
      </c>
      <c r="C1018" t="s">
        <v>3034</v>
      </c>
      <c r="D1018" s="1">
        <v>46036.806875000002</v>
      </c>
      <c r="E1018">
        <v>1501.12</v>
      </c>
      <c r="F1018">
        <v>43.83</v>
      </c>
      <c r="G1018">
        <v>1457.29</v>
      </c>
      <c r="H1018" t="s">
        <v>25</v>
      </c>
      <c r="I1018" t="s">
        <v>4222</v>
      </c>
      <c r="J1018" t="s">
        <v>3036</v>
      </c>
      <c r="K1018">
        <v>1501.12</v>
      </c>
    </row>
    <row r="1019" spans="1:11" x14ac:dyDescent="0.25">
      <c r="A1019" t="s">
        <v>4223</v>
      </c>
      <c r="B1019" t="s">
        <v>2925</v>
      </c>
      <c r="C1019" t="s">
        <v>3034</v>
      </c>
      <c r="D1019" s="1">
        <v>46023.880729166667</v>
      </c>
      <c r="E1019">
        <v>406.11</v>
      </c>
      <c r="F1019">
        <v>12.08</v>
      </c>
      <c r="G1019">
        <v>394.03</v>
      </c>
      <c r="H1019" t="s">
        <v>25</v>
      </c>
      <c r="I1019" t="s">
        <v>3918</v>
      </c>
      <c r="J1019" t="s">
        <v>3036</v>
      </c>
      <c r="K1019">
        <v>406.11</v>
      </c>
    </row>
    <row r="1020" spans="1:11" x14ac:dyDescent="0.25">
      <c r="A1020" t="s">
        <v>4224</v>
      </c>
      <c r="B1020" t="s">
        <v>2928</v>
      </c>
      <c r="C1020" t="s">
        <v>3034</v>
      </c>
      <c r="D1020" s="1">
        <v>46024.975266203706</v>
      </c>
      <c r="E1020">
        <v>2056.5500000000002</v>
      </c>
      <c r="F1020">
        <v>59.94</v>
      </c>
      <c r="G1020">
        <v>1996.61</v>
      </c>
      <c r="H1020" t="s">
        <v>25</v>
      </c>
      <c r="I1020" t="s">
        <v>3890</v>
      </c>
      <c r="J1020" t="s">
        <v>3036</v>
      </c>
      <c r="K1020">
        <v>2056.5500000000002</v>
      </c>
    </row>
    <row r="1021" spans="1:11" x14ac:dyDescent="0.25">
      <c r="A1021" t="s">
        <v>4225</v>
      </c>
      <c r="B1021" t="s">
        <v>2931</v>
      </c>
      <c r="C1021" t="s">
        <v>3034</v>
      </c>
      <c r="D1021" s="1">
        <v>46026.06459490741</v>
      </c>
      <c r="E1021">
        <v>1466.89</v>
      </c>
      <c r="F1021">
        <v>42.84</v>
      </c>
      <c r="G1021">
        <v>1424.05</v>
      </c>
      <c r="H1021" t="s">
        <v>25</v>
      </c>
      <c r="I1021" t="s">
        <v>3894</v>
      </c>
      <c r="J1021" t="s">
        <v>3036</v>
      </c>
      <c r="K1021">
        <v>1466.89</v>
      </c>
    </row>
    <row r="1022" spans="1:11" x14ac:dyDescent="0.25">
      <c r="A1022" t="s">
        <v>4226</v>
      </c>
      <c r="B1022" t="s">
        <v>2934</v>
      </c>
      <c r="C1022" t="s">
        <v>3034</v>
      </c>
      <c r="D1022" s="1">
        <v>46027.148425925923</v>
      </c>
      <c r="E1022">
        <v>1956.65</v>
      </c>
      <c r="F1022">
        <v>57.04</v>
      </c>
      <c r="G1022">
        <v>1899.61</v>
      </c>
      <c r="H1022" t="s">
        <v>52</v>
      </c>
      <c r="I1022" t="s">
        <v>3984</v>
      </c>
      <c r="J1022" t="s">
        <v>3036</v>
      </c>
      <c r="K1022">
        <v>1956.65</v>
      </c>
    </row>
    <row r="1023" spans="1:11" x14ac:dyDescent="0.25">
      <c r="A1023" t="s">
        <v>4227</v>
      </c>
      <c r="B1023" t="s">
        <v>2937</v>
      </c>
      <c r="C1023" t="s">
        <v>3034</v>
      </c>
      <c r="D1023" s="1">
        <v>46028.233449074076</v>
      </c>
      <c r="E1023">
        <v>345.23</v>
      </c>
      <c r="F1023">
        <v>10.31</v>
      </c>
      <c r="G1023">
        <v>334.92</v>
      </c>
      <c r="H1023" t="s">
        <v>19</v>
      </c>
      <c r="I1023" t="s">
        <v>3986</v>
      </c>
      <c r="J1023" t="s">
        <v>3036</v>
      </c>
      <c r="K1023">
        <v>345.23</v>
      </c>
    </row>
    <row r="1024" spans="1:11" x14ac:dyDescent="0.25">
      <c r="A1024" t="s">
        <v>4228</v>
      </c>
      <c r="B1024" t="s">
        <v>2940</v>
      </c>
      <c r="C1024" t="s">
        <v>3034</v>
      </c>
      <c r="D1024" s="1">
        <v>46028.353171296294</v>
      </c>
      <c r="E1024">
        <v>458.25</v>
      </c>
      <c r="F1024">
        <v>13.59</v>
      </c>
      <c r="G1024">
        <v>444.66</v>
      </c>
      <c r="H1024" t="s">
        <v>25</v>
      </c>
      <c r="I1024" t="s">
        <v>3900</v>
      </c>
      <c r="J1024" t="s">
        <v>3036</v>
      </c>
      <c r="K1024">
        <v>458.25</v>
      </c>
    </row>
    <row r="1025" spans="1:11" x14ac:dyDescent="0.25">
      <c r="A1025" t="s">
        <v>4229</v>
      </c>
      <c r="B1025" t="s">
        <v>2943</v>
      </c>
      <c r="C1025" t="s">
        <v>3034</v>
      </c>
      <c r="D1025" s="1">
        <v>46029.440810185188</v>
      </c>
      <c r="E1025">
        <v>1404.71</v>
      </c>
      <c r="F1025">
        <v>41.04</v>
      </c>
      <c r="G1025">
        <v>1363.67</v>
      </c>
      <c r="H1025" t="s">
        <v>25</v>
      </c>
      <c r="I1025" t="s">
        <v>3902</v>
      </c>
      <c r="J1025" t="s">
        <v>3036</v>
      </c>
      <c r="K1025">
        <v>1404.71</v>
      </c>
    </row>
    <row r="1026" spans="1:11" x14ac:dyDescent="0.25">
      <c r="A1026" t="s">
        <v>4230</v>
      </c>
      <c r="B1026" t="s">
        <v>2946</v>
      </c>
      <c r="C1026" t="s">
        <v>3034</v>
      </c>
      <c r="D1026" s="1">
        <v>46030.532002314816</v>
      </c>
      <c r="E1026">
        <v>1977.38</v>
      </c>
      <c r="F1026">
        <v>57.64</v>
      </c>
      <c r="G1026">
        <v>1919.74</v>
      </c>
      <c r="H1026" t="s">
        <v>25</v>
      </c>
      <c r="I1026" t="s">
        <v>3904</v>
      </c>
      <c r="J1026" t="s">
        <v>3036</v>
      </c>
      <c r="K1026">
        <v>1977.38</v>
      </c>
    </row>
    <row r="1027" spans="1:11" x14ac:dyDescent="0.25">
      <c r="A1027" t="s">
        <v>4231</v>
      </c>
      <c r="B1027" t="s">
        <v>2949</v>
      </c>
      <c r="C1027" t="s">
        <v>3034</v>
      </c>
      <c r="D1027" s="1">
        <v>46031.623020833336</v>
      </c>
      <c r="E1027">
        <v>1668.19</v>
      </c>
      <c r="F1027">
        <v>48.68</v>
      </c>
      <c r="G1027">
        <v>1619.51</v>
      </c>
      <c r="H1027" t="s">
        <v>25</v>
      </c>
      <c r="I1027" t="s">
        <v>3930</v>
      </c>
      <c r="J1027" t="s">
        <v>3036</v>
      </c>
      <c r="K1027">
        <v>1668.19</v>
      </c>
    </row>
    <row r="1028" spans="1:11" x14ac:dyDescent="0.25">
      <c r="A1028" t="s">
        <v>4232</v>
      </c>
      <c r="B1028" t="s">
        <v>2952</v>
      </c>
      <c r="C1028" t="s">
        <v>3034</v>
      </c>
      <c r="D1028" s="1">
        <v>46032.716377314813</v>
      </c>
      <c r="E1028">
        <v>621.58000000000004</v>
      </c>
      <c r="F1028">
        <v>18.329999999999998</v>
      </c>
      <c r="G1028">
        <v>603.25</v>
      </c>
      <c r="H1028" t="s">
        <v>25</v>
      </c>
      <c r="I1028" t="s">
        <v>3932</v>
      </c>
      <c r="J1028" t="s">
        <v>3036</v>
      </c>
      <c r="K1028">
        <v>621.58000000000004</v>
      </c>
    </row>
    <row r="1029" spans="1:11" x14ac:dyDescent="0.25">
      <c r="A1029" t="s">
        <v>4233</v>
      </c>
      <c r="B1029" t="s">
        <v>2955</v>
      </c>
      <c r="C1029" t="s">
        <v>3034</v>
      </c>
      <c r="D1029" s="1">
        <v>46033.801759259259</v>
      </c>
      <c r="E1029">
        <v>2334.73</v>
      </c>
      <c r="F1029">
        <v>68.010000000000005</v>
      </c>
      <c r="G1029">
        <v>2266.7199999999998</v>
      </c>
      <c r="H1029" t="s">
        <v>25</v>
      </c>
      <c r="I1029" t="s">
        <v>3934</v>
      </c>
      <c r="J1029" t="s">
        <v>3036</v>
      </c>
      <c r="K1029">
        <v>2334.73</v>
      </c>
    </row>
    <row r="1030" spans="1:11" x14ac:dyDescent="0.25">
      <c r="A1030" t="s">
        <v>4234</v>
      </c>
      <c r="B1030" t="s">
        <v>2958</v>
      </c>
      <c r="C1030" t="s">
        <v>3034</v>
      </c>
      <c r="D1030" s="1">
        <v>46034.888437499998</v>
      </c>
      <c r="E1030">
        <v>1327.88</v>
      </c>
      <c r="F1030">
        <v>38.81</v>
      </c>
      <c r="G1030">
        <v>1289.07</v>
      </c>
      <c r="H1030" t="s">
        <v>25</v>
      </c>
      <c r="I1030" t="s">
        <v>3912</v>
      </c>
      <c r="J1030" t="s">
        <v>3036</v>
      </c>
      <c r="K1030">
        <v>1327.88</v>
      </c>
    </row>
    <row r="1031" spans="1:11" x14ac:dyDescent="0.25">
      <c r="A1031" t="s">
        <v>4235</v>
      </c>
      <c r="B1031" t="s">
        <v>2961</v>
      </c>
      <c r="C1031" t="s">
        <v>3034</v>
      </c>
      <c r="D1031" s="1">
        <v>46036.000254629631</v>
      </c>
      <c r="E1031">
        <v>2187.69</v>
      </c>
      <c r="F1031">
        <v>63.74</v>
      </c>
      <c r="G1031">
        <v>2123.9499999999998</v>
      </c>
      <c r="H1031" t="s">
        <v>25</v>
      </c>
      <c r="I1031" t="s">
        <v>3914</v>
      </c>
      <c r="J1031" t="s">
        <v>3036</v>
      </c>
      <c r="K1031">
        <v>2187.69</v>
      </c>
    </row>
    <row r="1032" spans="1:11" x14ac:dyDescent="0.25">
      <c r="A1032" t="s">
        <v>4236</v>
      </c>
      <c r="B1032" t="s">
        <v>2970</v>
      </c>
      <c r="C1032" t="s">
        <v>3034</v>
      </c>
      <c r="D1032" s="1">
        <v>46024.278009259258</v>
      </c>
      <c r="E1032">
        <v>2170.7199999999998</v>
      </c>
      <c r="F1032">
        <v>63.25</v>
      </c>
      <c r="G1032">
        <v>2107.4699999999998</v>
      </c>
      <c r="H1032" t="s">
        <v>25</v>
      </c>
      <c r="I1032" t="s">
        <v>3890</v>
      </c>
      <c r="J1032" t="s">
        <v>3036</v>
      </c>
      <c r="K1032">
        <v>2170.7199999999998</v>
      </c>
    </row>
    <row r="1033" spans="1:11" x14ac:dyDescent="0.25">
      <c r="A1033" t="s">
        <v>4237</v>
      </c>
      <c r="B1033" t="s">
        <v>2973</v>
      </c>
      <c r="C1033" t="s">
        <v>3034</v>
      </c>
      <c r="D1033" s="1">
        <v>46025.358749999999</v>
      </c>
      <c r="E1033">
        <v>2353.33</v>
      </c>
      <c r="F1033">
        <v>68.55</v>
      </c>
      <c r="G1033">
        <v>2284.7800000000002</v>
      </c>
      <c r="H1033" t="s">
        <v>25</v>
      </c>
      <c r="I1033" t="s">
        <v>3894</v>
      </c>
      <c r="J1033" t="s">
        <v>3036</v>
      </c>
      <c r="K1033">
        <v>2353.33</v>
      </c>
    </row>
    <row r="1034" spans="1:11" x14ac:dyDescent="0.25">
      <c r="A1034" t="s">
        <v>4238</v>
      </c>
      <c r="B1034" t="s">
        <v>2976</v>
      </c>
      <c r="C1034" t="s">
        <v>3034</v>
      </c>
      <c r="D1034" s="1">
        <v>46026.435497685183</v>
      </c>
      <c r="E1034">
        <v>299.7</v>
      </c>
      <c r="F1034">
        <v>8.99</v>
      </c>
      <c r="G1034">
        <v>290.70999999999998</v>
      </c>
      <c r="H1034" t="s">
        <v>25</v>
      </c>
      <c r="I1034" t="s">
        <v>3896</v>
      </c>
      <c r="J1034" t="s">
        <v>3036</v>
      </c>
      <c r="K1034">
        <v>299.7</v>
      </c>
    </row>
    <row r="1035" spans="1:11" x14ac:dyDescent="0.25">
      <c r="A1035" t="s">
        <v>4239</v>
      </c>
      <c r="B1035" t="s">
        <v>2979</v>
      </c>
      <c r="C1035" t="s">
        <v>3034</v>
      </c>
      <c r="D1035" s="1">
        <v>46027.520312499997</v>
      </c>
      <c r="E1035">
        <v>2499.8000000000002</v>
      </c>
      <c r="F1035">
        <v>72.790000000000006</v>
      </c>
      <c r="G1035">
        <v>2427.0100000000002</v>
      </c>
      <c r="H1035" t="s">
        <v>25</v>
      </c>
      <c r="I1035" t="s">
        <v>3923</v>
      </c>
      <c r="J1035" t="s">
        <v>3036</v>
      </c>
      <c r="K1035">
        <v>2499.8000000000002</v>
      </c>
    </row>
    <row r="1036" spans="1:11" x14ac:dyDescent="0.25">
      <c r="A1036" t="s">
        <v>4240</v>
      </c>
      <c r="B1036" t="s">
        <v>2982</v>
      </c>
      <c r="C1036" t="s">
        <v>3034</v>
      </c>
      <c r="D1036" s="1">
        <v>46028.612303240741</v>
      </c>
      <c r="E1036">
        <v>303.45999999999998</v>
      </c>
      <c r="F1036">
        <v>9.1</v>
      </c>
      <c r="G1036">
        <v>294.36</v>
      </c>
      <c r="H1036" t="s">
        <v>25</v>
      </c>
      <c r="I1036" t="s">
        <v>4241</v>
      </c>
      <c r="J1036" t="s">
        <v>3036</v>
      </c>
      <c r="K1036">
        <v>303.45999999999998</v>
      </c>
    </row>
    <row r="1037" spans="1:11" x14ac:dyDescent="0.25">
      <c r="A1037" t="s">
        <v>4242</v>
      </c>
      <c r="B1037" t="s">
        <v>2985</v>
      </c>
      <c r="C1037" t="s">
        <v>3034</v>
      </c>
      <c r="D1037" s="1">
        <v>46029.724745370368</v>
      </c>
      <c r="E1037">
        <v>1780.67</v>
      </c>
      <c r="F1037">
        <v>51.94</v>
      </c>
      <c r="G1037">
        <v>1728.73</v>
      </c>
      <c r="H1037" t="s">
        <v>25</v>
      </c>
      <c r="I1037" t="s">
        <v>3902</v>
      </c>
      <c r="J1037" t="s">
        <v>3036</v>
      </c>
      <c r="K1037">
        <v>1780.67</v>
      </c>
    </row>
    <row r="1038" spans="1:11" x14ac:dyDescent="0.25">
      <c r="A1038" t="s">
        <v>4243</v>
      </c>
      <c r="B1038" t="s">
        <v>2988</v>
      </c>
      <c r="C1038" t="s">
        <v>3034</v>
      </c>
      <c r="D1038" s="1">
        <v>46030.793182870373</v>
      </c>
      <c r="E1038">
        <v>990.99</v>
      </c>
      <c r="F1038">
        <v>29.04</v>
      </c>
      <c r="G1038">
        <v>961.95</v>
      </c>
      <c r="H1038" t="s">
        <v>25</v>
      </c>
      <c r="I1038" t="s">
        <v>3904</v>
      </c>
      <c r="J1038" t="s">
        <v>3036</v>
      </c>
      <c r="K1038">
        <v>990.99</v>
      </c>
    </row>
    <row r="1039" spans="1:11" x14ac:dyDescent="0.25">
      <c r="A1039" t="s">
        <v>4244</v>
      </c>
      <c r="B1039" t="s">
        <v>2991</v>
      </c>
      <c r="C1039" t="s">
        <v>3034</v>
      </c>
      <c r="D1039" s="1">
        <v>46031.895231481481</v>
      </c>
      <c r="E1039">
        <v>1495.87</v>
      </c>
      <c r="F1039">
        <v>43.68</v>
      </c>
      <c r="G1039">
        <v>1452.19</v>
      </c>
      <c r="H1039" t="s">
        <v>25</v>
      </c>
      <c r="I1039" t="s">
        <v>3930</v>
      </c>
      <c r="J1039" t="s">
        <v>3036</v>
      </c>
      <c r="K1039">
        <v>1495.87</v>
      </c>
    </row>
    <row r="1040" spans="1:11" x14ac:dyDescent="0.25">
      <c r="A1040" t="s">
        <v>4245</v>
      </c>
      <c r="B1040" t="s">
        <v>2991</v>
      </c>
      <c r="C1040" t="s">
        <v>3076</v>
      </c>
      <c r="D1040" s="1">
        <v>46032.888287037036</v>
      </c>
      <c r="E1040">
        <v>-747.94</v>
      </c>
      <c r="F1040">
        <v>0</v>
      </c>
      <c r="G1040">
        <v>-747.94</v>
      </c>
      <c r="H1040" t="s">
        <v>25</v>
      </c>
      <c r="I1040" t="s">
        <v>4246</v>
      </c>
      <c r="J1040" t="s">
        <v>3036</v>
      </c>
      <c r="K1040">
        <v>-747.94</v>
      </c>
    </row>
    <row r="1041" spans="1:11" x14ac:dyDescent="0.25">
      <c r="A1041" t="s">
        <v>4247</v>
      </c>
      <c r="B1041" t="s">
        <v>2994</v>
      </c>
      <c r="C1041" t="s">
        <v>3034</v>
      </c>
      <c r="D1041" s="1">
        <v>46033.008310185185</v>
      </c>
      <c r="E1041">
        <v>2151.5100000000002</v>
      </c>
      <c r="F1041">
        <v>62.69</v>
      </c>
      <c r="G1041">
        <v>2088.8200000000002</v>
      </c>
      <c r="H1041" t="s">
        <v>52</v>
      </c>
      <c r="I1041" t="s">
        <v>3908</v>
      </c>
      <c r="J1041" t="s">
        <v>3036</v>
      </c>
      <c r="K1041">
        <v>2151.5100000000002</v>
      </c>
    </row>
    <row r="1042" spans="1:11" x14ac:dyDescent="0.25">
      <c r="A1042" t="s">
        <v>4248</v>
      </c>
      <c r="B1042" t="s">
        <v>2997</v>
      </c>
      <c r="C1042" t="s">
        <v>3034</v>
      </c>
      <c r="D1042" s="1">
        <v>46034.089930555558</v>
      </c>
      <c r="E1042">
        <v>977.86</v>
      </c>
      <c r="F1042">
        <v>28.66</v>
      </c>
      <c r="G1042">
        <v>949.2</v>
      </c>
      <c r="H1042" t="s">
        <v>19</v>
      </c>
      <c r="I1042" t="s">
        <v>4249</v>
      </c>
      <c r="J1042" t="s">
        <v>3036</v>
      </c>
      <c r="K1042">
        <v>977.86</v>
      </c>
    </row>
    <row r="1043" spans="1:11" x14ac:dyDescent="0.25">
      <c r="A1043" t="s">
        <v>4250</v>
      </c>
      <c r="B1043" t="s">
        <v>3000</v>
      </c>
      <c r="C1043" t="s">
        <v>3034</v>
      </c>
      <c r="D1043" s="1">
        <v>46035.193171296298</v>
      </c>
      <c r="E1043">
        <v>2225.9499999999998</v>
      </c>
      <c r="F1043">
        <v>64.849999999999994</v>
      </c>
      <c r="G1043">
        <v>2161.1</v>
      </c>
      <c r="H1043" t="s">
        <v>25</v>
      </c>
      <c r="I1043" t="s">
        <v>3912</v>
      </c>
      <c r="J1043" t="s">
        <v>3036</v>
      </c>
      <c r="K1043">
        <v>2225.9499999999998</v>
      </c>
    </row>
    <row r="1044" spans="1:11" x14ac:dyDescent="0.25">
      <c r="A1044" t="s">
        <v>4251</v>
      </c>
      <c r="B1044" t="s">
        <v>3003</v>
      </c>
      <c r="C1044" t="s">
        <v>3034</v>
      </c>
      <c r="D1044" s="1">
        <v>46035.266030092593</v>
      </c>
      <c r="E1044">
        <v>969.94</v>
      </c>
      <c r="F1044">
        <v>28.43</v>
      </c>
      <c r="G1044">
        <v>941.51</v>
      </c>
      <c r="H1044" t="s">
        <v>25</v>
      </c>
      <c r="I1044" t="s">
        <v>3914</v>
      </c>
      <c r="J1044" t="s">
        <v>3036</v>
      </c>
      <c r="K1044">
        <v>969.94</v>
      </c>
    </row>
    <row r="1045" spans="1:11" x14ac:dyDescent="0.25">
      <c r="A1045" t="s">
        <v>4252</v>
      </c>
      <c r="B1045" t="s">
        <v>3006</v>
      </c>
      <c r="C1045" t="s">
        <v>3034</v>
      </c>
      <c r="D1045" s="1">
        <v>46036.362962962965</v>
      </c>
      <c r="E1045">
        <v>548.24</v>
      </c>
      <c r="F1045">
        <v>16.57</v>
      </c>
      <c r="G1045">
        <v>531.66999999999996</v>
      </c>
      <c r="H1045" t="s">
        <v>25</v>
      </c>
      <c r="I1045" t="s">
        <v>3916</v>
      </c>
      <c r="J1045" t="s">
        <v>3036</v>
      </c>
      <c r="K1045">
        <v>548.24</v>
      </c>
    </row>
    <row r="1046" spans="1:11" x14ac:dyDescent="0.25">
      <c r="A1046" t="s">
        <v>4253</v>
      </c>
      <c r="B1046" t="s">
        <v>3009</v>
      </c>
      <c r="C1046" t="s">
        <v>3034</v>
      </c>
      <c r="D1046" s="1">
        <v>46023.442662037036</v>
      </c>
      <c r="E1046">
        <v>1906.98</v>
      </c>
      <c r="F1046">
        <v>55.6</v>
      </c>
      <c r="G1046">
        <v>1851.38</v>
      </c>
      <c r="H1046" t="s">
        <v>25</v>
      </c>
      <c r="I1046" t="s">
        <v>3918</v>
      </c>
      <c r="J1046" t="s">
        <v>3036</v>
      </c>
      <c r="K1046">
        <v>1906.98</v>
      </c>
    </row>
    <row r="1047" spans="1:11" x14ac:dyDescent="0.25">
      <c r="A1047" t="s">
        <v>4254</v>
      </c>
      <c r="B1047" t="s">
        <v>3009</v>
      </c>
      <c r="C1047" t="s">
        <v>3076</v>
      </c>
      <c r="D1047" s="1">
        <v>46024.435717592591</v>
      </c>
      <c r="E1047">
        <v>-1906.98</v>
      </c>
      <c r="F1047">
        <v>0</v>
      </c>
      <c r="G1047">
        <v>-1906.98</v>
      </c>
      <c r="H1047" t="s">
        <v>25</v>
      </c>
      <c r="I1047" t="s">
        <v>4255</v>
      </c>
      <c r="J1047" t="s">
        <v>3036</v>
      </c>
      <c r="K1047">
        <v>-1906.98</v>
      </c>
    </row>
    <row r="1048" spans="1:11" x14ac:dyDescent="0.25">
      <c r="A1048" t="s">
        <v>4256</v>
      </c>
      <c r="B1048" t="s">
        <v>3015</v>
      </c>
      <c r="C1048" t="s">
        <v>3034</v>
      </c>
      <c r="D1048" s="1">
        <v>46025.61917824074</v>
      </c>
      <c r="E1048">
        <v>1860.07</v>
      </c>
      <c r="F1048">
        <v>54.24</v>
      </c>
      <c r="G1048">
        <v>1805.83</v>
      </c>
      <c r="H1048" t="s">
        <v>25</v>
      </c>
      <c r="I1048" t="s">
        <v>3894</v>
      </c>
      <c r="J1048" t="s">
        <v>3036</v>
      </c>
      <c r="K1048">
        <v>1860.07</v>
      </c>
    </row>
    <row r="1049" spans="1:11" x14ac:dyDescent="0.25">
      <c r="A1049" t="s">
        <v>4257</v>
      </c>
      <c r="B1049" t="s">
        <v>3018</v>
      </c>
      <c r="C1049" t="s">
        <v>3034</v>
      </c>
      <c r="D1049" s="1">
        <v>46026.748368055552</v>
      </c>
      <c r="E1049">
        <v>1051.23</v>
      </c>
      <c r="F1049">
        <v>30.79</v>
      </c>
      <c r="G1049">
        <v>1020.44</v>
      </c>
      <c r="H1049" t="s">
        <v>25</v>
      </c>
      <c r="I1049" t="s">
        <v>3896</v>
      </c>
      <c r="J1049" t="s">
        <v>3036</v>
      </c>
      <c r="K1049">
        <v>1051.23</v>
      </c>
    </row>
    <row r="1050" spans="1:11" x14ac:dyDescent="0.25">
      <c r="A1050" t="s">
        <v>4258</v>
      </c>
      <c r="B1050" t="s">
        <v>3021</v>
      </c>
      <c r="C1050" t="s">
        <v>3034</v>
      </c>
      <c r="D1050" s="1">
        <v>46027.80840277778</v>
      </c>
      <c r="E1050">
        <v>2350.64</v>
      </c>
      <c r="F1050">
        <v>68.47</v>
      </c>
      <c r="G1050">
        <v>2282.17</v>
      </c>
      <c r="H1050" t="s">
        <v>25</v>
      </c>
      <c r="I1050" t="s">
        <v>3923</v>
      </c>
      <c r="J1050" t="s">
        <v>3036</v>
      </c>
      <c r="K1050">
        <v>2350.64</v>
      </c>
    </row>
    <row r="1051" spans="1:11" x14ac:dyDescent="0.25">
      <c r="A1051" t="s">
        <v>4259</v>
      </c>
      <c r="B1051" t="s">
        <v>3024</v>
      </c>
      <c r="C1051" t="s">
        <v>3034</v>
      </c>
      <c r="D1051" s="1">
        <v>46028.921747685185</v>
      </c>
      <c r="E1051">
        <v>1945.04</v>
      </c>
      <c r="F1051">
        <v>56.71</v>
      </c>
      <c r="G1051">
        <v>1888.33</v>
      </c>
      <c r="H1051" t="s">
        <v>52</v>
      </c>
      <c r="I1051" t="s">
        <v>3925</v>
      </c>
      <c r="J1051" t="s">
        <v>3036</v>
      </c>
      <c r="K1051">
        <v>1945.04</v>
      </c>
    </row>
    <row r="1052" spans="1:11" x14ac:dyDescent="0.25">
      <c r="A1052" t="s">
        <v>4260</v>
      </c>
      <c r="B1052" t="s">
        <v>4261</v>
      </c>
      <c r="C1052" t="s">
        <v>3034</v>
      </c>
      <c r="D1052" s="1">
        <v>46023.270833333336</v>
      </c>
      <c r="E1052">
        <v>413.16</v>
      </c>
      <c r="F1052">
        <v>12.28</v>
      </c>
      <c r="G1052">
        <v>400.88</v>
      </c>
      <c r="H1052" t="s">
        <v>25</v>
      </c>
      <c r="I1052" t="s">
        <v>4262</v>
      </c>
      <c r="J1052" t="s">
        <v>3036</v>
      </c>
      <c r="K1052">
        <v>413.16</v>
      </c>
    </row>
    <row r="1053" spans="1:11" x14ac:dyDescent="0.25">
      <c r="A1053" t="s">
        <v>4263</v>
      </c>
      <c r="B1053" t="s">
        <v>4264</v>
      </c>
      <c r="C1053" t="s">
        <v>3034</v>
      </c>
      <c r="D1053" s="1">
        <v>46023.3125</v>
      </c>
      <c r="E1053">
        <v>443.08</v>
      </c>
      <c r="F1053">
        <v>13.15</v>
      </c>
      <c r="G1053">
        <v>429.93</v>
      </c>
      <c r="H1053" t="s">
        <v>25</v>
      </c>
      <c r="I1053" t="s">
        <v>4265</v>
      </c>
      <c r="J1053" t="s">
        <v>3036</v>
      </c>
      <c r="K1053">
        <v>443.08</v>
      </c>
    </row>
    <row r="1054" spans="1:11" x14ac:dyDescent="0.25">
      <c r="A1054" t="s">
        <v>4266</v>
      </c>
      <c r="B1054" t="s">
        <v>4267</v>
      </c>
      <c r="C1054" t="s">
        <v>3034</v>
      </c>
      <c r="D1054" s="1">
        <v>46023.354166666664</v>
      </c>
      <c r="E1054">
        <v>388.7</v>
      </c>
      <c r="F1054">
        <v>11.57</v>
      </c>
      <c r="G1054">
        <v>377.13</v>
      </c>
      <c r="H1054" t="s">
        <v>25</v>
      </c>
      <c r="I1054" t="s">
        <v>4268</v>
      </c>
      <c r="J1054" t="s">
        <v>3036</v>
      </c>
      <c r="K1054">
        <v>388.7</v>
      </c>
    </row>
    <row r="1055" spans="1:11" x14ac:dyDescent="0.25">
      <c r="A1055" t="s">
        <v>4269</v>
      </c>
      <c r="B1055" t="s">
        <v>4270</v>
      </c>
      <c r="C1055" t="s">
        <v>3034</v>
      </c>
      <c r="D1055" s="1">
        <v>46023.395833333336</v>
      </c>
      <c r="E1055">
        <v>77.61</v>
      </c>
      <c r="F1055">
        <v>2.5499999999999998</v>
      </c>
      <c r="G1055">
        <v>75.06</v>
      </c>
      <c r="H1055" t="s">
        <v>25</v>
      </c>
      <c r="I1055" t="s">
        <v>4271</v>
      </c>
      <c r="J1055" t="s">
        <v>3036</v>
      </c>
      <c r="K1055">
        <v>77.61</v>
      </c>
    </row>
    <row r="1056" spans="1:11" x14ac:dyDescent="0.25">
      <c r="A1056" t="s">
        <v>4272</v>
      </c>
      <c r="B1056" t="s">
        <v>4273</v>
      </c>
      <c r="C1056" t="s">
        <v>3034</v>
      </c>
      <c r="D1056" s="1">
        <v>46023.4375</v>
      </c>
      <c r="E1056">
        <v>861.34</v>
      </c>
      <c r="F1056">
        <v>25.28</v>
      </c>
      <c r="G1056">
        <v>836.06</v>
      </c>
      <c r="H1056" t="s">
        <v>25</v>
      </c>
      <c r="I1056" t="s">
        <v>4274</v>
      </c>
      <c r="J1056" t="s">
        <v>3036</v>
      </c>
      <c r="K1056">
        <v>861.34</v>
      </c>
    </row>
    <row r="1057" spans="1:11" x14ac:dyDescent="0.25">
      <c r="A1057" t="s">
        <v>4275</v>
      </c>
      <c r="B1057" t="s">
        <v>4276</v>
      </c>
      <c r="C1057" t="s">
        <v>3034</v>
      </c>
      <c r="D1057" s="1">
        <v>46023.479166666664</v>
      </c>
      <c r="E1057">
        <v>724.92</v>
      </c>
      <c r="F1057">
        <v>21.32</v>
      </c>
      <c r="G1057">
        <v>703.6</v>
      </c>
      <c r="H1057" t="s">
        <v>25</v>
      </c>
      <c r="I1057" t="s">
        <v>4277</v>
      </c>
      <c r="J1057" t="s">
        <v>3036</v>
      </c>
      <c r="K1057">
        <v>724.92</v>
      </c>
    </row>
    <row r="1058" spans="1:11" x14ac:dyDescent="0.25">
      <c r="A1058" t="s">
        <v>4278</v>
      </c>
      <c r="B1058" t="s">
        <v>4279</v>
      </c>
      <c r="C1058" t="s">
        <v>3034</v>
      </c>
      <c r="D1058" s="1">
        <v>46023.520833333336</v>
      </c>
      <c r="E1058">
        <v>720.78</v>
      </c>
      <c r="F1058">
        <v>21.2</v>
      </c>
      <c r="G1058">
        <v>699.58</v>
      </c>
      <c r="H1058" t="s">
        <v>25</v>
      </c>
      <c r="I1058" t="s">
        <v>4280</v>
      </c>
      <c r="J1058" t="s">
        <v>3036</v>
      </c>
      <c r="K1058">
        <v>720.78</v>
      </c>
    </row>
    <row r="1059" spans="1:11" x14ac:dyDescent="0.25">
      <c r="A1059" t="s">
        <v>4281</v>
      </c>
      <c r="B1059" t="s">
        <v>4282</v>
      </c>
      <c r="C1059" t="s">
        <v>3034</v>
      </c>
      <c r="D1059" s="1">
        <v>46023.5625</v>
      </c>
      <c r="E1059">
        <v>282.49</v>
      </c>
      <c r="F1059">
        <v>8.49</v>
      </c>
      <c r="G1059">
        <v>274</v>
      </c>
      <c r="H1059" t="s">
        <v>25</v>
      </c>
      <c r="I1059" t="s">
        <v>4283</v>
      </c>
      <c r="J1059" t="s">
        <v>3036</v>
      </c>
      <c r="K1059">
        <v>282.49</v>
      </c>
    </row>
    <row r="1060" spans="1:11" x14ac:dyDescent="0.25">
      <c r="A1060" t="s">
        <v>4284</v>
      </c>
      <c r="B1060" t="s">
        <v>4285</v>
      </c>
      <c r="C1060" t="s">
        <v>3034</v>
      </c>
      <c r="D1060" s="1">
        <v>46023.604166666664</v>
      </c>
      <c r="E1060">
        <v>370.03</v>
      </c>
      <c r="F1060">
        <v>11.03</v>
      </c>
      <c r="G1060">
        <v>359</v>
      </c>
      <c r="H1060" t="s">
        <v>25</v>
      </c>
      <c r="I1060" t="s">
        <v>4286</v>
      </c>
      <c r="J1060" t="s">
        <v>3036</v>
      </c>
      <c r="K1060">
        <v>370.03</v>
      </c>
    </row>
    <row r="1061" spans="1:11" x14ac:dyDescent="0.25">
      <c r="A1061" t="s">
        <v>4287</v>
      </c>
      <c r="B1061" t="s">
        <v>4288</v>
      </c>
      <c r="C1061" t="s">
        <v>3034</v>
      </c>
      <c r="D1061" s="1">
        <v>46023.645833333336</v>
      </c>
      <c r="E1061">
        <v>636.76</v>
      </c>
      <c r="F1061">
        <v>18.77</v>
      </c>
      <c r="G1061">
        <v>617.99</v>
      </c>
      <c r="H1061" t="s">
        <v>25</v>
      </c>
      <c r="I1061" t="s">
        <v>4289</v>
      </c>
      <c r="J1061" t="s">
        <v>3036</v>
      </c>
      <c r="K1061">
        <v>636.76</v>
      </c>
    </row>
    <row r="1062" spans="1:11" x14ac:dyDescent="0.25">
      <c r="A1062" t="s">
        <v>4290</v>
      </c>
      <c r="B1062" t="s">
        <v>4291</v>
      </c>
      <c r="C1062" t="s">
        <v>3034</v>
      </c>
      <c r="D1062" s="1">
        <v>46023.6875</v>
      </c>
      <c r="E1062">
        <v>608.98</v>
      </c>
      <c r="F1062">
        <v>17.96</v>
      </c>
      <c r="G1062">
        <v>591.02</v>
      </c>
      <c r="H1062" t="s">
        <v>25</v>
      </c>
      <c r="I1062" t="s">
        <v>4292</v>
      </c>
      <c r="J1062" t="s">
        <v>3036</v>
      </c>
      <c r="K1062">
        <v>608.98</v>
      </c>
    </row>
    <row r="1063" spans="1:11" x14ac:dyDescent="0.25">
      <c r="A1063" t="s">
        <v>4293</v>
      </c>
      <c r="B1063" t="s">
        <v>4294</v>
      </c>
      <c r="C1063" t="s">
        <v>3034</v>
      </c>
      <c r="D1063" s="1">
        <v>46023.729166666664</v>
      </c>
      <c r="E1063">
        <v>655.01</v>
      </c>
      <c r="F1063">
        <v>19.3</v>
      </c>
      <c r="G1063">
        <v>635.71</v>
      </c>
      <c r="H1063" t="s">
        <v>25</v>
      </c>
      <c r="I1063" t="s">
        <v>4295</v>
      </c>
      <c r="J1063" t="s">
        <v>3036</v>
      </c>
      <c r="K1063">
        <v>655.01</v>
      </c>
    </row>
    <row r="1064" spans="1:11" x14ac:dyDescent="0.25">
      <c r="A1064" t="s">
        <v>4296</v>
      </c>
      <c r="B1064" t="s">
        <v>4297</v>
      </c>
      <c r="C1064" t="s">
        <v>3034</v>
      </c>
      <c r="D1064" s="1">
        <v>46023.770833333336</v>
      </c>
      <c r="E1064">
        <v>648.86</v>
      </c>
      <c r="F1064">
        <v>19.12</v>
      </c>
      <c r="G1064">
        <v>629.74</v>
      </c>
      <c r="H1064" t="s">
        <v>25</v>
      </c>
      <c r="I1064" t="s">
        <v>4298</v>
      </c>
      <c r="J1064" t="s">
        <v>3036</v>
      </c>
      <c r="K1064">
        <v>648.86</v>
      </c>
    </row>
    <row r="1065" spans="1:11" x14ac:dyDescent="0.25">
      <c r="A1065" t="s">
        <v>4299</v>
      </c>
      <c r="B1065" t="s">
        <v>4300</v>
      </c>
      <c r="C1065" t="s">
        <v>3034</v>
      </c>
      <c r="D1065" s="1">
        <v>46023.8125</v>
      </c>
      <c r="E1065">
        <v>8.09</v>
      </c>
      <c r="F1065">
        <v>0.53</v>
      </c>
      <c r="G1065">
        <v>7.56</v>
      </c>
      <c r="H1065" t="s">
        <v>25</v>
      </c>
      <c r="I1065" t="s">
        <v>4301</v>
      </c>
      <c r="J1065" t="s">
        <v>3036</v>
      </c>
      <c r="K1065">
        <v>8.09</v>
      </c>
    </row>
    <row r="1066" spans="1:11" x14ac:dyDescent="0.25">
      <c r="A1066" t="s">
        <v>4302</v>
      </c>
      <c r="B1066" t="s">
        <v>4303</v>
      </c>
      <c r="C1066" t="s">
        <v>3034</v>
      </c>
      <c r="D1066" s="1">
        <v>46023.854166666664</v>
      </c>
      <c r="E1066">
        <v>557.17999999999995</v>
      </c>
      <c r="F1066">
        <v>16.46</v>
      </c>
      <c r="G1066">
        <v>540.72</v>
      </c>
      <c r="H1066" t="s">
        <v>25</v>
      </c>
      <c r="I1066" t="s">
        <v>4304</v>
      </c>
      <c r="J1066" t="s">
        <v>3036</v>
      </c>
      <c r="K1066">
        <v>557.17999999999995</v>
      </c>
    </row>
    <row r="1067" spans="1:11" x14ac:dyDescent="0.25">
      <c r="A1067" t="s">
        <v>4305</v>
      </c>
      <c r="B1067" t="s">
        <v>4306</v>
      </c>
      <c r="C1067" t="s">
        <v>3034</v>
      </c>
      <c r="D1067" s="1">
        <v>46023.895833333336</v>
      </c>
      <c r="E1067">
        <v>841.29</v>
      </c>
      <c r="F1067">
        <v>24.7</v>
      </c>
      <c r="G1067">
        <v>816.59</v>
      </c>
      <c r="H1067" t="s">
        <v>25</v>
      </c>
      <c r="I1067" t="s">
        <v>4307</v>
      </c>
      <c r="J1067" t="s">
        <v>3036</v>
      </c>
      <c r="K1067">
        <v>841.29</v>
      </c>
    </row>
    <row r="1068" spans="1:11" x14ac:dyDescent="0.25">
      <c r="A1068" t="s">
        <v>4308</v>
      </c>
      <c r="B1068" t="s">
        <v>4309</v>
      </c>
      <c r="C1068" t="s">
        <v>3034</v>
      </c>
      <c r="D1068" s="1">
        <v>46023.9375</v>
      </c>
      <c r="E1068">
        <v>505.79</v>
      </c>
      <c r="F1068">
        <v>14.97</v>
      </c>
      <c r="G1068">
        <v>490.82</v>
      </c>
      <c r="H1068" t="s">
        <v>25</v>
      </c>
      <c r="I1068" t="s">
        <v>4310</v>
      </c>
      <c r="J1068" t="s">
        <v>3036</v>
      </c>
      <c r="K1068">
        <v>505.79</v>
      </c>
    </row>
    <row r="1069" spans="1:11" x14ac:dyDescent="0.25">
      <c r="A1069" t="s">
        <v>4311</v>
      </c>
      <c r="B1069" t="s">
        <v>4312</v>
      </c>
      <c r="C1069" t="s">
        <v>3034</v>
      </c>
      <c r="D1069" s="1">
        <v>46023.979166666664</v>
      </c>
      <c r="E1069">
        <v>157.58000000000001</v>
      </c>
      <c r="F1069">
        <v>4.87</v>
      </c>
      <c r="G1069">
        <v>152.71</v>
      </c>
      <c r="H1069" t="s">
        <v>25</v>
      </c>
      <c r="I1069" t="s">
        <v>4313</v>
      </c>
      <c r="J1069" t="s">
        <v>3036</v>
      </c>
      <c r="K1069">
        <v>157.58000000000001</v>
      </c>
    </row>
    <row r="1070" spans="1:11" x14ac:dyDescent="0.25">
      <c r="A1070" t="s">
        <v>4314</v>
      </c>
      <c r="B1070" t="s">
        <v>4315</v>
      </c>
      <c r="C1070" t="s">
        <v>3034</v>
      </c>
      <c r="D1070" s="1">
        <v>46024.020833333336</v>
      </c>
      <c r="E1070">
        <v>589.05999999999995</v>
      </c>
      <c r="F1070">
        <v>17.38</v>
      </c>
      <c r="G1070">
        <v>571.67999999999995</v>
      </c>
      <c r="H1070" t="s">
        <v>25</v>
      </c>
      <c r="I1070" t="s">
        <v>4316</v>
      </c>
      <c r="J1070" t="s">
        <v>3036</v>
      </c>
      <c r="K1070">
        <v>589.05999999999995</v>
      </c>
    </row>
    <row r="1071" spans="1:11" x14ac:dyDescent="0.25">
      <c r="A1071" t="s">
        <v>4317</v>
      </c>
      <c r="B1071" t="s">
        <v>4318</v>
      </c>
      <c r="C1071" t="s">
        <v>3034</v>
      </c>
      <c r="D1071" s="1">
        <v>46024.0625</v>
      </c>
      <c r="E1071">
        <v>635.55999999999995</v>
      </c>
      <c r="F1071">
        <v>18.73</v>
      </c>
      <c r="G1071">
        <v>616.83000000000004</v>
      </c>
      <c r="H1071" t="s">
        <v>25</v>
      </c>
      <c r="I1071" t="s">
        <v>4319</v>
      </c>
      <c r="J1071" t="s">
        <v>3036</v>
      </c>
      <c r="K1071">
        <v>635.55999999999995</v>
      </c>
    </row>
    <row r="1072" spans="1:11" x14ac:dyDescent="0.25">
      <c r="A1072" t="s">
        <v>4320</v>
      </c>
      <c r="B1072" t="s">
        <v>4321</v>
      </c>
      <c r="C1072" t="s">
        <v>3034</v>
      </c>
      <c r="D1072" s="1">
        <v>46023.229166666664</v>
      </c>
      <c r="F1072">
        <v>0.3</v>
      </c>
      <c r="G1072">
        <v>0</v>
      </c>
      <c r="H1072" t="s">
        <v>25</v>
      </c>
      <c r="I1072" t="s">
        <v>4322</v>
      </c>
      <c r="J1072" t="s">
        <v>3036</v>
      </c>
    </row>
    <row r="1073" spans="1:10" x14ac:dyDescent="0.25">
      <c r="A1073" t="s">
        <v>4323</v>
      </c>
      <c r="B1073" t="s">
        <v>4324</v>
      </c>
      <c r="C1073" t="s">
        <v>3034</v>
      </c>
      <c r="D1073" s="1">
        <v>46023.229166666664</v>
      </c>
      <c r="F1073">
        <v>0.3</v>
      </c>
      <c r="G1073">
        <v>0</v>
      </c>
      <c r="H1073" t="s">
        <v>25</v>
      </c>
      <c r="I1073" t="s">
        <v>4325</v>
      </c>
      <c r="J1073" t="s">
        <v>3036</v>
      </c>
    </row>
    <row r="1074" spans="1:10" x14ac:dyDescent="0.25">
      <c r="A1074" t="s">
        <v>4326</v>
      </c>
      <c r="B1074" t="s">
        <v>4327</v>
      </c>
      <c r="C1074" t="s">
        <v>3034</v>
      </c>
      <c r="D1074" s="1">
        <v>46023.229166666664</v>
      </c>
      <c r="F1074">
        <v>0.3</v>
      </c>
      <c r="G1074">
        <v>0</v>
      </c>
      <c r="H1074" t="s">
        <v>25</v>
      </c>
      <c r="I1074" t="s">
        <v>4328</v>
      </c>
      <c r="J1074" t="s">
        <v>3036</v>
      </c>
    </row>
    <row r="1075" spans="1:10" x14ac:dyDescent="0.25">
      <c r="A1075" t="s">
        <v>4329</v>
      </c>
      <c r="B1075" t="s">
        <v>4330</v>
      </c>
      <c r="C1075" t="s">
        <v>3034</v>
      </c>
      <c r="D1075" s="1">
        <v>46023.229166666664</v>
      </c>
      <c r="F1075">
        <v>0.3</v>
      </c>
      <c r="G1075">
        <v>0</v>
      </c>
      <c r="H1075" t="s">
        <v>25</v>
      </c>
      <c r="I1075" t="s">
        <v>4331</v>
      </c>
      <c r="J1075" t="s">
        <v>3036</v>
      </c>
    </row>
    <row r="1076" spans="1:10" x14ac:dyDescent="0.25">
      <c r="A1076" t="s">
        <v>4332</v>
      </c>
      <c r="B1076" t="s">
        <v>4333</v>
      </c>
      <c r="C1076" t="s">
        <v>3034</v>
      </c>
      <c r="D1076" s="1">
        <v>46023.229166666664</v>
      </c>
      <c r="F1076">
        <v>0.3</v>
      </c>
      <c r="G1076">
        <v>0</v>
      </c>
      <c r="H1076" t="s">
        <v>25</v>
      </c>
      <c r="I1076" t="s">
        <v>4334</v>
      </c>
      <c r="J1076" t="s">
        <v>3036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85FA-2568-4FE6-94EB-EDED87AC6979}">
  <dimension ref="A1:G220"/>
  <sheetViews>
    <sheetView topLeftCell="R1" workbookViewId="0">
      <selection activeCell="B17" sqref="B17"/>
    </sheetView>
  </sheetViews>
  <sheetFormatPr defaultRowHeight="15" x14ac:dyDescent="0.25"/>
  <cols>
    <col min="1" max="1" width="24.85546875" bestFit="1" customWidth="1"/>
    <col min="2" max="2" width="36.28515625" bestFit="1" customWidth="1"/>
    <col min="3" max="3" width="15.5703125" bestFit="1" customWidth="1"/>
    <col min="4" max="4" width="18.7109375" bestFit="1" customWidth="1"/>
    <col min="5" max="5" width="11.140625" bestFit="1" customWidth="1"/>
    <col min="6" max="6" width="28.85546875" bestFit="1" customWidth="1"/>
    <col min="7" max="7" width="57.7109375" bestFit="1" customWidth="1"/>
  </cols>
  <sheetData>
    <row r="1" spans="1:7" x14ac:dyDescent="0.25">
      <c r="A1" t="s">
        <v>4335</v>
      </c>
      <c r="B1" t="s">
        <v>3031</v>
      </c>
      <c r="C1" t="s">
        <v>4336</v>
      </c>
      <c r="D1" t="s">
        <v>4337</v>
      </c>
      <c r="E1" t="s">
        <v>13</v>
      </c>
      <c r="F1" t="s">
        <v>4338</v>
      </c>
      <c r="G1" t="s">
        <v>4339</v>
      </c>
    </row>
    <row r="2" spans="1:7" x14ac:dyDescent="0.25">
      <c r="A2" t="s">
        <v>4340</v>
      </c>
      <c r="B2" t="s">
        <v>3369</v>
      </c>
      <c r="C2" s="1">
        <v>46037.625127314815</v>
      </c>
      <c r="D2">
        <v>1862.63</v>
      </c>
      <c r="E2" t="s">
        <v>25</v>
      </c>
      <c r="F2" t="s">
        <v>4341</v>
      </c>
      <c r="G2" t="s">
        <v>4342</v>
      </c>
    </row>
    <row r="3" spans="1:7" x14ac:dyDescent="0.25">
      <c r="A3" t="s">
        <v>4343</v>
      </c>
      <c r="B3" t="s">
        <v>3385</v>
      </c>
      <c r="C3" s="1">
        <v>46037.910208333335</v>
      </c>
      <c r="D3">
        <v>933.85</v>
      </c>
      <c r="E3" t="s">
        <v>52</v>
      </c>
      <c r="F3" t="s">
        <v>4344</v>
      </c>
      <c r="G3" t="s">
        <v>4345</v>
      </c>
    </row>
    <row r="4" spans="1:7" x14ac:dyDescent="0.25">
      <c r="A4" t="s">
        <v>4346</v>
      </c>
      <c r="B4" t="s">
        <v>3414</v>
      </c>
      <c r="C4" s="1">
        <v>46034.125567129631</v>
      </c>
      <c r="D4">
        <v>9.01</v>
      </c>
      <c r="E4" t="s">
        <v>25</v>
      </c>
      <c r="F4" t="s">
        <v>4347</v>
      </c>
      <c r="G4" t="s">
        <v>4348</v>
      </c>
    </row>
    <row r="5" spans="1:7" x14ac:dyDescent="0.25">
      <c r="A5" t="s">
        <v>4349</v>
      </c>
      <c r="B5" t="s">
        <v>3508</v>
      </c>
      <c r="C5" s="1">
        <v>46033.522569444445</v>
      </c>
      <c r="D5">
        <v>1800.61</v>
      </c>
      <c r="E5" t="s">
        <v>25</v>
      </c>
      <c r="F5" t="s">
        <v>4350</v>
      </c>
      <c r="G5" t="s">
        <v>4351</v>
      </c>
    </row>
    <row r="6" spans="1:7" x14ac:dyDescent="0.25">
      <c r="A6" t="s">
        <v>4352</v>
      </c>
      <c r="B6" t="s">
        <v>3614</v>
      </c>
      <c r="C6" s="1">
        <v>46024.430277777778</v>
      </c>
      <c r="D6">
        <v>1806.68</v>
      </c>
      <c r="E6" t="s">
        <v>25</v>
      </c>
      <c r="F6" t="s">
        <v>4353</v>
      </c>
      <c r="G6" t="s">
        <v>4354</v>
      </c>
    </row>
    <row r="7" spans="1:7" x14ac:dyDescent="0.25">
      <c r="A7" t="s">
        <v>4355</v>
      </c>
      <c r="B7" t="s">
        <v>3679</v>
      </c>
      <c r="C7" s="1">
        <v>46027.802789351852</v>
      </c>
      <c r="D7">
        <v>1646.63</v>
      </c>
      <c r="E7" t="s">
        <v>25</v>
      </c>
      <c r="F7" t="s">
        <v>4356</v>
      </c>
      <c r="G7" t="s">
        <v>4357</v>
      </c>
    </row>
    <row r="8" spans="1:7" x14ac:dyDescent="0.25">
      <c r="A8" t="s">
        <v>4358</v>
      </c>
      <c r="B8" t="s">
        <v>3838</v>
      </c>
      <c r="C8" s="1">
        <v>46035.403229166666</v>
      </c>
      <c r="D8">
        <v>2325.66</v>
      </c>
      <c r="E8" t="s">
        <v>25</v>
      </c>
      <c r="F8" t="s">
        <v>4359</v>
      </c>
      <c r="G8" t="s">
        <v>4360</v>
      </c>
    </row>
    <row r="9" spans="1:7" x14ac:dyDescent="0.25">
      <c r="A9" t="s">
        <v>4361</v>
      </c>
      <c r="B9" t="s">
        <v>3956</v>
      </c>
      <c r="C9" s="1">
        <v>46037.16375</v>
      </c>
      <c r="D9">
        <v>1868.75</v>
      </c>
      <c r="E9" t="s">
        <v>19</v>
      </c>
      <c r="F9" t="s">
        <v>4362</v>
      </c>
      <c r="G9" t="s">
        <v>4363</v>
      </c>
    </row>
    <row r="10" spans="1:7" x14ac:dyDescent="0.25">
      <c r="A10" t="s">
        <v>4364</v>
      </c>
      <c r="B10" t="s">
        <v>4132</v>
      </c>
      <c r="C10" s="1">
        <v>46027.459537037037</v>
      </c>
      <c r="D10">
        <v>1792.15</v>
      </c>
      <c r="E10" t="s">
        <v>25</v>
      </c>
      <c r="F10" t="s">
        <v>4365</v>
      </c>
      <c r="G10" t="s">
        <v>4366</v>
      </c>
    </row>
    <row r="11" spans="1:7" x14ac:dyDescent="0.25">
      <c r="A11" t="s">
        <v>4367</v>
      </c>
      <c r="B11" t="s">
        <v>4218</v>
      </c>
      <c r="C11" s="1">
        <v>46034.540196759262</v>
      </c>
      <c r="D11">
        <v>31.69</v>
      </c>
      <c r="E11" t="s">
        <v>25</v>
      </c>
      <c r="F11" t="s">
        <v>4368</v>
      </c>
      <c r="G11" t="s">
        <v>4369</v>
      </c>
    </row>
    <row r="12" spans="1:7" x14ac:dyDescent="0.25">
      <c r="A12" t="s">
        <v>4370</v>
      </c>
      <c r="B12" t="s">
        <v>3184</v>
      </c>
      <c r="C12" s="1">
        <v>46035.33148148148</v>
      </c>
      <c r="D12">
        <v>767.13</v>
      </c>
      <c r="E12" t="s">
        <v>25</v>
      </c>
      <c r="F12" t="s">
        <v>4371</v>
      </c>
      <c r="G12" t="s">
        <v>4372</v>
      </c>
    </row>
    <row r="13" spans="1:7" x14ac:dyDescent="0.25">
      <c r="A13" t="s">
        <v>4373</v>
      </c>
      <c r="B13" t="s">
        <v>3290</v>
      </c>
      <c r="C13" s="1">
        <v>46027.597083333334</v>
      </c>
      <c r="D13">
        <v>2324.87</v>
      </c>
      <c r="E13" t="s">
        <v>25</v>
      </c>
      <c r="F13" t="s">
        <v>4374</v>
      </c>
      <c r="G13" t="s">
        <v>4375</v>
      </c>
    </row>
    <row r="14" spans="1:7" x14ac:dyDescent="0.25">
      <c r="A14" t="s">
        <v>4376</v>
      </c>
      <c r="B14" t="s">
        <v>3388</v>
      </c>
      <c r="C14" s="1">
        <v>46026.113576388889</v>
      </c>
      <c r="D14">
        <v>1332.59</v>
      </c>
      <c r="E14" t="s">
        <v>52</v>
      </c>
      <c r="F14" t="s">
        <v>4377</v>
      </c>
      <c r="G14" t="s">
        <v>4378</v>
      </c>
    </row>
    <row r="15" spans="1:7" x14ac:dyDescent="0.25">
      <c r="A15" t="s">
        <v>4379</v>
      </c>
      <c r="B15" t="s">
        <v>3557</v>
      </c>
      <c r="C15" s="1">
        <v>46024.54210648148</v>
      </c>
      <c r="D15">
        <v>1777.1</v>
      </c>
      <c r="E15" t="s">
        <v>52</v>
      </c>
      <c r="F15" t="s">
        <v>4380</v>
      </c>
      <c r="G15" t="s">
        <v>4381</v>
      </c>
    </row>
    <row r="16" spans="1:7" x14ac:dyDescent="0.25">
      <c r="A16" t="s">
        <v>4382</v>
      </c>
      <c r="B16" t="s">
        <v>3637</v>
      </c>
      <c r="C16" s="1">
        <v>46033.523958333331</v>
      </c>
      <c r="D16">
        <v>1101.1199999999999</v>
      </c>
      <c r="E16" t="s">
        <v>52</v>
      </c>
      <c r="F16" t="s">
        <v>4383</v>
      </c>
      <c r="G16" t="s">
        <v>4384</v>
      </c>
    </row>
    <row r="17" spans="1:7" x14ac:dyDescent="0.25">
      <c r="A17" t="s">
        <v>4385</v>
      </c>
      <c r="B17" t="s">
        <v>3688</v>
      </c>
      <c r="C17" s="1">
        <v>46035.57068287037</v>
      </c>
      <c r="D17">
        <v>397.58</v>
      </c>
      <c r="E17" t="s">
        <v>52</v>
      </c>
      <c r="F17" t="s">
        <v>4386</v>
      </c>
      <c r="G17" t="s">
        <v>4387</v>
      </c>
    </row>
    <row r="18" spans="1:7" x14ac:dyDescent="0.25">
      <c r="A18" t="s">
        <v>4388</v>
      </c>
      <c r="B18" t="s">
        <v>3719</v>
      </c>
      <c r="C18" s="1">
        <v>46037.209594907406</v>
      </c>
      <c r="D18">
        <v>2370.09</v>
      </c>
      <c r="E18" t="s">
        <v>52</v>
      </c>
      <c r="F18" t="s">
        <v>4389</v>
      </c>
      <c r="G18" t="s">
        <v>4390</v>
      </c>
    </row>
    <row r="19" spans="1:7" x14ac:dyDescent="0.25">
      <c r="A19" t="s">
        <v>4391</v>
      </c>
      <c r="B19" t="s">
        <v>3722</v>
      </c>
      <c r="C19" s="1">
        <v>46024.409537037034</v>
      </c>
      <c r="D19">
        <v>1318.36</v>
      </c>
      <c r="E19" t="s">
        <v>52</v>
      </c>
      <c r="F19" t="s">
        <v>4392</v>
      </c>
      <c r="G19" t="s">
        <v>4393</v>
      </c>
    </row>
    <row r="20" spans="1:7" x14ac:dyDescent="0.25">
      <c r="A20" t="s">
        <v>4394</v>
      </c>
      <c r="B20" t="s">
        <v>3736</v>
      </c>
      <c r="C20" s="1">
        <v>46036.498136574075</v>
      </c>
      <c r="D20">
        <v>2264.44</v>
      </c>
      <c r="E20" t="s">
        <v>52</v>
      </c>
      <c r="F20" t="s">
        <v>4395</v>
      </c>
      <c r="G20" t="s">
        <v>4396</v>
      </c>
    </row>
    <row r="21" spans="1:7" x14ac:dyDescent="0.25">
      <c r="A21" t="s">
        <v>4397</v>
      </c>
      <c r="B21" t="s">
        <v>4022</v>
      </c>
      <c r="C21" s="1">
        <v>46032.918657407405</v>
      </c>
      <c r="D21">
        <v>722.82</v>
      </c>
      <c r="E21" t="s">
        <v>52</v>
      </c>
      <c r="F21" t="s">
        <v>4398</v>
      </c>
      <c r="G21" t="s">
        <v>4399</v>
      </c>
    </row>
    <row r="22" spans="1:7" x14ac:dyDescent="0.25">
      <c r="A22" t="s">
        <v>4400</v>
      </c>
      <c r="B22" t="s">
        <v>3091</v>
      </c>
      <c r="C22" s="1">
        <v>46027.086342592593</v>
      </c>
      <c r="D22">
        <v>555.08000000000004</v>
      </c>
      <c r="E22" t="s">
        <v>25</v>
      </c>
      <c r="F22" t="s">
        <v>4401</v>
      </c>
      <c r="G22" t="s">
        <v>4402</v>
      </c>
    </row>
    <row r="23" spans="1:7" x14ac:dyDescent="0.25">
      <c r="A23" t="s">
        <v>4403</v>
      </c>
      <c r="B23" t="s">
        <v>3104</v>
      </c>
      <c r="C23" s="1">
        <v>46037.00172453704</v>
      </c>
      <c r="D23">
        <v>2265.19</v>
      </c>
      <c r="E23" t="s">
        <v>25</v>
      </c>
      <c r="F23" t="s">
        <v>4404</v>
      </c>
      <c r="G23" t="s">
        <v>4405</v>
      </c>
    </row>
    <row r="24" spans="1:7" x14ac:dyDescent="0.25">
      <c r="A24" t="s">
        <v>4406</v>
      </c>
      <c r="B24" t="s">
        <v>3110</v>
      </c>
      <c r="C24" s="1">
        <v>46027.45820601852</v>
      </c>
      <c r="D24">
        <v>1325.26</v>
      </c>
      <c r="E24" t="s">
        <v>52</v>
      </c>
      <c r="F24" t="s">
        <v>4407</v>
      </c>
      <c r="G24" t="s">
        <v>4408</v>
      </c>
    </row>
    <row r="25" spans="1:7" x14ac:dyDescent="0.25">
      <c r="A25" t="s">
        <v>4409</v>
      </c>
      <c r="B25" t="s">
        <v>3143</v>
      </c>
      <c r="C25" s="1">
        <v>46025.873819444445</v>
      </c>
      <c r="D25">
        <v>606.98</v>
      </c>
      <c r="E25" t="s">
        <v>52</v>
      </c>
      <c r="F25" t="s">
        <v>4410</v>
      </c>
      <c r="G25" t="s">
        <v>4411</v>
      </c>
    </row>
    <row r="26" spans="1:7" x14ac:dyDescent="0.25">
      <c r="A26" t="s">
        <v>4412</v>
      </c>
      <c r="B26" t="s">
        <v>3515</v>
      </c>
      <c r="C26" s="1">
        <v>46037.890324074076</v>
      </c>
      <c r="D26">
        <v>2233.4499999999998</v>
      </c>
      <c r="E26" t="s">
        <v>52</v>
      </c>
      <c r="F26" t="s">
        <v>4413</v>
      </c>
      <c r="G26" t="s">
        <v>4414</v>
      </c>
    </row>
    <row r="27" spans="1:7" x14ac:dyDescent="0.25">
      <c r="A27" t="s">
        <v>4415</v>
      </c>
      <c r="B27" t="s">
        <v>3569</v>
      </c>
      <c r="C27" s="1">
        <v>46032.274224537039</v>
      </c>
      <c r="D27">
        <v>1526.87</v>
      </c>
      <c r="E27" t="s">
        <v>52</v>
      </c>
      <c r="F27" t="s">
        <v>4416</v>
      </c>
      <c r="G27" t="s">
        <v>4417</v>
      </c>
    </row>
    <row r="28" spans="1:7" x14ac:dyDescent="0.25">
      <c r="A28" t="s">
        <v>4418</v>
      </c>
      <c r="B28" t="s">
        <v>3571</v>
      </c>
      <c r="C28" s="1">
        <v>46033.374398148146</v>
      </c>
      <c r="D28">
        <v>152.44</v>
      </c>
      <c r="E28" t="s">
        <v>52</v>
      </c>
      <c r="F28" t="s">
        <v>4419</v>
      </c>
      <c r="G28" t="s">
        <v>4420</v>
      </c>
    </row>
    <row r="29" spans="1:7" x14ac:dyDescent="0.25">
      <c r="A29" t="s">
        <v>4421</v>
      </c>
      <c r="B29" t="s">
        <v>3584</v>
      </c>
      <c r="C29" s="1">
        <v>46029.300787037035</v>
      </c>
      <c r="D29">
        <v>1667.87</v>
      </c>
      <c r="E29" t="s">
        <v>52</v>
      </c>
      <c r="F29" t="s">
        <v>4422</v>
      </c>
      <c r="G29" t="s">
        <v>4423</v>
      </c>
    </row>
    <row r="30" spans="1:7" x14ac:dyDescent="0.25">
      <c r="A30" t="s">
        <v>4424</v>
      </c>
      <c r="B30" t="s">
        <v>3898</v>
      </c>
      <c r="C30" s="1">
        <v>46028.875543981485</v>
      </c>
      <c r="D30">
        <v>2178.11</v>
      </c>
      <c r="E30" t="s">
        <v>52</v>
      </c>
      <c r="F30" t="s">
        <v>4425</v>
      </c>
      <c r="G30" t="s">
        <v>4426</v>
      </c>
    </row>
    <row r="31" spans="1:7" x14ac:dyDescent="0.25">
      <c r="A31" t="s">
        <v>4427</v>
      </c>
      <c r="B31" t="s">
        <v>3992</v>
      </c>
      <c r="C31" s="1">
        <v>46032.363807870373</v>
      </c>
      <c r="D31">
        <v>1877.59</v>
      </c>
      <c r="E31" t="s">
        <v>52</v>
      </c>
      <c r="F31" t="s">
        <v>4428</v>
      </c>
      <c r="G31" t="s">
        <v>4429</v>
      </c>
    </row>
    <row r="32" spans="1:7" x14ac:dyDescent="0.25">
      <c r="A32" t="s">
        <v>4430</v>
      </c>
      <c r="B32" t="s">
        <v>3089</v>
      </c>
      <c r="C32" s="1">
        <v>46025.997766203705</v>
      </c>
      <c r="D32">
        <v>1762.4</v>
      </c>
      <c r="E32" t="s">
        <v>52</v>
      </c>
      <c r="F32" t="s">
        <v>4431</v>
      </c>
      <c r="G32" t="s">
        <v>4432</v>
      </c>
    </row>
    <row r="33" spans="1:7" x14ac:dyDescent="0.25">
      <c r="A33" t="s">
        <v>4430</v>
      </c>
      <c r="B33" t="s">
        <v>3089</v>
      </c>
      <c r="C33" s="1">
        <v>46025.997766203705</v>
      </c>
      <c r="D33">
        <v>1762.4</v>
      </c>
      <c r="E33" t="s">
        <v>52</v>
      </c>
      <c r="F33" t="s">
        <v>4431</v>
      </c>
      <c r="G33" t="s">
        <v>4432</v>
      </c>
    </row>
    <row r="34" spans="1:7" x14ac:dyDescent="0.25">
      <c r="A34" t="s">
        <v>4433</v>
      </c>
      <c r="B34" t="s">
        <v>3124</v>
      </c>
      <c r="C34" s="1">
        <v>46024.491724537038</v>
      </c>
      <c r="D34">
        <v>268.99</v>
      </c>
      <c r="E34" t="s">
        <v>25</v>
      </c>
      <c r="F34" t="s">
        <v>4434</v>
      </c>
      <c r="G34" t="s">
        <v>4435</v>
      </c>
    </row>
    <row r="35" spans="1:7" x14ac:dyDescent="0.25">
      <c r="A35" t="s">
        <v>4433</v>
      </c>
      <c r="B35" t="s">
        <v>3124</v>
      </c>
      <c r="C35" s="1">
        <v>46024.491724537038</v>
      </c>
      <c r="D35">
        <v>268.99</v>
      </c>
      <c r="E35" t="s">
        <v>25</v>
      </c>
      <c r="F35" t="s">
        <v>4434</v>
      </c>
      <c r="G35" t="s">
        <v>4435</v>
      </c>
    </row>
    <row r="36" spans="1:7" x14ac:dyDescent="0.25">
      <c r="A36" t="s">
        <v>4436</v>
      </c>
      <c r="B36" t="s">
        <v>3293</v>
      </c>
      <c r="C36" s="1">
        <v>46029.780775462961</v>
      </c>
      <c r="D36">
        <v>817.84</v>
      </c>
      <c r="E36" t="s">
        <v>25</v>
      </c>
      <c r="F36" t="s">
        <v>4437</v>
      </c>
      <c r="G36" t="s">
        <v>4438</v>
      </c>
    </row>
    <row r="37" spans="1:7" x14ac:dyDescent="0.25">
      <c r="A37" t="s">
        <v>4436</v>
      </c>
      <c r="B37" t="s">
        <v>3293</v>
      </c>
      <c r="C37" s="1">
        <v>46029.780775462961</v>
      </c>
      <c r="D37">
        <v>817.84</v>
      </c>
      <c r="E37" t="s">
        <v>25</v>
      </c>
      <c r="F37" t="s">
        <v>4437</v>
      </c>
      <c r="G37" t="s">
        <v>4438</v>
      </c>
    </row>
    <row r="38" spans="1:7" x14ac:dyDescent="0.25">
      <c r="A38" t="s">
        <v>4439</v>
      </c>
      <c r="B38" t="s">
        <v>3443</v>
      </c>
      <c r="C38" s="1">
        <v>46032.59171296296</v>
      </c>
      <c r="D38">
        <v>2368.5700000000002</v>
      </c>
      <c r="E38" t="s">
        <v>19</v>
      </c>
      <c r="F38" t="s">
        <v>4440</v>
      </c>
      <c r="G38" t="s">
        <v>4441</v>
      </c>
    </row>
    <row r="39" spans="1:7" x14ac:dyDescent="0.25">
      <c r="A39" t="s">
        <v>4439</v>
      </c>
      <c r="B39" t="s">
        <v>3443</v>
      </c>
      <c r="C39" s="1">
        <v>46032.59171296296</v>
      </c>
      <c r="D39">
        <v>2368.5700000000002</v>
      </c>
      <c r="E39" t="s">
        <v>19</v>
      </c>
      <c r="F39" t="s">
        <v>4440</v>
      </c>
      <c r="G39" t="s">
        <v>4441</v>
      </c>
    </row>
    <row r="40" spans="1:7" x14ac:dyDescent="0.25">
      <c r="A40" t="s">
        <v>4442</v>
      </c>
      <c r="B40" t="s">
        <v>3453</v>
      </c>
      <c r="C40" s="1">
        <v>46028.503692129627</v>
      </c>
      <c r="D40">
        <v>97.68</v>
      </c>
      <c r="E40" t="s">
        <v>19</v>
      </c>
      <c r="F40" t="s">
        <v>4443</v>
      </c>
      <c r="G40" t="s">
        <v>4444</v>
      </c>
    </row>
    <row r="41" spans="1:7" x14ac:dyDescent="0.25">
      <c r="A41" t="s">
        <v>4442</v>
      </c>
      <c r="B41" t="s">
        <v>3453</v>
      </c>
      <c r="C41" s="1">
        <v>46028.503692129627</v>
      </c>
      <c r="D41">
        <v>97.68</v>
      </c>
      <c r="E41" t="s">
        <v>19</v>
      </c>
      <c r="F41" t="s">
        <v>4443</v>
      </c>
      <c r="G41" t="s">
        <v>4444</v>
      </c>
    </row>
    <row r="42" spans="1:7" x14ac:dyDescent="0.25">
      <c r="A42" t="s">
        <v>4445</v>
      </c>
      <c r="B42" t="s">
        <v>3730</v>
      </c>
      <c r="C42" s="1">
        <v>46032.026863425926</v>
      </c>
      <c r="D42">
        <v>1356.56</v>
      </c>
      <c r="E42" t="s">
        <v>25</v>
      </c>
      <c r="F42" t="s">
        <v>4446</v>
      </c>
      <c r="G42" t="s">
        <v>4447</v>
      </c>
    </row>
    <row r="43" spans="1:7" x14ac:dyDescent="0.25">
      <c r="A43" t="s">
        <v>4445</v>
      </c>
      <c r="B43" t="s">
        <v>3730</v>
      </c>
      <c r="C43" s="1">
        <v>46032.026863425926</v>
      </c>
      <c r="D43">
        <v>1356.56</v>
      </c>
      <c r="E43" t="s">
        <v>25</v>
      </c>
      <c r="F43" t="s">
        <v>4446</v>
      </c>
      <c r="G43" t="s">
        <v>4447</v>
      </c>
    </row>
    <row r="44" spans="1:7" x14ac:dyDescent="0.25">
      <c r="A44" t="s">
        <v>4448</v>
      </c>
      <c r="B44" t="s">
        <v>4086</v>
      </c>
      <c r="C44" s="1">
        <v>46033.076655092591</v>
      </c>
      <c r="D44">
        <v>257.29000000000002</v>
      </c>
      <c r="E44" t="s">
        <v>25</v>
      </c>
      <c r="F44" t="s">
        <v>4449</v>
      </c>
      <c r="G44" t="s">
        <v>4450</v>
      </c>
    </row>
    <row r="45" spans="1:7" x14ac:dyDescent="0.25">
      <c r="A45" t="s">
        <v>4448</v>
      </c>
      <c r="B45" t="s">
        <v>4086</v>
      </c>
      <c r="C45" s="1">
        <v>46033.076655092591</v>
      </c>
      <c r="D45">
        <v>257.29000000000002</v>
      </c>
      <c r="E45" t="s">
        <v>25</v>
      </c>
      <c r="F45" t="s">
        <v>4449</v>
      </c>
      <c r="G45" t="s">
        <v>4450</v>
      </c>
    </row>
    <row r="46" spans="1:7" x14ac:dyDescent="0.25">
      <c r="A46" t="s">
        <v>4451</v>
      </c>
      <c r="B46" t="s">
        <v>4118</v>
      </c>
      <c r="C46" s="1">
        <v>46030.46675925926</v>
      </c>
      <c r="D46">
        <v>1558.17</v>
      </c>
      <c r="E46" t="s">
        <v>25</v>
      </c>
      <c r="F46" t="s">
        <v>4452</v>
      </c>
      <c r="G46" t="s">
        <v>4453</v>
      </c>
    </row>
    <row r="47" spans="1:7" x14ac:dyDescent="0.25">
      <c r="A47" t="s">
        <v>4451</v>
      </c>
      <c r="B47" t="s">
        <v>4118</v>
      </c>
      <c r="C47" s="1">
        <v>46030.46675925926</v>
      </c>
      <c r="D47">
        <v>1558.17</v>
      </c>
      <c r="E47" t="s">
        <v>25</v>
      </c>
      <c r="F47" t="s">
        <v>4452</v>
      </c>
      <c r="G47" t="s">
        <v>4453</v>
      </c>
    </row>
    <row r="48" spans="1:7" x14ac:dyDescent="0.25">
      <c r="A48" t="s">
        <v>4454</v>
      </c>
      <c r="B48" t="s">
        <v>4178</v>
      </c>
      <c r="C48" s="1">
        <v>46026.131643518522</v>
      </c>
      <c r="D48">
        <v>1692.29</v>
      </c>
      <c r="E48" t="s">
        <v>25</v>
      </c>
      <c r="F48" t="s">
        <v>4455</v>
      </c>
      <c r="G48" t="s">
        <v>4456</v>
      </c>
    </row>
    <row r="49" spans="1:7" x14ac:dyDescent="0.25">
      <c r="A49" t="s">
        <v>4454</v>
      </c>
      <c r="B49" t="s">
        <v>4178</v>
      </c>
      <c r="C49" s="1">
        <v>46026.131643518522</v>
      </c>
      <c r="D49">
        <v>1692.29</v>
      </c>
      <c r="E49" t="s">
        <v>25</v>
      </c>
      <c r="F49" t="s">
        <v>4455</v>
      </c>
      <c r="G49" t="s">
        <v>4456</v>
      </c>
    </row>
    <row r="50" spans="1:7" x14ac:dyDescent="0.25">
      <c r="A50" t="s">
        <v>4457</v>
      </c>
      <c r="B50" t="s">
        <v>4249</v>
      </c>
      <c r="C50" s="1">
        <v>46035.089930555558</v>
      </c>
      <c r="D50">
        <v>949.2</v>
      </c>
      <c r="E50" t="s">
        <v>19</v>
      </c>
      <c r="F50" t="s">
        <v>4458</v>
      </c>
      <c r="G50" t="s">
        <v>4459</v>
      </c>
    </row>
    <row r="51" spans="1:7" x14ac:dyDescent="0.25">
      <c r="A51" t="s">
        <v>4457</v>
      </c>
      <c r="B51" t="s">
        <v>4249</v>
      </c>
      <c r="C51" s="1">
        <v>46035.089930555558</v>
      </c>
      <c r="D51">
        <v>949.2</v>
      </c>
      <c r="E51" t="s">
        <v>19</v>
      </c>
      <c r="F51" t="s">
        <v>4458</v>
      </c>
      <c r="G51" t="s">
        <v>4459</v>
      </c>
    </row>
    <row r="52" spans="1:7" x14ac:dyDescent="0.25">
      <c r="A52" t="s">
        <v>4460</v>
      </c>
      <c r="B52" t="s">
        <v>3172</v>
      </c>
      <c r="C52" s="1">
        <v>46025.851956018516</v>
      </c>
      <c r="D52">
        <v>5283.54</v>
      </c>
      <c r="E52" t="s">
        <v>52</v>
      </c>
      <c r="F52" t="s">
        <v>4461</v>
      </c>
      <c r="G52" t="s">
        <v>4462</v>
      </c>
    </row>
    <row r="53" spans="1:7" x14ac:dyDescent="0.25">
      <c r="A53" t="s">
        <v>4463</v>
      </c>
      <c r="B53" t="s">
        <v>3518</v>
      </c>
      <c r="C53" s="1">
        <v>46026.070057870369</v>
      </c>
      <c r="D53">
        <v>3818.97</v>
      </c>
      <c r="E53" t="s">
        <v>52</v>
      </c>
      <c r="F53" t="s">
        <v>4464</v>
      </c>
      <c r="G53" t="s">
        <v>4465</v>
      </c>
    </row>
    <row r="54" spans="1:7" x14ac:dyDescent="0.25">
      <c r="A54" t="s">
        <v>4466</v>
      </c>
      <c r="B54" t="s">
        <v>3941</v>
      </c>
      <c r="C54" s="1">
        <v>46026.146932870368</v>
      </c>
      <c r="D54">
        <v>5232.9399999999996</v>
      </c>
      <c r="E54" t="s">
        <v>52</v>
      </c>
      <c r="F54" t="s">
        <v>4467</v>
      </c>
      <c r="G54" t="s">
        <v>4468</v>
      </c>
    </row>
    <row r="55" spans="1:7" x14ac:dyDescent="0.25">
      <c r="A55" t="s">
        <v>4469</v>
      </c>
      <c r="B55" t="s">
        <v>3128</v>
      </c>
      <c r="C55" s="1">
        <v>46028.172060185185</v>
      </c>
      <c r="D55">
        <v>4081.15</v>
      </c>
      <c r="E55" t="s">
        <v>52</v>
      </c>
      <c r="F55" t="s">
        <v>4470</v>
      </c>
      <c r="G55" t="s">
        <v>4471</v>
      </c>
    </row>
    <row r="56" spans="1:7" x14ac:dyDescent="0.25">
      <c r="A56" t="s">
        <v>4472</v>
      </c>
      <c r="B56" t="s">
        <v>3561</v>
      </c>
      <c r="C56" s="1">
        <v>46028.103078703702</v>
      </c>
      <c r="D56">
        <v>3560.14</v>
      </c>
      <c r="E56" t="s">
        <v>52</v>
      </c>
      <c r="F56" t="s">
        <v>4473</v>
      </c>
      <c r="G56" t="s">
        <v>4474</v>
      </c>
    </row>
    <row r="57" spans="1:7" x14ac:dyDescent="0.25">
      <c r="A57" t="s">
        <v>4475</v>
      </c>
      <c r="B57" t="s">
        <v>3984</v>
      </c>
      <c r="C57" s="1">
        <v>46028.148425925923</v>
      </c>
      <c r="D57">
        <v>3693.49</v>
      </c>
      <c r="E57" t="s">
        <v>52</v>
      </c>
      <c r="F57" t="s">
        <v>4476</v>
      </c>
      <c r="G57" t="s">
        <v>4477</v>
      </c>
    </row>
    <row r="58" spans="1:7" x14ac:dyDescent="0.25">
      <c r="A58" t="s">
        <v>4478</v>
      </c>
      <c r="B58" t="s">
        <v>3070</v>
      </c>
      <c r="C58" s="1">
        <v>46030.083124999997</v>
      </c>
      <c r="D58">
        <v>7524.15</v>
      </c>
      <c r="E58" t="s">
        <v>52</v>
      </c>
      <c r="F58" t="s">
        <v>4479</v>
      </c>
      <c r="G58" t="s">
        <v>4480</v>
      </c>
    </row>
    <row r="59" spans="1:7" x14ac:dyDescent="0.25">
      <c r="A59" t="s">
        <v>4481</v>
      </c>
      <c r="B59" t="s">
        <v>3502</v>
      </c>
      <c r="C59" s="1">
        <v>46030.164687500001</v>
      </c>
      <c r="D59">
        <v>3363.81</v>
      </c>
      <c r="E59" t="s">
        <v>52</v>
      </c>
      <c r="F59" t="s">
        <v>4482</v>
      </c>
      <c r="G59" t="s">
        <v>4483</v>
      </c>
    </row>
    <row r="60" spans="1:7" x14ac:dyDescent="0.25">
      <c r="A60" t="s">
        <v>4484</v>
      </c>
      <c r="B60" t="s">
        <v>3925</v>
      </c>
      <c r="C60" s="1">
        <v>46030.06695601852</v>
      </c>
      <c r="D60">
        <v>9659.8799999999992</v>
      </c>
      <c r="E60" t="s">
        <v>52</v>
      </c>
      <c r="F60" t="s">
        <v>4485</v>
      </c>
      <c r="G60" t="s">
        <v>4486</v>
      </c>
    </row>
    <row r="61" spans="1:7" x14ac:dyDescent="0.25">
      <c r="A61" t="s">
        <v>4487</v>
      </c>
      <c r="B61" t="s">
        <v>3115</v>
      </c>
      <c r="C61" s="1">
        <v>46032.07640046296</v>
      </c>
      <c r="D61">
        <v>4717.45</v>
      </c>
      <c r="E61" t="s">
        <v>52</v>
      </c>
      <c r="F61" t="s">
        <v>4488</v>
      </c>
      <c r="G61" t="s">
        <v>4489</v>
      </c>
    </row>
    <row r="62" spans="1:7" x14ac:dyDescent="0.25">
      <c r="A62" t="s">
        <v>4490</v>
      </c>
      <c r="B62" t="s">
        <v>3545</v>
      </c>
      <c r="C62" s="1">
        <v>46032.148275462961</v>
      </c>
      <c r="D62">
        <v>5979.65</v>
      </c>
      <c r="E62" t="s">
        <v>52</v>
      </c>
      <c r="F62" t="s">
        <v>4491</v>
      </c>
      <c r="G62" t="s">
        <v>4492</v>
      </c>
    </row>
    <row r="63" spans="1:7" x14ac:dyDescent="0.25">
      <c r="A63" t="s">
        <v>4493</v>
      </c>
      <c r="B63" t="s">
        <v>3968</v>
      </c>
      <c r="C63" s="1">
        <v>46032.232106481482</v>
      </c>
      <c r="D63">
        <v>1085.47</v>
      </c>
      <c r="E63" t="s">
        <v>52</v>
      </c>
      <c r="F63" t="s">
        <v>4494</v>
      </c>
      <c r="G63" t="s">
        <v>4495</v>
      </c>
    </row>
    <row r="64" spans="1:7" x14ac:dyDescent="0.25">
      <c r="A64" t="s">
        <v>4496</v>
      </c>
      <c r="B64" t="s">
        <v>3054</v>
      </c>
      <c r="C64" s="1">
        <v>46034.179328703707</v>
      </c>
      <c r="D64">
        <v>4993.45</v>
      </c>
      <c r="E64" t="s">
        <v>52</v>
      </c>
      <c r="F64" t="s">
        <v>4497</v>
      </c>
      <c r="G64" t="s">
        <v>4498</v>
      </c>
    </row>
    <row r="65" spans="1:7" x14ac:dyDescent="0.25">
      <c r="A65" t="s">
        <v>4499</v>
      </c>
      <c r="B65" t="s">
        <v>3484</v>
      </c>
      <c r="C65" s="1">
        <v>46034.090555555558</v>
      </c>
      <c r="D65">
        <v>8584.7099999999991</v>
      </c>
      <c r="E65" t="s">
        <v>52</v>
      </c>
      <c r="F65" t="s">
        <v>4500</v>
      </c>
      <c r="G65" t="s">
        <v>4501</v>
      </c>
    </row>
    <row r="66" spans="1:7" x14ac:dyDescent="0.25">
      <c r="A66" t="s">
        <v>4502</v>
      </c>
      <c r="B66" t="s">
        <v>3908</v>
      </c>
      <c r="C66" s="1">
        <v>46034.179120370369</v>
      </c>
      <c r="D66">
        <v>4420.96</v>
      </c>
      <c r="E66" t="s">
        <v>52</v>
      </c>
      <c r="F66" t="s">
        <v>4503</v>
      </c>
      <c r="G66" t="s">
        <v>4504</v>
      </c>
    </row>
    <row r="67" spans="1:7" x14ac:dyDescent="0.25">
      <c r="A67" t="s">
        <v>4505</v>
      </c>
      <c r="B67" t="s">
        <v>3102</v>
      </c>
      <c r="C67" s="1">
        <v>46036.171388888892</v>
      </c>
      <c r="D67">
        <v>4666.67</v>
      </c>
      <c r="E67" t="s">
        <v>52</v>
      </c>
      <c r="F67" t="s">
        <v>4506</v>
      </c>
      <c r="G67" t="s">
        <v>4507</v>
      </c>
    </row>
    <row r="68" spans="1:7" x14ac:dyDescent="0.25">
      <c r="A68" t="s">
        <v>4508</v>
      </c>
      <c r="B68" t="s">
        <v>3533</v>
      </c>
      <c r="C68" s="1">
        <v>46035.982175925928</v>
      </c>
      <c r="D68">
        <v>5803.11</v>
      </c>
      <c r="E68" t="s">
        <v>52</v>
      </c>
      <c r="F68" t="s">
        <v>4509</v>
      </c>
      <c r="G68" t="s">
        <v>4510</v>
      </c>
    </row>
    <row r="69" spans="1:7" x14ac:dyDescent="0.25">
      <c r="A69" t="s">
        <v>4511</v>
      </c>
      <c r="B69" t="s">
        <v>3954</v>
      </c>
      <c r="C69" s="1">
        <v>46036.098587962966</v>
      </c>
      <c r="D69">
        <v>5140.88</v>
      </c>
      <c r="E69" t="s">
        <v>52</v>
      </c>
      <c r="F69" t="s">
        <v>4512</v>
      </c>
      <c r="G69" t="s">
        <v>4513</v>
      </c>
    </row>
    <row r="70" spans="1:7" x14ac:dyDescent="0.25">
      <c r="A70" t="s">
        <v>4514</v>
      </c>
      <c r="B70" t="s">
        <v>3140</v>
      </c>
      <c r="C70" s="1">
        <v>46038.069004629629</v>
      </c>
      <c r="D70">
        <v>5517.08</v>
      </c>
      <c r="E70" t="s">
        <v>52</v>
      </c>
      <c r="F70" t="s">
        <v>4515</v>
      </c>
      <c r="G70" t="s">
        <v>4516</v>
      </c>
    </row>
    <row r="71" spans="1:7" x14ac:dyDescent="0.25">
      <c r="A71" t="s">
        <v>4517</v>
      </c>
      <c r="B71" t="s">
        <v>3576</v>
      </c>
      <c r="C71" s="1">
        <v>46037.993310185186</v>
      </c>
      <c r="D71">
        <v>2482.71</v>
      </c>
      <c r="E71" t="s">
        <v>52</v>
      </c>
      <c r="F71" t="s">
        <v>4518</v>
      </c>
      <c r="G71" t="s">
        <v>4519</v>
      </c>
    </row>
    <row r="72" spans="1:7" x14ac:dyDescent="0.25">
      <c r="A72" t="s">
        <v>4520</v>
      </c>
      <c r="B72" t="s">
        <v>3998</v>
      </c>
      <c r="C72" s="1">
        <v>46037.833564814813</v>
      </c>
      <c r="D72">
        <v>3903.64</v>
      </c>
      <c r="E72" t="s">
        <v>52</v>
      </c>
      <c r="F72" t="s">
        <v>4521</v>
      </c>
      <c r="G72" t="s">
        <v>4522</v>
      </c>
    </row>
    <row r="73" spans="1:7" x14ac:dyDescent="0.25">
      <c r="A73" t="s">
        <v>4523</v>
      </c>
      <c r="B73" t="s">
        <v>3035</v>
      </c>
      <c r="C73" s="1">
        <v>46025.16333333333</v>
      </c>
      <c r="D73">
        <v>2921.83</v>
      </c>
      <c r="E73" t="s">
        <v>19</v>
      </c>
      <c r="F73" t="s">
        <v>4524</v>
      </c>
      <c r="G73" t="s">
        <v>4525</v>
      </c>
    </row>
    <row r="74" spans="1:7" x14ac:dyDescent="0.25">
      <c r="A74" t="s">
        <v>4526</v>
      </c>
      <c r="B74" t="s">
        <v>3466</v>
      </c>
      <c r="C74" s="1">
        <v>46025.078182870369</v>
      </c>
      <c r="D74">
        <v>6017.69</v>
      </c>
      <c r="E74" t="s">
        <v>19</v>
      </c>
      <c r="F74" t="s">
        <v>4527</v>
      </c>
      <c r="G74" t="s">
        <v>4528</v>
      </c>
    </row>
    <row r="75" spans="1:7" x14ac:dyDescent="0.25">
      <c r="A75" t="s">
        <v>4529</v>
      </c>
      <c r="B75" t="s">
        <v>3888</v>
      </c>
      <c r="C75" s="1">
        <v>46024.909756944442</v>
      </c>
      <c r="D75">
        <v>5960.49</v>
      </c>
      <c r="E75" t="s">
        <v>19</v>
      </c>
      <c r="F75" t="s">
        <v>4530</v>
      </c>
      <c r="G75" t="s">
        <v>4531</v>
      </c>
    </row>
    <row r="76" spans="1:7" x14ac:dyDescent="0.25">
      <c r="A76" t="s">
        <v>4532</v>
      </c>
      <c r="B76" t="s">
        <v>3174</v>
      </c>
      <c r="C76" s="1">
        <v>46026.94935185185</v>
      </c>
      <c r="D76">
        <v>4698.5200000000004</v>
      </c>
      <c r="E76" t="s">
        <v>19</v>
      </c>
      <c r="F76" t="s">
        <v>4533</v>
      </c>
      <c r="G76" t="s">
        <v>4534</v>
      </c>
    </row>
    <row r="77" spans="1:7" x14ac:dyDescent="0.25">
      <c r="A77" t="s">
        <v>4535</v>
      </c>
      <c r="B77" t="s">
        <v>3520</v>
      </c>
      <c r="C77" s="1">
        <v>46027.185104166667</v>
      </c>
      <c r="D77">
        <v>6692.95</v>
      </c>
      <c r="E77" t="s">
        <v>19</v>
      </c>
      <c r="F77" t="s">
        <v>4536</v>
      </c>
      <c r="G77" t="s">
        <v>4537</v>
      </c>
    </row>
    <row r="78" spans="1:7" x14ac:dyDescent="0.25">
      <c r="A78" t="s">
        <v>4538</v>
      </c>
      <c r="B78" t="s">
        <v>3943</v>
      </c>
      <c r="C78" s="1">
        <v>46027.10497685185</v>
      </c>
      <c r="D78">
        <v>3839.61</v>
      </c>
      <c r="E78" t="s">
        <v>19</v>
      </c>
      <c r="F78" t="s">
        <v>4539</v>
      </c>
      <c r="G78" t="s">
        <v>4540</v>
      </c>
    </row>
    <row r="79" spans="1:7" x14ac:dyDescent="0.25">
      <c r="A79" t="s">
        <v>4541</v>
      </c>
      <c r="B79" t="s">
        <v>3130</v>
      </c>
      <c r="C79" s="1">
        <v>46029.077048611114</v>
      </c>
      <c r="D79">
        <v>3535.11</v>
      </c>
      <c r="E79" t="s">
        <v>19</v>
      </c>
      <c r="F79" t="s">
        <v>4542</v>
      </c>
      <c r="G79" t="s">
        <v>4543</v>
      </c>
    </row>
    <row r="80" spans="1:7" x14ac:dyDescent="0.25">
      <c r="A80" t="s">
        <v>4544</v>
      </c>
      <c r="B80" t="s">
        <v>3563</v>
      </c>
      <c r="C80" s="1">
        <v>46029.192685185182</v>
      </c>
      <c r="D80">
        <v>5154.01</v>
      </c>
      <c r="E80" t="s">
        <v>19</v>
      </c>
      <c r="F80" t="s">
        <v>4545</v>
      </c>
      <c r="G80" t="s">
        <v>4546</v>
      </c>
    </row>
    <row r="81" spans="1:7" x14ac:dyDescent="0.25">
      <c r="A81" t="s">
        <v>4547</v>
      </c>
      <c r="B81" t="s">
        <v>3986</v>
      </c>
      <c r="C81" s="1">
        <v>46029.233449074076</v>
      </c>
      <c r="D81">
        <v>7370.62</v>
      </c>
      <c r="E81" t="s">
        <v>19</v>
      </c>
      <c r="F81" t="s">
        <v>4548</v>
      </c>
      <c r="G81" t="s">
        <v>4549</v>
      </c>
    </row>
    <row r="82" spans="1:7" x14ac:dyDescent="0.25">
      <c r="A82" t="s">
        <v>4550</v>
      </c>
      <c r="B82" t="s">
        <v>3072</v>
      </c>
      <c r="C82" s="1">
        <v>46031.168599537035</v>
      </c>
      <c r="D82">
        <v>5792.42</v>
      </c>
      <c r="E82" t="s">
        <v>19</v>
      </c>
      <c r="F82" t="s">
        <v>4551</v>
      </c>
      <c r="G82" t="s">
        <v>4552</v>
      </c>
    </row>
    <row r="83" spans="1:7" x14ac:dyDescent="0.25">
      <c r="A83" t="s">
        <v>4553</v>
      </c>
      <c r="B83" t="s">
        <v>3504</v>
      </c>
      <c r="C83" s="1">
        <v>46031.096597222226</v>
      </c>
      <c r="D83">
        <v>3885.49</v>
      </c>
      <c r="E83" t="s">
        <v>19</v>
      </c>
      <c r="F83" t="s">
        <v>4554</v>
      </c>
      <c r="G83" t="s">
        <v>4555</v>
      </c>
    </row>
    <row r="84" spans="1:7" x14ac:dyDescent="0.25">
      <c r="A84" t="s">
        <v>4556</v>
      </c>
      <c r="B84" t="s">
        <v>3927</v>
      </c>
      <c r="C84" s="1">
        <v>46031.189814814818</v>
      </c>
      <c r="D84">
        <v>4248.8</v>
      </c>
      <c r="E84" t="s">
        <v>19</v>
      </c>
      <c r="F84" t="s">
        <v>4557</v>
      </c>
      <c r="G84" t="s">
        <v>4558</v>
      </c>
    </row>
    <row r="85" spans="1:7" x14ac:dyDescent="0.25">
      <c r="A85" t="s">
        <v>4559</v>
      </c>
      <c r="B85" t="s">
        <v>3117</v>
      </c>
      <c r="C85" s="1">
        <v>46033.191631944443</v>
      </c>
      <c r="D85">
        <v>5098.72</v>
      </c>
      <c r="E85" t="s">
        <v>19</v>
      </c>
      <c r="F85" t="s">
        <v>4560</v>
      </c>
      <c r="G85" t="s">
        <v>4561</v>
      </c>
    </row>
    <row r="86" spans="1:7" x14ac:dyDescent="0.25">
      <c r="A86" t="s">
        <v>4562</v>
      </c>
      <c r="B86" t="s">
        <v>3549</v>
      </c>
      <c r="C86" s="1">
        <v>46033.015370370369</v>
      </c>
      <c r="D86">
        <v>5667.64</v>
      </c>
      <c r="E86" t="s">
        <v>19</v>
      </c>
      <c r="F86" t="s">
        <v>4563</v>
      </c>
      <c r="G86" t="s">
        <v>4564</v>
      </c>
    </row>
    <row r="87" spans="1:7" x14ac:dyDescent="0.25">
      <c r="A87" t="s">
        <v>4565</v>
      </c>
      <c r="B87" t="s">
        <v>3970</v>
      </c>
      <c r="C87" s="1">
        <v>46033.080706018518</v>
      </c>
      <c r="D87">
        <v>4216.74</v>
      </c>
      <c r="E87" t="s">
        <v>19</v>
      </c>
      <c r="F87" t="s">
        <v>4566</v>
      </c>
      <c r="G87" t="s">
        <v>4567</v>
      </c>
    </row>
    <row r="88" spans="1:7" x14ac:dyDescent="0.25">
      <c r="A88" t="s">
        <v>4568</v>
      </c>
      <c r="B88" t="s">
        <v>3056</v>
      </c>
      <c r="C88" s="1">
        <v>46035.090798611112</v>
      </c>
      <c r="D88">
        <v>7412.53</v>
      </c>
      <c r="E88" t="s">
        <v>19</v>
      </c>
      <c r="F88" t="s">
        <v>4569</v>
      </c>
      <c r="G88" t="s">
        <v>4570</v>
      </c>
    </row>
    <row r="89" spans="1:7" x14ac:dyDescent="0.25">
      <c r="A89" t="s">
        <v>4571</v>
      </c>
      <c r="B89" t="s">
        <v>3486</v>
      </c>
      <c r="C89" s="1">
        <v>46035.165578703702</v>
      </c>
      <c r="D89">
        <v>7034.23</v>
      </c>
      <c r="E89" t="s">
        <v>19</v>
      </c>
      <c r="F89" t="s">
        <v>4572</v>
      </c>
      <c r="G89" t="s">
        <v>4573</v>
      </c>
    </row>
    <row r="90" spans="1:7" x14ac:dyDescent="0.25">
      <c r="A90" t="s">
        <v>4574</v>
      </c>
      <c r="B90" t="s">
        <v>3910</v>
      </c>
      <c r="C90" s="1">
        <v>46034.84</v>
      </c>
      <c r="D90">
        <v>2531.34</v>
      </c>
      <c r="E90" t="s">
        <v>19</v>
      </c>
      <c r="F90" t="s">
        <v>4575</v>
      </c>
      <c r="G90" t="s">
        <v>4576</v>
      </c>
    </row>
    <row r="91" spans="1:7" x14ac:dyDescent="0.25">
      <c r="A91" t="s">
        <v>4577</v>
      </c>
      <c r="B91" t="s">
        <v>3186</v>
      </c>
      <c r="C91" s="1">
        <v>46036.827245370368</v>
      </c>
      <c r="D91">
        <v>4208.82</v>
      </c>
      <c r="E91" t="s">
        <v>19</v>
      </c>
      <c r="F91" t="s">
        <v>4578</v>
      </c>
      <c r="G91" t="s">
        <v>4579</v>
      </c>
    </row>
    <row r="92" spans="1:7" x14ac:dyDescent="0.25">
      <c r="A92" t="s">
        <v>4580</v>
      </c>
      <c r="B92" t="s">
        <v>3535</v>
      </c>
      <c r="C92" s="1">
        <v>46037.077719907407</v>
      </c>
      <c r="D92">
        <v>4438.55</v>
      </c>
      <c r="E92" t="s">
        <v>19</v>
      </c>
      <c r="F92" t="s">
        <v>4581</v>
      </c>
      <c r="G92" t="s">
        <v>4582</v>
      </c>
    </row>
    <row r="93" spans="1:7" x14ac:dyDescent="0.25">
      <c r="A93" t="s">
        <v>4583</v>
      </c>
      <c r="B93" t="s">
        <v>4125</v>
      </c>
      <c r="C93" s="1">
        <v>46037.005300925928</v>
      </c>
      <c r="D93">
        <v>2970.51</v>
      </c>
      <c r="E93" t="s">
        <v>19</v>
      </c>
      <c r="F93" t="s">
        <v>4584</v>
      </c>
      <c r="G93" t="s">
        <v>4585</v>
      </c>
    </row>
    <row r="94" spans="1:7" x14ac:dyDescent="0.25">
      <c r="A94" t="s">
        <v>4586</v>
      </c>
      <c r="B94" t="s">
        <v>3044</v>
      </c>
      <c r="C94" s="1">
        <v>46034.700023148151</v>
      </c>
      <c r="D94">
        <v>1993.14</v>
      </c>
      <c r="E94" t="s">
        <v>25</v>
      </c>
      <c r="F94" t="s">
        <v>4587</v>
      </c>
      <c r="G94" t="s">
        <v>4588</v>
      </c>
    </row>
    <row r="95" spans="1:7" x14ac:dyDescent="0.25">
      <c r="A95" t="s">
        <v>4589</v>
      </c>
      <c r="B95" t="s">
        <v>3096</v>
      </c>
      <c r="C95" s="1">
        <v>46036.474259259259</v>
      </c>
      <c r="D95">
        <v>427.48</v>
      </c>
      <c r="E95" t="s">
        <v>25</v>
      </c>
      <c r="F95" t="s">
        <v>4590</v>
      </c>
      <c r="G95" t="s">
        <v>4591</v>
      </c>
    </row>
    <row r="96" spans="1:7" x14ac:dyDescent="0.25">
      <c r="A96" t="s">
        <v>4592</v>
      </c>
      <c r="B96" t="s">
        <v>3164</v>
      </c>
      <c r="C96" s="1">
        <v>46038.761747685188</v>
      </c>
      <c r="D96">
        <v>212.75</v>
      </c>
      <c r="E96" t="s">
        <v>25</v>
      </c>
      <c r="F96" t="s">
        <v>4593</v>
      </c>
      <c r="G96" t="s">
        <v>4594</v>
      </c>
    </row>
    <row r="97" spans="1:7" x14ac:dyDescent="0.25">
      <c r="A97" t="s">
        <v>4595</v>
      </c>
      <c r="B97" t="s">
        <v>3169</v>
      </c>
      <c r="C97" s="1">
        <v>46043.236307870371</v>
      </c>
      <c r="D97">
        <v>137.26</v>
      </c>
      <c r="E97" t="s">
        <v>25</v>
      </c>
      <c r="F97" t="s">
        <v>4596</v>
      </c>
      <c r="G97" t="s">
        <v>4597</v>
      </c>
    </row>
    <row r="98" spans="1:7" x14ac:dyDescent="0.25">
      <c r="A98" t="s">
        <v>4598</v>
      </c>
      <c r="B98" t="s">
        <v>3512</v>
      </c>
      <c r="C98" s="1">
        <v>46041.708437499998</v>
      </c>
      <c r="D98">
        <v>1162.69</v>
      </c>
      <c r="E98" t="s">
        <v>25</v>
      </c>
      <c r="F98" t="s">
        <v>4599</v>
      </c>
      <c r="G98" t="s">
        <v>4600</v>
      </c>
    </row>
    <row r="99" spans="1:7" x14ac:dyDescent="0.25">
      <c r="A99" t="s">
        <v>4601</v>
      </c>
      <c r="B99" t="s">
        <v>3582</v>
      </c>
      <c r="C99" s="1">
        <v>46035.207384259258</v>
      </c>
      <c r="D99">
        <v>1974.18</v>
      </c>
      <c r="E99" t="s">
        <v>25</v>
      </c>
      <c r="F99" t="s">
        <v>4602</v>
      </c>
      <c r="G99" t="s">
        <v>4603</v>
      </c>
    </row>
    <row r="100" spans="1:7" x14ac:dyDescent="0.25">
      <c r="A100" t="s">
        <v>4604</v>
      </c>
      <c r="B100" t="s">
        <v>3653</v>
      </c>
      <c r="C100" s="1">
        <v>46038.696458333332</v>
      </c>
      <c r="D100">
        <v>1191.46</v>
      </c>
      <c r="E100" t="s">
        <v>25</v>
      </c>
      <c r="F100" t="s">
        <v>4605</v>
      </c>
      <c r="G100" t="s">
        <v>4606</v>
      </c>
    </row>
    <row r="101" spans="1:7" x14ac:dyDescent="0.25">
      <c r="A101" t="s">
        <v>4607</v>
      </c>
      <c r="B101" t="s">
        <v>3759</v>
      </c>
      <c r="C101" s="1">
        <v>46036.513310185182</v>
      </c>
      <c r="D101">
        <v>300.72000000000003</v>
      </c>
      <c r="E101" t="s">
        <v>19</v>
      </c>
      <c r="F101" t="s">
        <v>4608</v>
      </c>
      <c r="G101" t="s">
        <v>4609</v>
      </c>
    </row>
    <row r="102" spans="1:7" x14ac:dyDescent="0.25">
      <c r="A102" t="s">
        <v>4610</v>
      </c>
      <c r="B102" t="s">
        <v>3863</v>
      </c>
      <c r="C102" s="1">
        <v>46036.494791666664</v>
      </c>
      <c r="D102">
        <v>766.57</v>
      </c>
      <c r="E102" t="s">
        <v>25</v>
      </c>
      <c r="F102" t="s">
        <v>4611</v>
      </c>
      <c r="G102" t="s">
        <v>4612</v>
      </c>
    </row>
    <row r="103" spans="1:7" x14ac:dyDescent="0.25">
      <c r="A103" t="s">
        <v>4613</v>
      </c>
      <c r="B103" t="s">
        <v>3906</v>
      </c>
      <c r="C103" s="1">
        <v>46038.260555555556</v>
      </c>
      <c r="D103">
        <v>320.86</v>
      </c>
      <c r="E103" t="s">
        <v>25</v>
      </c>
      <c r="F103" t="s">
        <v>4614</v>
      </c>
      <c r="G103" t="s">
        <v>4615</v>
      </c>
    </row>
    <row r="104" spans="1:7" x14ac:dyDescent="0.25">
      <c r="A104" t="s">
        <v>4616</v>
      </c>
      <c r="B104" t="s">
        <v>3939</v>
      </c>
      <c r="C104" s="1">
        <v>46031.073750000003</v>
      </c>
      <c r="D104">
        <v>2198</v>
      </c>
      <c r="E104" t="s">
        <v>25</v>
      </c>
      <c r="F104" t="s">
        <v>4617</v>
      </c>
      <c r="G104" t="s">
        <v>4618</v>
      </c>
    </row>
    <row r="105" spans="1:7" x14ac:dyDescent="0.25">
      <c r="A105" t="s">
        <v>4619</v>
      </c>
      <c r="B105" t="s">
        <v>3952</v>
      </c>
      <c r="C105" s="1">
        <v>46041.000844907408</v>
      </c>
      <c r="D105">
        <v>1682.44</v>
      </c>
      <c r="E105" t="s">
        <v>25</v>
      </c>
      <c r="F105" t="s">
        <v>4620</v>
      </c>
      <c r="G105" t="s">
        <v>4621</v>
      </c>
    </row>
    <row r="106" spans="1:7" x14ac:dyDescent="0.25">
      <c r="A106" t="s">
        <v>4622</v>
      </c>
      <c r="B106" t="s">
        <v>3974</v>
      </c>
      <c r="C106" s="1">
        <v>46040.187164351853</v>
      </c>
      <c r="D106">
        <v>672.73</v>
      </c>
      <c r="E106" t="s">
        <v>25</v>
      </c>
      <c r="F106" t="s">
        <v>4623</v>
      </c>
      <c r="G106" t="s">
        <v>4624</v>
      </c>
    </row>
    <row r="107" spans="1:7" x14ac:dyDescent="0.25">
      <c r="A107" t="s">
        <v>4625</v>
      </c>
      <c r="B107" t="s">
        <v>3981</v>
      </c>
      <c r="C107" s="1">
        <v>46031.711655092593</v>
      </c>
      <c r="D107">
        <v>964.63</v>
      </c>
      <c r="E107" t="s">
        <v>25</v>
      </c>
      <c r="F107" t="s">
        <v>4626</v>
      </c>
      <c r="G107" t="s">
        <v>4627</v>
      </c>
    </row>
    <row r="108" spans="1:7" x14ac:dyDescent="0.25">
      <c r="A108" t="s">
        <v>4628</v>
      </c>
      <c r="B108" t="s">
        <v>3990</v>
      </c>
      <c r="C108" s="1">
        <v>46037.294814814813</v>
      </c>
      <c r="D108">
        <v>1441.11</v>
      </c>
      <c r="E108" t="s">
        <v>25</v>
      </c>
      <c r="F108" t="s">
        <v>4629</v>
      </c>
      <c r="G108" t="s">
        <v>4630</v>
      </c>
    </row>
    <row r="109" spans="1:7" x14ac:dyDescent="0.25">
      <c r="A109" t="s">
        <v>4631</v>
      </c>
      <c r="B109" t="s">
        <v>4037</v>
      </c>
      <c r="C109" s="1">
        <v>46037.028449074074</v>
      </c>
      <c r="D109">
        <v>44.06</v>
      </c>
      <c r="E109" t="s">
        <v>25</v>
      </c>
      <c r="F109" t="s">
        <v>4632</v>
      </c>
      <c r="G109" t="s">
        <v>4633</v>
      </c>
    </row>
    <row r="110" spans="1:7" x14ac:dyDescent="0.25">
      <c r="A110" t="s">
        <v>4634</v>
      </c>
      <c r="B110" t="s">
        <v>4045</v>
      </c>
      <c r="C110" s="1">
        <v>46042.600856481484</v>
      </c>
      <c r="D110">
        <v>1344.49</v>
      </c>
      <c r="E110" t="s">
        <v>19</v>
      </c>
      <c r="F110" t="s">
        <v>4635</v>
      </c>
      <c r="G110" t="s">
        <v>4636</v>
      </c>
    </row>
    <row r="111" spans="1:7" x14ac:dyDescent="0.25">
      <c r="A111" t="s">
        <v>4637</v>
      </c>
      <c r="B111" t="s">
        <v>4171</v>
      </c>
      <c r="C111" s="1">
        <v>46039.590925925928</v>
      </c>
      <c r="D111">
        <v>1304.98</v>
      </c>
      <c r="E111" t="s">
        <v>52</v>
      </c>
      <c r="F111" t="s">
        <v>4638</v>
      </c>
      <c r="G111" t="s">
        <v>4639</v>
      </c>
    </row>
    <row r="112" spans="1:7" x14ac:dyDescent="0.25">
      <c r="A112" t="s">
        <v>4640</v>
      </c>
      <c r="B112" t="s">
        <v>4222</v>
      </c>
      <c r="C112" s="1">
        <v>46043.806875000002</v>
      </c>
      <c r="D112">
        <v>1457.29</v>
      </c>
      <c r="E112" t="s">
        <v>25</v>
      </c>
      <c r="F112" t="s">
        <v>4641</v>
      </c>
      <c r="G112" t="s">
        <v>4642</v>
      </c>
    </row>
    <row r="113" spans="1:7" x14ac:dyDescent="0.25">
      <c r="A113" t="s">
        <v>4643</v>
      </c>
      <c r="B113" t="s">
        <v>4241</v>
      </c>
      <c r="C113" s="1">
        <v>46035.612303240741</v>
      </c>
      <c r="D113">
        <v>294.36</v>
      </c>
      <c r="E113" t="s">
        <v>25</v>
      </c>
      <c r="F113" t="s">
        <v>4644</v>
      </c>
      <c r="G113" t="s">
        <v>4645</v>
      </c>
    </row>
    <row r="114" spans="1:7" x14ac:dyDescent="0.25">
      <c r="A114" t="s">
        <v>4646</v>
      </c>
      <c r="B114" t="s">
        <v>4262</v>
      </c>
      <c r="C114" s="1">
        <v>46024.270833333336</v>
      </c>
      <c r="D114">
        <v>400.88</v>
      </c>
      <c r="E114" t="s">
        <v>25</v>
      </c>
      <c r="F114" t="s">
        <v>4647</v>
      </c>
      <c r="G114" t="s">
        <v>4648</v>
      </c>
    </row>
    <row r="115" spans="1:7" x14ac:dyDescent="0.25">
      <c r="A115" t="s">
        <v>4649</v>
      </c>
      <c r="B115" t="s">
        <v>4265</v>
      </c>
      <c r="C115" s="1">
        <v>46024.3125</v>
      </c>
      <c r="D115">
        <v>429.93</v>
      </c>
      <c r="E115" t="s">
        <v>25</v>
      </c>
      <c r="F115" t="s">
        <v>4650</v>
      </c>
      <c r="G115" t="s">
        <v>4651</v>
      </c>
    </row>
    <row r="116" spans="1:7" x14ac:dyDescent="0.25">
      <c r="A116" t="s">
        <v>4652</v>
      </c>
      <c r="B116" t="s">
        <v>4268</v>
      </c>
      <c r="C116" s="1">
        <v>46024.354166666664</v>
      </c>
      <c r="D116">
        <v>377.13</v>
      </c>
      <c r="E116" t="s">
        <v>25</v>
      </c>
      <c r="F116" t="s">
        <v>4653</v>
      </c>
      <c r="G116" t="s">
        <v>4654</v>
      </c>
    </row>
    <row r="117" spans="1:7" x14ac:dyDescent="0.25">
      <c r="A117" t="s">
        <v>4655</v>
      </c>
      <c r="B117" t="s">
        <v>4271</v>
      </c>
      <c r="C117" s="1">
        <v>46024.395833333336</v>
      </c>
      <c r="D117">
        <v>75.06</v>
      </c>
      <c r="E117" t="s">
        <v>25</v>
      </c>
      <c r="F117" t="s">
        <v>4656</v>
      </c>
      <c r="G117" t="s">
        <v>4657</v>
      </c>
    </row>
    <row r="118" spans="1:7" x14ac:dyDescent="0.25">
      <c r="A118" t="s">
        <v>4658</v>
      </c>
      <c r="B118" t="s">
        <v>4274</v>
      </c>
      <c r="C118" s="1">
        <v>46024.4375</v>
      </c>
      <c r="D118">
        <v>836.06</v>
      </c>
      <c r="E118" t="s">
        <v>25</v>
      </c>
      <c r="F118" t="s">
        <v>4659</v>
      </c>
      <c r="G118" t="s">
        <v>4660</v>
      </c>
    </row>
    <row r="119" spans="1:7" x14ac:dyDescent="0.25">
      <c r="A119" t="s">
        <v>4661</v>
      </c>
      <c r="B119" t="s">
        <v>4277</v>
      </c>
      <c r="C119" s="1">
        <v>46024.479166666664</v>
      </c>
      <c r="D119">
        <v>703.6</v>
      </c>
      <c r="E119" t="s">
        <v>25</v>
      </c>
      <c r="F119" t="s">
        <v>4662</v>
      </c>
      <c r="G119" t="s">
        <v>4663</v>
      </c>
    </row>
    <row r="120" spans="1:7" x14ac:dyDescent="0.25">
      <c r="A120" t="s">
        <v>4664</v>
      </c>
      <c r="B120" t="s">
        <v>4280</v>
      </c>
      <c r="C120" s="1">
        <v>46024.520833333336</v>
      </c>
      <c r="D120">
        <v>699.58</v>
      </c>
      <c r="E120" t="s">
        <v>25</v>
      </c>
      <c r="F120" t="s">
        <v>4665</v>
      </c>
      <c r="G120" t="s">
        <v>4666</v>
      </c>
    </row>
    <row r="121" spans="1:7" x14ac:dyDescent="0.25">
      <c r="A121" t="s">
        <v>4667</v>
      </c>
      <c r="B121" t="s">
        <v>4283</v>
      </c>
      <c r="C121" s="1">
        <v>46024.5625</v>
      </c>
      <c r="D121">
        <v>274</v>
      </c>
      <c r="E121" t="s">
        <v>25</v>
      </c>
      <c r="F121" t="s">
        <v>4668</v>
      </c>
      <c r="G121" t="s">
        <v>4669</v>
      </c>
    </row>
    <row r="122" spans="1:7" x14ac:dyDescent="0.25">
      <c r="A122" t="s">
        <v>4670</v>
      </c>
      <c r="B122" t="s">
        <v>4286</v>
      </c>
      <c r="C122" s="1">
        <v>46024.604166666664</v>
      </c>
      <c r="D122">
        <v>359</v>
      </c>
      <c r="E122" t="s">
        <v>25</v>
      </c>
      <c r="F122" t="s">
        <v>4671</v>
      </c>
      <c r="G122" t="s">
        <v>4672</v>
      </c>
    </row>
    <row r="123" spans="1:7" x14ac:dyDescent="0.25">
      <c r="A123" t="s">
        <v>4673</v>
      </c>
      <c r="B123" t="s">
        <v>4289</v>
      </c>
      <c r="C123" s="1">
        <v>46024.645833333336</v>
      </c>
      <c r="D123">
        <v>617.99</v>
      </c>
      <c r="E123" t="s">
        <v>25</v>
      </c>
      <c r="F123" t="s">
        <v>4674</v>
      </c>
      <c r="G123" t="s">
        <v>4675</v>
      </c>
    </row>
    <row r="124" spans="1:7" x14ac:dyDescent="0.25">
      <c r="A124" t="s">
        <v>4676</v>
      </c>
      <c r="B124" t="s">
        <v>4292</v>
      </c>
      <c r="C124" s="1">
        <v>46024.6875</v>
      </c>
      <c r="D124">
        <v>591.02</v>
      </c>
      <c r="E124" t="s">
        <v>25</v>
      </c>
      <c r="F124" t="s">
        <v>4677</v>
      </c>
      <c r="G124" t="s">
        <v>4678</v>
      </c>
    </row>
    <row r="125" spans="1:7" x14ac:dyDescent="0.25">
      <c r="A125" t="s">
        <v>4679</v>
      </c>
      <c r="B125" t="s">
        <v>4295</v>
      </c>
      <c r="C125" s="1">
        <v>46024.729166666664</v>
      </c>
      <c r="D125">
        <v>635.71</v>
      </c>
      <c r="E125" t="s">
        <v>25</v>
      </c>
      <c r="F125" t="s">
        <v>4680</v>
      </c>
      <c r="G125" t="s">
        <v>4681</v>
      </c>
    </row>
    <row r="126" spans="1:7" x14ac:dyDescent="0.25">
      <c r="A126" t="s">
        <v>4682</v>
      </c>
      <c r="B126" t="s">
        <v>4298</v>
      </c>
      <c r="C126" s="1">
        <v>46024.770833333336</v>
      </c>
      <c r="D126">
        <v>629.74</v>
      </c>
      <c r="E126" t="s">
        <v>25</v>
      </c>
      <c r="F126" t="s">
        <v>4683</v>
      </c>
      <c r="G126" t="s">
        <v>4684</v>
      </c>
    </row>
    <row r="127" spans="1:7" x14ac:dyDescent="0.25">
      <c r="A127" t="s">
        <v>4685</v>
      </c>
      <c r="B127" t="s">
        <v>4301</v>
      </c>
      <c r="C127" s="1">
        <v>46024.8125</v>
      </c>
      <c r="D127">
        <v>7.56</v>
      </c>
      <c r="E127" t="s">
        <v>25</v>
      </c>
      <c r="F127" t="s">
        <v>4686</v>
      </c>
      <c r="G127" t="s">
        <v>4687</v>
      </c>
    </row>
    <row r="128" spans="1:7" x14ac:dyDescent="0.25">
      <c r="A128" t="s">
        <v>4688</v>
      </c>
      <c r="B128" t="s">
        <v>4304</v>
      </c>
      <c r="C128" s="1">
        <v>46024.854166666664</v>
      </c>
      <c r="D128">
        <v>540.72</v>
      </c>
      <c r="E128" t="s">
        <v>25</v>
      </c>
      <c r="F128" t="s">
        <v>4689</v>
      </c>
      <c r="G128" t="s">
        <v>4690</v>
      </c>
    </row>
    <row r="129" spans="1:7" x14ac:dyDescent="0.25">
      <c r="A129" t="s">
        <v>4691</v>
      </c>
      <c r="B129" t="s">
        <v>4307</v>
      </c>
      <c r="C129" s="1">
        <v>46024.895833333336</v>
      </c>
      <c r="D129">
        <v>816.59</v>
      </c>
      <c r="E129" t="s">
        <v>25</v>
      </c>
      <c r="F129" t="s">
        <v>4692</v>
      </c>
      <c r="G129" t="s">
        <v>4693</v>
      </c>
    </row>
    <row r="130" spans="1:7" x14ac:dyDescent="0.25">
      <c r="A130" t="s">
        <v>4694</v>
      </c>
      <c r="B130" t="s">
        <v>4310</v>
      </c>
      <c r="C130" s="1">
        <v>46024.9375</v>
      </c>
      <c r="D130">
        <v>490.82</v>
      </c>
      <c r="E130" t="s">
        <v>25</v>
      </c>
      <c r="F130" t="s">
        <v>4695</v>
      </c>
      <c r="G130" t="s">
        <v>4696</v>
      </c>
    </row>
    <row r="131" spans="1:7" x14ac:dyDescent="0.25">
      <c r="A131" t="s">
        <v>4697</v>
      </c>
      <c r="B131" t="s">
        <v>4313</v>
      </c>
      <c r="C131" s="1">
        <v>46024.979166666664</v>
      </c>
      <c r="D131">
        <v>152.71</v>
      </c>
      <c r="E131" t="s">
        <v>25</v>
      </c>
      <c r="F131" t="s">
        <v>4698</v>
      </c>
      <c r="G131" t="s">
        <v>4699</v>
      </c>
    </row>
    <row r="132" spans="1:7" x14ac:dyDescent="0.25">
      <c r="A132" t="s">
        <v>4700</v>
      </c>
      <c r="B132" t="s">
        <v>4316</v>
      </c>
      <c r="C132" s="1">
        <v>46025.020833333336</v>
      </c>
      <c r="D132">
        <v>571.67999999999995</v>
      </c>
      <c r="E132" t="s">
        <v>25</v>
      </c>
      <c r="F132" t="s">
        <v>4701</v>
      </c>
      <c r="G132" t="s">
        <v>4702</v>
      </c>
    </row>
    <row r="133" spans="1:7" x14ac:dyDescent="0.25">
      <c r="A133" t="s">
        <v>4703</v>
      </c>
      <c r="B133" t="s">
        <v>4319</v>
      </c>
      <c r="C133" s="1">
        <v>46025.0625</v>
      </c>
      <c r="D133">
        <v>616.83000000000004</v>
      </c>
      <c r="E133" t="s">
        <v>25</v>
      </c>
      <c r="F133" t="s">
        <v>4704</v>
      </c>
      <c r="G133" t="s">
        <v>4705</v>
      </c>
    </row>
    <row r="134" spans="1:7" x14ac:dyDescent="0.25">
      <c r="A134" t="s">
        <v>4706</v>
      </c>
      <c r="B134" t="s">
        <v>3077</v>
      </c>
      <c r="C134" s="1">
        <v>46033.340995370374</v>
      </c>
      <c r="D134">
        <v>-718.58</v>
      </c>
      <c r="E134" t="s">
        <v>25</v>
      </c>
      <c r="F134" t="s">
        <v>4707</v>
      </c>
      <c r="G134" t="s">
        <v>4708</v>
      </c>
    </row>
    <row r="135" spans="1:7" x14ac:dyDescent="0.25">
      <c r="A135" t="s">
        <v>4709</v>
      </c>
      <c r="B135" t="s">
        <v>3086</v>
      </c>
      <c r="C135" s="1">
        <v>46038.833715277775</v>
      </c>
      <c r="D135">
        <v>-607.80999999999995</v>
      </c>
      <c r="E135" t="s">
        <v>25</v>
      </c>
      <c r="F135" t="s">
        <v>4710</v>
      </c>
      <c r="G135" t="s">
        <v>4711</v>
      </c>
    </row>
    <row r="136" spans="1:7" x14ac:dyDescent="0.25">
      <c r="A136" t="s">
        <v>4712</v>
      </c>
      <c r="B136" t="s">
        <v>3197</v>
      </c>
      <c r="C136" s="1">
        <v>46032.230324074073</v>
      </c>
      <c r="D136">
        <v>-774.42</v>
      </c>
      <c r="E136" t="s">
        <v>52</v>
      </c>
      <c r="F136" t="s">
        <v>4713</v>
      </c>
      <c r="G136" t="s">
        <v>4714</v>
      </c>
    </row>
    <row r="137" spans="1:7" x14ac:dyDescent="0.25">
      <c r="A137" t="s">
        <v>4715</v>
      </c>
      <c r="B137" t="s">
        <v>3214</v>
      </c>
      <c r="C137" s="1">
        <v>46033.619386574072</v>
      </c>
      <c r="D137">
        <v>-631.87</v>
      </c>
      <c r="E137" t="s">
        <v>25</v>
      </c>
      <c r="F137" t="s">
        <v>4716</v>
      </c>
      <c r="G137" t="s">
        <v>4717</v>
      </c>
    </row>
    <row r="138" spans="1:7" x14ac:dyDescent="0.25">
      <c r="A138" t="s">
        <v>4718</v>
      </c>
      <c r="B138" t="s">
        <v>3227</v>
      </c>
      <c r="C138" s="1">
        <v>46030.634363425925</v>
      </c>
      <c r="D138">
        <v>-1472.02</v>
      </c>
      <c r="E138" t="s">
        <v>25</v>
      </c>
      <c r="F138" t="s">
        <v>4719</v>
      </c>
      <c r="G138" t="s">
        <v>4720</v>
      </c>
    </row>
    <row r="139" spans="1:7" x14ac:dyDescent="0.25">
      <c r="A139" t="s">
        <v>4721</v>
      </c>
      <c r="B139" t="s">
        <v>3253</v>
      </c>
      <c r="C139" s="1">
        <v>46026.845011574071</v>
      </c>
      <c r="D139">
        <v>-293.02</v>
      </c>
      <c r="E139" t="s">
        <v>52</v>
      </c>
      <c r="F139" t="s">
        <v>4722</v>
      </c>
      <c r="G139" t="s">
        <v>4723</v>
      </c>
    </row>
    <row r="140" spans="1:7" x14ac:dyDescent="0.25">
      <c r="A140" t="s">
        <v>4724</v>
      </c>
      <c r="B140" t="s">
        <v>3271</v>
      </c>
      <c r="C140" s="1">
        <v>46028.195879629631</v>
      </c>
      <c r="D140">
        <v>-518.08000000000004</v>
      </c>
      <c r="E140" t="s">
        <v>25</v>
      </c>
      <c r="F140" t="s">
        <v>4725</v>
      </c>
      <c r="G140" t="s">
        <v>4726</v>
      </c>
    </row>
    <row r="141" spans="1:7" x14ac:dyDescent="0.25">
      <c r="A141" t="s">
        <v>4727</v>
      </c>
      <c r="B141" t="s">
        <v>3278</v>
      </c>
      <c r="C141" s="1">
        <v>46032.644837962966</v>
      </c>
      <c r="D141">
        <v>-439.33</v>
      </c>
      <c r="E141" t="s">
        <v>52</v>
      </c>
      <c r="F141" t="s">
        <v>4728</v>
      </c>
      <c r="G141" t="s">
        <v>4729</v>
      </c>
    </row>
    <row r="142" spans="1:7" x14ac:dyDescent="0.25">
      <c r="A142" t="s">
        <v>4730</v>
      </c>
      <c r="B142" t="s">
        <v>3298</v>
      </c>
      <c r="C142" s="1">
        <v>46034.037812499999</v>
      </c>
      <c r="D142">
        <v>-16.93</v>
      </c>
      <c r="E142" t="s">
        <v>25</v>
      </c>
      <c r="F142" t="s">
        <v>4731</v>
      </c>
      <c r="G142" t="s">
        <v>4732</v>
      </c>
    </row>
    <row r="143" spans="1:7" x14ac:dyDescent="0.25">
      <c r="A143" t="s">
        <v>4733</v>
      </c>
      <c r="B143" t="s">
        <v>3308</v>
      </c>
      <c r="C143" s="1">
        <v>46027.792615740742</v>
      </c>
      <c r="D143">
        <v>-1351.31</v>
      </c>
      <c r="E143" t="s">
        <v>25</v>
      </c>
      <c r="F143" t="s">
        <v>4734</v>
      </c>
      <c r="G143" t="s">
        <v>4735</v>
      </c>
    </row>
    <row r="144" spans="1:7" x14ac:dyDescent="0.25">
      <c r="A144" t="s">
        <v>4736</v>
      </c>
      <c r="B144" t="s">
        <v>3321</v>
      </c>
      <c r="C144" s="1">
        <v>46038.779270833336</v>
      </c>
      <c r="D144">
        <v>-127.66</v>
      </c>
      <c r="E144" t="s">
        <v>25</v>
      </c>
      <c r="F144" t="s">
        <v>4737</v>
      </c>
      <c r="G144" t="s">
        <v>4738</v>
      </c>
    </row>
    <row r="145" spans="1:7" x14ac:dyDescent="0.25">
      <c r="A145" t="s">
        <v>4739</v>
      </c>
      <c r="B145" t="s">
        <v>3328</v>
      </c>
      <c r="C145" s="1">
        <v>46030.347060185188</v>
      </c>
      <c r="D145">
        <v>-714.93</v>
      </c>
      <c r="E145" t="s">
        <v>52</v>
      </c>
      <c r="F145" t="s">
        <v>4740</v>
      </c>
      <c r="G145" t="s">
        <v>4741</v>
      </c>
    </row>
    <row r="146" spans="1:7" x14ac:dyDescent="0.25">
      <c r="A146" t="s">
        <v>4742</v>
      </c>
      <c r="B146" t="s">
        <v>3361</v>
      </c>
      <c r="C146" s="1">
        <v>46034.184687499997</v>
      </c>
      <c r="D146">
        <v>-1149.1600000000001</v>
      </c>
      <c r="E146" t="s">
        <v>19</v>
      </c>
      <c r="F146" t="s">
        <v>4743</v>
      </c>
      <c r="G146" t="s">
        <v>4744</v>
      </c>
    </row>
    <row r="147" spans="1:7" x14ac:dyDescent="0.25">
      <c r="A147" t="s">
        <v>4745</v>
      </c>
      <c r="B147" t="s">
        <v>3366</v>
      </c>
      <c r="C147" s="1">
        <v>46036.465358796297</v>
      </c>
      <c r="D147">
        <v>-474.78</v>
      </c>
      <c r="E147" t="s">
        <v>25</v>
      </c>
      <c r="F147" t="s">
        <v>4746</v>
      </c>
      <c r="G147" t="s">
        <v>4747</v>
      </c>
    </row>
    <row r="148" spans="1:7" x14ac:dyDescent="0.25">
      <c r="A148" t="s">
        <v>4748</v>
      </c>
      <c r="B148" t="s">
        <v>3404</v>
      </c>
      <c r="C148" s="1">
        <v>46025.273333333331</v>
      </c>
      <c r="D148">
        <v>-2282.7800000000002</v>
      </c>
      <c r="E148" t="s">
        <v>25</v>
      </c>
      <c r="F148" t="s">
        <v>4749</v>
      </c>
      <c r="G148" t="s">
        <v>4750</v>
      </c>
    </row>
    <row r="149" spans="1:7" x14ac:dyDescent="0.25">
      <c r="A149" t="s">
        <v>4751</v>
      </c>
      <c r="B149" t="s">
        <v>3464</v>
      </c>
      <c r="C149" s="1">
        <v>46038.323819444442</v>
      </c>
      <c r="D149">
        <v>-2107.5100000000002</v>
      </c>
      <c r="E149" t="s">
        <v>52</v>
      </c>
      <c r="F149" t="s">
        <v>4752</v>
      </c>
      <c r="G149" t="s">
        <v>4753</v>
      </c>
    </row>
    <row r="150" spans="1:7" x14ac:dyDescent="0.25">
      <c r="A150" t="s">
        <v>4754</v>
      </c>
      <c r="B150" t="s">
        <v>3498</v>
      </c>
      <c r="C150" s="1">
        <v>46027.901956018519</v>
      </c>
      <c r="D150">
        <v>-639.99</v>
      </c>
      <c r="E150" t="s">
        <v>25</v>
      </c>
      <c r="F150" t="s">
        <v>4755</v>
      </c>
      <c r="G150" t="s">
        <v>4756</v>
      </c>
    </row>
    <row r="151" spans="1:7" x14ac:dyDescent="0.25">
      <c r="A151" t="s">
        <v>4757</v>
      </c>
      <c r="B151" t="s">
        <v>3523</v>
      </c>
      <c r="C151" s="1">
        <v>46028.276064814818</v>
      </c>
      <c r="D151">
        <v>-847.58</v>
      </c>
      <c r="E151" t="s">
        <v>25</v>
      </c>
      <c r="F151" t="s">
        <v>4758</v>
      </c>
      <c r="G151" t="s">
        <v>4759</v>
      </c>
    </row>
    <row r="152" spans="1:7" x14ac:dyDescent="0.25">
      <c r="A152" t="s">
        <v>4760</v>
      </c>
      <c r="B152" t="s">
        <v>3547</v>
      </c>
      <c r="C152" s="1">
        <v>46032.924305555556</v>
      </c>
      <c r="D152">
        <v>-42.49</v>
      </c>
      <c r="E152" t="s">
        <v>52</v>
      </c>
      <c r="F152" t="s">
        <v>4761</v>
      </c>
      <c r="G152" t="s">
        <v>4762</v>
      </c>
    </row>
    <row r="153" spans="1:7" x14ac:dyDescent="0.25">
      <c r="A153" t="s">
        <v>4763</v>
      </c>
      <c r="B153" t="s">
        <v>3591</v>
      </c>
      <c r="C153" s="1">
        <v>46035.767210648148</v>
      </c>
      <c r="D153">
        <v>-609.04</v>
      </c>
      <c r="E153" t="s">
        <v>19</v>
      </c>
      <c r="F153" t="s">
        <v>4764</v>
      </c>
      <c r="G153" t="s">
        <v>4765</v>
      </c>
    </row>
    <row r="154" spans="1:7" x14ac:dyDescent="0.25">
      <c r="A154" t="s">
        <v>4766</v>
      </c>
      <c r="B154" t="s">
        <v>3601</v>
      </c>
      <c r="C154" s="1">
        <v>46029.489340277774</v>
      </c>
      <c r="D154">
        <v>-822.81</v>
      </c>
      <c r="E154" t="s">
        <v>25</v>
      </c>
      <c r="F154" t="s">
        <v>4767</v>
      </c>
      <c r="G154" t="s">
        <v>4768</v>
      </c>
    </row>
    <row r="155" spans="1:7" x14ac:dyDescent="0.25">
      <c r="A155" t="s">
        <v>4769</v>
      </c>
      <c r="B155" t="s">
        <v>3609</v>
      </c>
      <c r="C155" s="1">
        <v>46036.056145833332</v>
      </c>
      <c r="D155">
        <v>-442.42</v>
      </c>
      <c r="E155" t="s">
        <v>25</v>
      </c>
      <c r="F155" t="s">
        <v>4770</v>
      </c>
      <c r="G155" t="s">
        <v>4771</v>
      </c>
    </row>
    <row r="156" spans="1:7" x14ac:dyDescent="0.25">
      <c r="A156" t="s">
        <v>4772</v>
      </c>
      <c r="B156" t="s">
        <v>3633</v>
      </c>
      <c r="C156" s="1">
        <v>46031.250277777777</v>
      </c>
      <c r="D156">
        <v>-722.27</v>
      </c>
      <c r="E156" t="s">
        <v>25</v>
      </c>
      <c r="F156" t="s">
        <v>4773</v>
      </c>
      <c r="G156" t="s">
        <v>4774</v>
      </c>
    </row>
    <row r="157" spans="1:7" x14ac:dyDescent="0.25">
      <c r="A157" t="s">
        <v>4775</v>
      </c>
      <c r="B157" t="s">
        <v>3643</v>
      </c>
      <c r="C157" s="1">
        <v>46038.871319444443</v>
      </c>
      <c r="D157">
        <v>-952.14</v>
      </c>
      <c r="E157" t="s">
        <v>25</v>
      </c>
      <c r="F157" t="s">
        <v>4776</v>
      </c>
      <c r="G157" t="s">
        <v>4777</v>
      </c>
    </row>
    <row r="158" spans="1:7" x14ac:dyDescent="0.25">
      <c r="A158" t="s">
        <v>4778</v>
      </c>
      <c r="B158" t="s">
        <v>3657</v>
      </c>
      <c r="C158" s="1">
        <v>46035.896527777775</v>
      </c>
      <c r="D158">
        <v>-533.28</v>
      </c>
      <c r="E158" t="s">
        <v>25</v>
      </c>
      <c r="F158" t="s">
        <v>4779</v>
      </c>
      <c r="G158" t="s">
        <v>4780</v>
      </c>
    </row>
    <row r="159" spans="1:7" x14ac:dyDescent="0.25">
      <c r="A159" t="s">
        <v>4781</v>
      </c>
      <c r="B159" t="s">
        <v>3692</v>
      </c>
      <c r="C159" s="1">
        <v>46038.74318287037</v>
      </c>
      <c r="D159">
        <v>-1175.8499999999999</v>
      </c>
      <c r="E159" t="s">
        <v>25</v>
      </c>
      <c r="F159" t="s">
        <v>4782</v>
      </c>
      <c r="G159" t="s">
        <v>4783</v>
      </c>
    </row>
    <row r="160" spans="1:7" x14ac:dyDescent="0.25">
      <c r="A160" t="s">
        <v>4784</v>
      </c>
      <c r="B160" t="s">
        <v>3789</v>
      </c>
      <c r="C160" s="1">
        <v>46030.991261574076</v>
      </c>
      <c r="D160">
        <v>-551.57000000000005</v>
      </c>
      <c r="E160" t="s">
        <v>25</v>
      </c>
      <c r="F160" t="s">
        <v>4785</v>
      </c>
      <c r="G160" t="s">
        <v>4786</v>
      </c>
    </row>
    <row r="161" spans="1:7" x14ac:dyDescent="0.25">
      <c r="A161" t="s">
        <v>4787</v>
      </c>
      <c r="B161" t="s">
        <v>3875</v>
      </c>
      <c r="C161" s="1">
        <v>46027.411377314813</v>
      </c>
      <c r="D161">
        <v>-713.36</v>
      </c>
      <c r="E161" t="s">
        <v>25</v>
      </c>
      <c r="F161" t="s">
        <v>4788</v>
      </c>
      <c r="G161" t="s">
        <v>4789</v>
      </c>
    </row>
    <row r="162" spans="1:7" x14ac:dyDescent="0.25">
      <c r="A162" t="s">
        <v>4790</v>
      </c>
      <c r="B162" t="s">
        <v>3892</v>
      </c>
      <c r="C162" s="1">
        <v>46026.577893518515</v>
      </c>
      <c r="D162">
        <v>-1058.8800000000001</v>
      </c>
      <c r="E162" t="s">
        <v>25</v>
      </c>
      <c r="F162" t="s">
        <v>4791</v>
      </c>
      <c r="G162" t="s">
        <v>4792</v>
      </c>
    </row>
    <row r="163" spans="1:7" x14ac:dyDescent="0.25">
      <c r="A163" t="s">
        <v>4793</v>
      </c>
      <c r="B163" t="s">
        <v>3963</v>
      </c>
      <c r="C163" s="1">
        <v>46028.628495370373</v>
      </c>
      <c r="D163">
        <v>-764.09</v>
      </c>
      <c r="E163" t="s">
        <v>25</v>
      </c>
      <c r="F163" t="s">
        <v>4794</v>
      </c>
      <c r="G163" t="s">
        <v>4795</v>
      </c>
    </row>
    <row r="164" spans="1:7" x14ac:dyDescent="0.25">
      <c r="A164" t="s">
        <v>4796</v>
      </c>
      <c r="B164" t="s">
        <v>3972</v>
      </c>
      <c r="C164" s="1">
        <v>46034.073761574073</v>
      </c>
      <c r="D164">
        <v>-1070.48</v>
      </c>
      <c r="E164" t="s">
        <v>19</v>
      </c>
      <c r="F164" t="s">
        <v>4797</v>
      </c>
      <c r="G164" t="s">
        <v>4798</v>
      </c>
    </row>
    <row r="165" spans="1:7" x14ac:dyDescent="0.25">
      <c r="A165" t="s">
        <v>4799</v>
      </c>
      <c r="B165" t="s">
        <v>4026</v>
      </c>
      <c r="C165" s="1">
        <v>46036.129212962966</v>
      </c>
      <c r="D165">
        <v>-2092.8200000000002</v>
      </c>
      <c r="E165" t="s">
        <v>25</v>
      </c>
      <c r="F165" t="s">
        <v>4800</v>
      </c>
      <c r="G165" t="s">
        <v>4801</v>
      </c>
    </row>
    <row r="166" spans="1:7" x14ac:dyDescent="0.25">
      <c r="A166" t="s">
        <v>4802</v>
      </c>
      <c r="B166" t="s">
        <v>4090</v>
      </c>
      <c r="C166" s="1">
        <v>46035.232372685183</v>
      </c>
      <c r="D166">
        <v>-20.87</v>
      </c>
      <c r="E166" t="s">
        <v>19</v>
      </c>
      <c r="F166" t="s">
        <v>4803</v>
      </c>
      <c r="G166" t="s">
        <v>4804</v>
      </c>
    </row>
    <row r="167" spans="1:7" x14ac:dyDescent="0.25">
      <c r="A167" t="s">
        <v>4805</v>
      </c>
      <c r="B167" t="s">
        <v>4113</v>
      </c>
      <c r="C167" s="1">
        <v>46028.098032407404</v>
      </c>
      <c r="D167">
        <v>-1174.17</v>
      </c>
      <c r="E167" t="s">
        <v>19</v>
      </c>
      <c r="F167" t="s">
        <v>4806</v>
      </c>
      <c r="G167" t="s">
        <v>4807</v>
      </c>
    </row>
    <row r="168" spans="1:7" x14ac:dyDescent="0.25">
      <c r="A168" t="s">
        <v>4808</v>
      </c>
      <c r="B168" t="s">
        <v>4127</v>
      </c>
      <c r="C168" s="1">
        <v>46037.998356481483</v>
      </c>
      <c r="D168">
        <v>-500.56</v>
      </c>
      <c r="E168" t="s">
        <v>19</v>
      </c>
      <c r="F168" t="s">
        <v>4809</v>
      </c>
      <c r="G168" t="s">
        <v>4810</v>
      </c>
    </row>
    <row r="169" spans="1:7" x14ac:dyDescent="0.25">
      <c r="A169" t="s">
        <v>4811</v>
      </c>
      <c r="B169" t="s">
        <v>4146</v>
      </c>
      <c r="C169" s="1">
        <v>46026.535474537035</v>
      </c>
      <c r="D169">
        <v>-2370.52</v>
      </c>
      <c r="E169" t="s">
        <v>25</v>
      </c>
      <c r="F169" t="s">
        <v>4812</v>
      </c>
      <c r="G169" t="s">
        <v>4813</v>
      </c>
    </row>
    <row r="170" spans="1:7" x14ac:dyDescent="0.25">
      <c r="A170" t="s">
        <v>4814</v>
      </c>
      <c r="B170" t="s">
        <v>4162</v>
      </c>
      <c r="C170" s="1">
        <v>46026.823391203703</v>
      </c>
      <c r="D170">
        <v>-332.45</v>
      </c>
      <c r="E170" t="s">
        <v>25</v>
      </c>
      <c r="F170" t="s">
        <v>4815</v>
      </c>
      <c r="G170" t="s">
        <v>4816</v>
      </c>
    </row>
    <row r="171" spans="1:7" x14ac:dyDescent="0.25">
      <c r="A171" t="s">
        <v>4817</v>
      </c>
      <c r="B171" t="s">
        <v>4183</v>
      </c>
      <c r="C171" s="1">
        <v>46029.397083333337</v>
      </c>
      <c r="D171">
        <v>-701.47</v>
      </c>
      <c r="E171" t="s">
        <v>25</v>
      </c>
      <c r="F171" t="s">
        <v>4818</v>
      </c>
      <c r="G171" t="s">
        <v>4819</v>
      </c>
    </row>
    <row r="172" spans="1:7" x14ac:dyDescent="0.25">
      <c r="A172" t="s">
        <v>4820</v>
      </c>
      <c r="B172" t="s">
        <v>4246</v>
      </c>
      <c r="C172" s="1">
        <v>46033.888287037036</v>
      </c>
      <c r="D172">
        <v>-747.94</v>
      </c>
      <c r="E172" t="s">
        <v>25</v>
      </c>
      <c r="F172" t="s">
        <v>4821</v>
      </c>
      <c r="G172" t="s">
        <v>4822</v>
      </c>
    </row>
    <row r="173" spans="1:7" x14ac:dyDescent="0.25">
      <c r="A173" t="s">
        <v>4823</v>
      </c>
      <c r="B173" t="s">
        <v>4255</v>
      </c>
      <c r="C173" s="1">
        <v>46025.435717592591</v>
      </c>
      <c r="D173">
        <v>-1906.98</v>
      </c>
      <c r="E173" t="s">
        <v>25</v>
      </c>
      <c r="F173" t="s">
        <v>4824</v>
      </c>
      <c r="G173" t="s">
        <v>4825</v>
      </c>
    </row>
    <row r="174" spans="1:7" x14ac:dyDescent="0.25">
      <c r="A174" t="s">
        <v>4826</v>
      </c>
      <c r="B174" t="s">
        <v>3064</v>
      </c>
      <c r="C174" s="1">
        <v>46025.206689814811</v>
      </c>
      <c r="D174">
        <v>24148.25</v>
      </c>
      <c r="E174" t="s">
        <v>25</v>
      </c>
      <c r="F174" t="s">
        <v>4827</v>
      </c>
      <c r="G174" t="s">
        <v>4828</v>
      </c>
    </row>
    <row r="175" spans="1:7" x14ac:dyDescent="0.25">
      <c r="A175" t="s">
        <v>4829</v>
      </c>
      <c r="B175" t="s">
        <v>3494</v>
      </c>
      <c r="C175" s="1">
        <v>46025.2108912037</v>
      </c>
      <c r="D175">
        <v>17242.55</v>
      </c>
      <c r="E175" t="s">
        <v>25</v>
      </c>
      <c r="F175" t="s">
        <v>4830</v>
      </c>
      <c r="G175" t="s">
        <v>4831</v>
      </c>
    </row>
    <row r="176" spans="1:7" x14ac:dyDescent="0.25">
      <c r="A176" t="s">
        <v>4832</v>
      </c>
      <c r="B176" t="s">
        <v>3918</v>
      </c>
      <c r="C176" s="1">
        <v>46025.197233796294</v>
      </c>
      <c r="D176">
        <v>17014.11</v>
      </c>
      <c r="E176" t="s">
        <v>25</v>
      </c>
      <c r="F176" t="s">
        <v>4833</v>
      </c>
      <c r="G176" t="s">
        <v>4834</v>
      </c>
    </row>
    <row r="177" spans="1:7" x14ac:dyDescent="0.25">
      <c r="A177" t="s">
        <v>4835</v>
      </c>
      <c r="B177" t="s">
        <v>3038</v>
      </c>
      <c r="C177" s="1">
        <v>46026.140729166669</v>
      </c>
      <c r="D177">
        <v>21160.5</v>
      </c>
      <c r="E177" t="s">
        <v>25</v>
      </c>
      <c r="F177" t="s">
        <v>4836</v>
      </c>
      <c r="G177" t="s">
        <v>4837</v>
      </c>
    </row>
    <row r="178" spans="1:7" x14ac:dyDescent="0.25">
      <c r="A178" t="s">
        <v>4838</v>
      </c>
      <c r="B178" t="s">
        <v>3468</v>
      </c>
      <c r="C178" s="1">
        <v>46026.211261574077</v>
      </c>
      <c r="D178">
        <v>22524.5</v>
      </c>
      <c r="E178" t="s">
        <v>25</v>
      </c>
      <c r="F178" t="s">
        <v>4839</v>
      </c>
      <c r="G178" t="s">
        <v>4840</v>
      </c>
    </row>
    <row r="179" spans="1:7" x14ac:dyDescent="0.25">
      <c r="A179" t="s">
        <v>4841</v>
      </c>
      <c r="B179" t="s">
        <v>3890</v>
      </c>
      <c r="C179" s="1">
        <v>46026.13554398148</v>
      </c>
      <c r="D179">
        <v>19471.96</v>
      </c>
      <c r="E179" t="s">
        <v>25</v>
      </c>
      <c r="F179" t="s">
        <v>4842</v>
      </c>
      <c r="G179" t="s">
        <v>4843</v>
      </c>
    </row>
    <row r="180" spans="1:7" x14ac:dyDescent="0.25">
      <c r="A180" t="s">
        <v>4844</v>
      </c>
      <c r="B180" t="s">
        <v>3040</v>
      </c>
      <c r="C180" s="1">
        <v>46027.206030092595</v>
      </c>
      <c r="D180">
        <v>17280.759999999998</v>
      </c>
      <c r="E180" t="s">
        <v>25</v>
      </c>
      <c r="F180" t="s">
        <v>4845</v>
      </c>
      <c r="G180" t="s">
        <v>4846</v>
      </c>
    </row>
    <row r="181" spans="1:7" x14ac:dyDescent="0.25">
      <c r="A181" t="s">
        <v>4847</v>
      </c>
      <c r="B181" t="s">
        <v>3470</v>
      </c>
      <c r="C181" s="1">
        <v>46027.16783564815</v>
      </c>
      <c r="D181">
        <v>22917.55</v>
      </c>
      <c r="E181" t="s">
        <v>25</v>
      </c>
      <c r="F181" t="s">
        <v>4848</v>
      </c>
      <c r="G181" t="s">
        <v>4849</v>
      </c>
    </row>
    <row r="182" spans="1:7" x14ac:dyDescent="0.25">
      <c r="A182" t="s">
        <v>4850</v>
      </c>
      <c r="B182" t="s">
        <v>3894</v>
      </c>
      <c r="C182" s="1">
        <v>46027.225960648146</v>
      </c>
      <c r="D182">
        <v>27891.98</v>
      </c>
      <c r="E182" t="s">
        <v>25</v>
      </c>
      <c r="F182" t="s">
        <v>4851</v>
      </c>
      <c r="G182" t="s">
        <v>4852</v>
      </c>
    </row>
    <row r="183" spans="1:7" x14ac:dyDescent="0.25">
      <c r="A183" t="s">
        <v>4853</v>
      </c>
      <c r="B183" t="s">
        <v>3042</v>
      </c>
      <c r="C183" s="1">
        <v>46028.173576388886</v>
      </c>
      <c r="D183">
        <v>20884.57</v>
      </c>
      <c r="E183" t="s">
        <v>25</v>
      </c>
      <c r="F183" t="s">
        <v>4854</v>
      </c>
      <c r="G183" t="s">
        <v>4855</v>
      </c>
    </row>
    <row r="184" spans="1:7" x14ac:dyDescent="0.25">
      <c r="A184" t="s">
        <v>4856</v>
      </c>
      <c r="B184" t="s">
        <v>3472</v>
      </c>
      <c r="C184" s="1">
        <v>46028.101550925923</v>
      </c>
      <c r="D184">
        <v>20552.98</v>
      </c>
      <c r="E184" t="s">
        <v>25</v>
      </c>
      <c r="F184" t="s">
        <v>4857</v>
      </c>
      <c r="G184" t="s">
        <v>4858</v>
      </c>
    </row>
    <row r="185" spans="1:7" x14ac:dyDescent="0.25">
      <c r="A185" t="s">
        <v>4859</v>
      </c>
      <c r="B185" t="s">
        <v>3896</v>
      </c>
      <c r="C185" s="1">
        <v>46028.199884259258</v>
      </c>
      <c r="D185">
        <v>20148.13</v>
      </c>
      <c r="E185" t="s">
        <v>25</v>
      </c>
      <c r="F185" t="s">
        <v>4860</v>
      </c>
      <c r="G185" t="s">
        <v>4861</v>
      </c>
    </row>
    <row r="186" spans="1:7" x14ac:dyDescent="0.25">
      <c r="A186" t="s">
        <v>4862</v>
      </c>
      <c r="B186" t="s">
        <v>3068</v>
      </c>
      <c r="C186" s="1">
        <v>46029.217847222222</v>
      </c>
      <c r="D186">
        <v>24610.36</v>
      </c>
      <c r="E186" t="s">
        <v>25</v>
      </c>
      <c r="F186" t="s">
        <v>4863</v>
      </c>
      <c r="G186" t="s">
        <v>4864</v>
      </c>
    </row>
    <row r="187" spans="1:7" x14ac:dyDescent="0.25">
      <c r="A187" t="s">
        <v>4865</v>
      </c>
      <c r="B187" t="s">
        <v>3474</v>
      </c>
      <c r="C187" s="1">
        <v>46029.174571759257</v>
      </c>
      <c r="D187">
        <v>20963.7</v>
      </c>
      <c r="E187" t="s">
        <v>25</v>
      </c>
      <c r="F187" t="s">
        <v>4866</v>
      </c>
      <c r="G187" t="s">
        <v>4867</v>
      </c>
    </row>
    <row r="188" spans="1:7" x14ac:dyDescent="0.25">
      <c r="A188" t="s">
        <v>4868</v>
      </c>
      <c r="B188" t="s">
        <v>3923</v>
      </c>
      <c r="C188" s="1">
        <v>46029.170578703706</v>
      </c>
      <c r="D188">
        <v>17027.57</v>
      </c>
      <c r="E188" t="s">
        <v>25</v>
      </c>
      <c r="F188" t="s">
        <v>4869</v>
      </c>
      <c r="G188" t="s">
        <v>4870</v>
      </c>
    </row>
    <row r="189" spans="1:7" x14ac:dyDescent="0.25">
      <c r="A189" t="s">
        <v>4871</v>
      </c>
      <c r="B189" t="s">
        <v>3046</v>
      </c>
      <c r="C189" s="1">
        <v>46030.211701388886</v>
      </c>
      <c r="D189">
        <v>23126.11</v>
      </c>
      <c r="E189" t="s">
        <v>25</v>
      </c>
      <c r="F189" t="s">
        <v>4872</v>
      </c>
      <c r="G189" t="s">
        <v>4873</v>
      </c>
    </row>
    <row r="190" spans="1:7" x14ac:dyDescent="0.25">
      <c r="A190" t="s">
        <v>4874</v>
      </c>
      <c r="B190" t="s">
        <v>3476</v>
      </c>
      <c r="C190" s="1">
        <v>46030.134305555555</v>
      </c>
      <c r="D190">
        <v>20383.810000000001</v>
      </c>
      <c r="E190" t="s">
        <v>25</v>
      </c>
      <c r="F190" t="s">
        <v>4875</v>
      </c>
      <c r="G190" t="s">
        <v>4876</v>
      </c>
    </row>
    <row r="191" spans="1:7" x14ac:dyDescent="0.25">
      <c r="A191" t="s">
        <v>4877</v>
      </c>
      <c r="B191" t="s">
        <v>3900</v>
      </c>
      <c r="C191" s="1">
        <v>46030.204328703701</v>
      </c>
      <c r="D191">
        <v>20837.25</v>
      </c>
      <c r="E191" t="s">
        <v>25</v>
      </c>
      <c r="F191" t="s">
        <v>4878</v>
      </c>
      <c r="G191" t="s">
        <v>4879</v>
      </c>
    </row>
    <row r="192" spans="1:7" x14ac:dyDescent="0.25">
      <c r="A192" t="s">
        <v>4880</v>
      </c>
      <c r="B192" t="s">
        <v>3048</v>
      </c>
      <c r="C192" s="1">
        <v>46031.166168981479</v>
      </c>
      <c r="D192">
        <v>22230.26</v>
      </c>
      <c r="E192" t="s">
        <v>25</v>
      </c>
      <c r="F192" t="s">
        <v>4881</v>
      </c>
      <c r="G192" t="s">
        <v>4882</v>
      </c>
    </row>
    <row r="193" spans="1:7" x14ac:dyDescent="0.25">
      <c r="A193" t="s">
        <v>4883</v>
      </c>
      <c r="B193" t="s">
        <v>3478</v>
      </c>
      <c r="C193" s="1">
        <v>46031.223298611112</v>
      </c>
      <c r="D193">
        <v>23397.599999999999</v>
      </c>
      <c r="E193" t="s">
        <v>25</v>
      </c>
      <c r="F193" t="s">
        <v>4884</v>
      </c>
      <c r="G193" t="s">
        <v>4885</v>
      </c>
    </row>
    <row r="194" spans="1:7" x14ac:dyDescent="0.25">
      <c r="A194" t="s">
        <v>4886</v>
      </c>
      <c r="B194" t="s">
        <v>3902</v>
      </c>
      <c r="C194" s="1">
        <v>46031.198113425926</v>
      </c>
      <c r="D194">
        <v>15283.14</v>
      </c>
      <c r="E194" t="s">
        <v>25</v>
      </c>
      <c r="F194" t="s">
        <v>4887</v>
      </c>
      <c r="G194" t="s">
        <v>4888</v>
      </c>
    </row>
    <row r="195" spans="1:7" x14ac:dyDescent="0.25">
      <c r="A195" t="s">
        <v>4889</v>
      </c>
      <c r="B195" t="s">
        <v>3050</v>
      </c>
      <c r="C195" s="1">
        <v>46032.141898148147</v>
      </c>
      <c r="D195">
        <v>23178.33</v>
      </c>
      <c r="E195" t="s">
        <v>25</v>
      </c>
      <c r="F195" t="s">
        <v>4890</v>
      </c>
      <c r="G195" t="s">
        <v>4891</v>
      </c>
    </row>
    <row r="196" spans="1:7" x14ac:dyDescent="0.25">
      <c r="A196" t="s">
        <v>4892</v>
      </c>
      <c r="B196" t="s">
        <v>3480</v>
      </c>
      <c r="C196" s="1">
        <v>46032.199120370373</v>
      </c>
      <c r="D196">
        <v>27320.27</v>
      </c>
      <c r="E196" t="s">
        <v>25</v>
      </c>
      <c r="F196" t="s">
        <v>4893</v>
      </c>
      <c r="G196" t="s">
        <v>4894</v>
      </c>
    </row>
    <row r="197" spans="1:7" x14ac:dyDescent="0.25">
      <c r="A197" t="s">
        <v>4895</v>
      </c>
      <c r="B197" t="s">
        <v>3904</v>
      </c>
      <c r="C197" s="1">
        <v>46032.149062500001</v>
      </c>
      <c r="D197">
        <v>17924.21</v>
      </c>
      <c r="E197" t="s">
        <v>25</v>
      </c>
      <c r="F197" t="s">
        <v>4896</v>
      </c>
      <c r="G197" t="s">
        <v>4897</v>
      </c>
    </row>
    <row r="198" spans="1:7" x14ac:dyDescent="0.25">
      <c r="A198" t="s">
        <v>4898</v>
      </c>
      <c r="B198" t="s">
        <v>3052</v>
      </c>
      <c r="C198" s="1">
        <v>46033.207430555558</v>
      </c>
      <c r="D198">
        <v>27109.53</v>
      </c>
      <c r="E198" t="s">
        <v>25</v>
      </c>
      <c r="F198" t="s">
        <v>4899</v>
      </c>
      <c r="G198" t="s">
        <v>4900</v>
      </c>
    </row>
    <row r="199" spans="1:7" x14ac:dyDescent="0.25">
      <c r="A199" t="s">
        <v>4901</v>
      </c>
      <c r="B199" t="s">
        <v>3482</v>
      </c>
      <c r="C199" s="1">
        <v>46033.156493055554</v>
      </c>
      <c r="D199">
        <v>23999.39</v>
      </c>
      <c r="E199" t="s">
        <v>25</v>
      </c>
      <c r="F199" t="s">
        <v>4902</v>
      </c>
      <c r="G199" t="s">
        <v>4903</v>
      </c>
    </row>
    <row r="200" spans="1:7" x14ac:dyDescent="0.25">
      <c r="A200" t="s">
        <v>4904</v>
      </c>
      <c r="B200" t="s">
        <v>3930</v>
      </c>
      <c r="C200" s="1">
        <v>46033.208553240744</v>
      </c>
      <c r="D200">
        <v>15932.9</v>
      </c>
      <c r="E200" t="s">
        <v>25</v>
      </c>
      <c r="F200" t="s">
        <v>4905</v>
      </c>
      <c r="G200" t="s">
        <v>4906</v>
      </c>
    </row>
    <row r="201" spans="1:7" x14ac:dyDescent="0.25">
      <c r="A201" t="s">
        <v>4907</v>
      </c>
      <c r="B201" t="s">
        <v>3079</v>
      </c>
      <c r="C201" s="1">
        <v>46034.157870370371</v>
      </c>
      <c r="D201">
        <v>21810.22</v>
      </c>
      <c r="E201" t="s">
        <v>25</v>
      </c>
      <c r="F201" t="s">
        <v>4908</v>
      </c>
      <c r="G201" t="s">
        <v>4909</v>
      </c>
    </row>
    <row r="202" spans="1:7" x14ac:dyDescent="0.25">
      <c r="A202" t="s">
        <v>4910</v>
      </c>
      <c r="B202" t="s">
        <v>3530</v>
      </c>
      <c r="C202" s="1">
        <v>46034.211527777778</v>
      </c>
      <c r="D202">
        <v>20553.04</v>
      </c>
      <c r="E202" t="s">
        <v>25</v>
      </c>
      <c r="F202" t="s">
        <v>4911</v>
      </c>
      <c r="G202" t="s">
        <v>4912</v>
      </c>
    </row>
    <row r="203" spans="1:7" x14ac:dyDescent="0.25">
      <c r="A203" t="s">
        <v>4913</v>
      </c>
      <c r="B203" t="s">
        <v>3932</v>
      </c>
      <c r="C203" s="1">
        <v>46034.157604166663</v>
      </c>
      <c r="D203">
        <v>17093.669999999998</v>
      </c>
      <c r="E203" t="s">
        <v>25</v>
      </c>
      <c r="F203" t="s">
        <v>4914</v>
      </c>
      <c r="G203" t="s">
        <v>4915</v>
      </c>
    </row>
    <row r="204" spans="1:7" x14ac:dyDescent="0.25">
      <c r="A204" t="s">
        <v>4916</v>
      </c>
      <c r="B204" t="s">
        <v>3081</v>
      </c>
      <c r="C204" s="1">
        <v>46035.227916666663</v>
      </c>
      <c r="D204">
        <v>19175.91</v>
      </c>
      <c r="E204" t="s">
        <v>25</v>
      </c>
      <c r="F204" t="s">
        <v>4917</v>
      </c>
      <c r="G204" t="s">
        <v>4918</v>
      </c>
    </row>
    <row r="205" spans="1:7" x14ac:dyDescent="0.25">
      <c r="A205" t="s">
        <v>4919</v>
      </c>
      <c r="B205" t="s">
        <v>3510</v>
      </c>
      <c r="C205" s="1">
        <v>46035.193356481483</v>
      </c>
      <c r="D205">
        <v>23118.68</v>
      </c>
      <c r="E205" t="s">
        <v>25</v>
      </c>
      <c r="F205" t="s">
        <v>4920</v>
      </c>
      <c r="G205" t="s">
        <v>4921</v>
      </c>
    </row>
    <row r="206" spans="1:7" x14ac:dyDescent="0.25">
      <c r="A206" t="s">
        <v>4922</v>
      </c>
      <c r="B206" t="s">
        <v>3934</v>
      </c>
      <c r="C206" s="1">
        <v>46035.136157407411</v>
      </c>
      <c r="D206">
        <v>16115.46</v>
      </c>
      <c r="E206" t="s">
        <v>25</v>
      </c>
      <c r="F206" t="s">
        <v>4923</v>
      </c>
      <c r="G206" t="s">
        <v>4924</v>
      </c>
    </row>
    <row r="207" spans="1:7" x14ac:dyDescent="0.25">
      <c r="A207" t="s">
        <v>4925</v>
      </c>
      <c r="B207" t="s">
        <v>3058</v>
      </c>
      <c r="C207" s="1">
        <v>46036.223587962966</v>
      </c>
      <c r="D207">
        <v>25888.12</v>
      </c>
      <c r="E207" t="s">
        <v>25</v>
      </c>
      <c r="F207" t="s">
        <v>4926</v>
      </c>
      <c r="G207" t="s">
        <v>4927</v>
      </c>
    </row>
    <row r="208" spans="1:7" x14ac:dyDescent="0.25">
      <c r="A208" t="s">
        <v>4928</v>
      </c>
      <c r="B208" t="s">
        <v>3553</v>
      </c>
      <c r="C208" s="1">
        <v>46036.124722222223</v>
      </c>
      <c r="D208">
        <v>20791.669999999998</v>
      </c>
      <c r="E208" t="s">
        <v>25</v>
      </c>
      <c r="F208" t="s">
        <v>4929</v>
      </c>
      <c r="G208" t="s">
        <v>4930</v>
      </c>
    </row>
    <row r="209" spans="1:7" x14ac:dyDescent="0.25">
      <c r="A209" t="s">
        <v>4931</v>
      </c>
      <c r="B209" t="s">
        <v>3912</v>
      </c>
      <c r="C209" s="1">
        <v>46036.209328703706</v>
      </c>
      <c r="D209">
        <v>23755.119999999999</v>
      </c>
      <c r="E209" t="s">
        <v>25</v>
      </c>
      <c r="F209" t="s">
        <v>4932</v>
      </c>
      <c r="G209" t="s">
        <v>4933</v>
      </c>
    </row>
    <row r="210" spans="1:7" x14ac:dyDescent="0.25">
      <c r="A210" t="s">
        <v>4934</v>
      </c>
      <c r="B210" t="s">
        <v>3060</v>
      </c>
      <c r="C210" s="1">
        <v>46037.132164351853</v>
      </c>
      <c r="D210">
        <v>25123.14</v>
      </c>
      <c r="E210" t="s">
        <v>25</v>
      </c>
      <c r="F210" t="s">
        <v>4935</v>
      </c>
      <c r="G210" t="s">
        <v>4936</v>
      </c>
    </row>
    <row r="211" spans="1:7" x14ac:dyDescent="0.25">
      <c r="A211" t="s">
        <v>4937</v>
      </c>
      <c r="B211" t="s">
        <v>3490</v>
      </c>
      <c r="C211" s="1">
        <v>46037.210046296299</v>
      </c>
      <c r="D211">
        <v>21554.71</v>
      </c>
      <c r="E211" t="s">
        <v>25</v>
      </c>
      <c r="F211" t="s">
        <v>4938</v>
      </c>
      <c r="G211" t="s">
        <v>4939</v>
      </c>
    </row>
    <row r="212" spans="1:7" x14ac:dyDescent="0.25">
      <c r="A212" t="s">
        <v>4940</v>
      </c>
      <c r="B212" t="s">
        <v>3914</v>
      </c>
      <c r="C212" s="1">
        <v>46037.135277777779</v>
      </c>
      <c r="D212">
        <v>24027.03</v>
      </c>
      <c r="E212" t="s">
        <v>25</v>
      </c>
      <c r="F212" t="s">
        <v>4941</v>
      </c>
      <c r="G212" t="s">
        <v>4942</v>
      </c>
    </row>
    <row r="213" spans="1:7" x14ac:dyDescent="0.25">
      <c r="A213" t="s">
        <v>4943</v>
      </c>
      <c r="B213" t="s">
        <v>3062</v>
      </c>
      <c r="C213" s="1">
        <v>46038.201053240744</v>
      </c>
      <c r="D213">
        <v>19268.55</v>
      </c>
      <c r="E213" t="s">
        <v>25</v>
      </c>
      <c r="F213" t="s">
        <v>4944</v>
      </c>
      <c r="G213" t="s">
        <v>4945</v>
      </c>
    </row>
    <row r="214" spans="1:7" x14ac:dyDescent="0.25">
      <c r="A214" t="s">
        <v>4946</v>
      </c>
      <c r="B214" t="s">
        <v>3492</v>
      </c>
      <c r="C214" s="1">
        <v>46038.200358796297</v>
      </c>
      <c r="D214">
        <v>23724.26</v>
      </c>
      <c r="E214" t="s">
        <v>25</v>
      </c>
      <c r="F214" t="s">
        <v>4947</v>
      </c>
      <c r="G214" t="s">
        <v>4948</v>
      </c>
    </row>
    <row r="215" spans="1:7" x14ac:dyDescent="0.25">
      <c r="A215" t="s">
        <v>4949</v>
      </c>
      <c r="B215" t="s">
        <v>3916</v>
      </c>
      <c r="C215" s="1">
        <v>46038.230381944442</v>
      </c>
      <c r="D215">
        <v>20487.18</v>
      </c>
      <c r="E215" t="s">
        <v>25</v>
      </c>
      <c r="F215" t="s">
        <v>4950</v>
      </c>
      <c r="G215" t="s">
        <v>4951</v>
      </c>
    </row>
    <row r="216" spans="1:7" x14ac:dyDescent="0.25">
      <c r="A216" t="s">
        <v>4952</v>
      </c>
      <c r="B216" t="s">
        <v>4953</v>
      </c>
      <c r="C216" s="1">
        <v>46024.229166666664</v>
      </c>
      <c r="D216">
        <v>25</v>
      </c>
      <c r="E216" t="s">
        <v>25</v>
      </c>
      <c r="F216" t="s">
        <v>4954</v>
      </c>
      <c r="G216" t="s">
        <v>4955</v>
      </c>
    </row>
    <row r="217" spans="1:7" x14ac:dyDescent="0.25">
      <c r="A217" t="s">
        <v>4956</v>
      </c>
      <c r="B217" t="s">
        <v>4957</v>
      </c>
      <c r="C217" s="1">
        <v>46025.229166666664</v>
      </c>
      <c r="D217">
        <v>25</v>
      </c>
      <c r="E217" t="s">
        <v>25</v>
      </c>
      <c r="F217" t="s">
        <v>4958</v>
      </c>
      <c r="G217" t="s">
        <v>4955</v>
      </c>
    </row>
    <row r="218" spans="1:7" x14ac:dyDescent="0.25">
      <c r="A218" t="s">
        <v>4959</v>
      </c>
      <c r="B218" t="s">
        <v>4960</v>
      </c>
      <c r="C218" s="1">
        <v>46026.229166666664</v>
      </c>
      <c r="D218">
        <v>25</v>
      </c>
      <c r="E218" t="s">
        <v>25</v>
      </c>
      <c r="F218" t="s">
        <v>4961</v>
      </c>
      <c r="G218" t="s">
        <v>4955</v>
      </c>
    </row>
    <row r="219" spans="1:7" x14ac:dyDescent="0.25">
      <c r="A219" t="s">
        <v>4962</v>
      </c>
      <c r="B219" t="s">
        <v>4963</v>
      </c>
      <c r="C219" s="1">
        <v>46027.229166666664</v>
      </c>
      <c r="D219">
        <v>25</v>
      </c>
      <c r="E219" t="s">
        <v>25</v>
      </c>
      <c r="F219" t="s">
        <v>4964</v>
      </c>
      <c r="G219" t="s">
        <v>4955</v>
      </c>
    </row>
    <row r="220" spans="1:7" x14ac:dyDescent="0.25">
      <c r="A220" t="s">
        <v>4965</v>
      </c>
      <c r="B220" t="s">
        <v>4966</v>
      </c>
      <c r="C220" s="1">
        <v>46028.229166666664</v>
      </c>
      <c r="D220">
        <v>25</v>
      </c>
      <c r="E220" t="s">
        <v>25</v>
      </c>
      <c r="F220" t="s">
        <v>4967</v>
      </c>
      <c r="G220" t="s">
        <v>4955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713C-5E38-4F76-A6C5-0FA56C0DA136}">
  <dimension ref="A1:L1076"/>
  <sheetViews>
    <sheetView topLeftCell="A1059" workbookViewId="0">
      <selection activeCell="H1072" sqref="H1072"/>
    </sheetView>
  </sheetViews>
  <sheetFormatPr defaultRowHeight="15" x14ac:dyDescent="0.25"/>
  <cols>
    <col min="1" max="1" width="37.5703125" bestFit="1" customWidth="1"/>
    <col min="2" max="2" width="38.85546875" bestFit="1" customWidth="1"/>
    <col min="3" max="3" width="23.42578125" bestFit="1" customWidth="1"/>
    <col min="4" max="4" width="23.7109375" bestFit="1" customWidth="1"/>
    <col min="5" max="5" width="16" bestFit="1" customWidth="1"/>
    <col min="6" max="7" width="14" bestFit="1" customWidth="1"/>
    <col min="8" max="8" width="11.140625" bestFit="1" customWidth="1"/>
    <col min="9" max="9" width="38.5703125" bestFit="1" customWidth="1"/>
    <col min="10" max="10" width="18.85546875" bestFit="1" customWidth="1"/>
    <col min="11" max="11" width="22.85546875" bestFit="1" customWidth="1"/>
    <col min="12" max="12" width="23.7109375" bestFit="1" customWidth="1"/>
  </cols>
  <sheetData>
    <row r="1" spans="1:12" x14ac:dyDescent="0.25">
      <c r="A1" t="s">
        <v>3026</v>
      </c>
      <c r="B1" t="s">
        <v>10</v>
      </c>
      <c r="C1" t="s">
        <v>3027</v>
      </c>
      <c r="D1" t="s">
        <v>3028</v>
      </c>
      <c r="E1" t="s">
        <v>12</v>
      </c>
      <c r="F1" t="s">
        <v>3029</v>
      </c>
      <c r="G1" t="s">
        <v>3030</v>
      </c>
      <c r="H1" t="s">
        <v>13</v>
      </c>
      <c r="I1" t="s">
        <v>3031</v>
      </c>
      <c r="J1" t="s">
        <v>3032</v>
      </c>
      <c r="K1" t="s">
        <v>4979</v>
      </c>
      <c r="L1" t="s">
        <v>4994</v>
      </c>
    </row>
    <row r="2" spans="1:12" x14ac:dyDescent="0.25">
      <c r="A2" t="s">
        <v>3033</v>
      </c>
      <c r="B2" t="s">
        <v>18</v>
      </c>
      <c r="C2" t="s">
        <v>3034</v>
      </c>
      <c r="D2" s="1">
        <v>46023.338703703703</v>
      </c>
      <c r="E2">
        <v>1278.74</v>
      </c>
      <c r="F2">
        <v>37.380000000000003</v>
      </c>
      <c r="G2">
        <v>1241.3599999999999</v>
      </c>
      <c r="H2" t="s">
        <v>19</v>
      </c>
      <c r="I2" t="s">
        <v>3035</v>
      </c>
      <c r="J2" t="s">
        <v>3036</v>
      </c>
      <c r="K2">
        <v>1278.74</v>
      </c>
      <c r="L2" t="b">
        <v>0</v>
      </c>
    </row>
    <row r="3" spans="1:12" x14ac:dyDescent="0.25">
      <c r="A3" t="s">
        <v>3037</v>
      </c>
      <c r="B3" t="s">
        <v>24</v>
      </c>
      <c r="C3" t="s">
        <v>3034</v>
      </c>
      <c r="D3" s="1">
        <v>46024.450462962966</v>
      </c>
      <c r="E3">
        <v>959.03</v>
      </c>
      <c r="F3">
        <v>28.11</v>
      </c>
      <c r="G3">
        <v>930.92</v>
      </c>
      <c r="H3" t="s">
        <v>25</v>
      </c>
      <c r="I3" t="s">
        <v>3038</v>
      </c>
      <c r="J3" t="s">
        <v>3036</v>
      </c>
      <c r="K3">
        <v>959.03</v>
      </c>
      <c r="L3" t="b">
        <v>0</v>
      </c>
    </row>
    <row r="4" spans="1:12" x14ac:dyDescent="0.25">
      <c r="A4" t="s">
        <v>3039</v>
      </c>
      <c r="B4" t="s">
        <v>29</v>
      </c>
      <c r="C4" t="s">
        <v>3034</v>
      </c>
      <c r="D4" s="1">
        <v>46025.531111111108</v>
      </c>
      <c r="E4">
        <v>1304.44</v>
      </c>
      <c r="F4">
        <v>38.130000000000003</v>
      </c>
      <c r="G4">
        <v>1266.31</v>
      </c>
      <c r="H4" t="s">
        <v>25</v>
      </c>
      <c r="I4" t="s">
        <v>3040</v>
      </c>
      <c r="J4" t="s">
        <v>3036</v>
      </c>
      <c r="K4">
        <v>1304.44</v>
      </c>
      <c r="L4" t="b">
        <v>0</v>
      </c>
    </row>
    <row r="5" spans="1:12" x14ac:dyDescent="0.25">
      <c r="A5" t="s">
        <v>3041</v>
      </c>
      <c r="B5" t="s">
        <v>33</v>
      </c>
      <c r="C5" t="s">
        <v>3034</v>
      </c>
      <c r="D5" s="1">
        <v>46026.611458333333</v>
      </c>
      <c r="E5">
        <v>1506.47</v>
      </c>
      <c r="F5">
        <v>43.99</v>
      </c>
      <c r="G5">
        <v>1462.48</v>
      </c>
      <c r="H5" t="s">
        <v>25</v>
      </c>
      <c r="I5" t="s">
        <v>3042</v>
      </c>
      <c r="J5" t="s">
        <v>3036</v>
      </c>
      <c r="K5">
        <v>1506.47</v>
      </c>
      <c r="L5" t="b">
        <v>0</v>
      </c>
    </row>
    <row r="6" spans="1:12" x14ac:dyDescent="0.25">
      <c r="A6" t="s">
        <v>3043</v>
      </c>
      <c r="B6" t="s">
        <v>36</v>
      </c>
      <c r="C6" t="s">
        <v>3034</v>
      </c>
      <c r="D6" s="1">
        <v>46027.700023148151</v>
      </c>
      <c r="E6">
        <v>2052.98</v>
      </c>
      <c r="F6">
        <v>59.84</v>
      </c>
      <c r="G6">
        <v>1993.14</v>
      </c>
      <c r="H6" t="s">
        <v>25</v>
      </c>
      <c r="I6" t="s">
        <v>3044</v>
      </c>
      <c r="J6" t="s">
        <v>3036</v>
      </c>
      <c r="K6">
        <v>2052.98</v>
      </c>
      <c r="L6" t="b">
        <v>0</v>
      </c>
    </row>
    <row r="7" spans="1:12" x14ac:dyDescent="0.25">
      <c r="A7" t="s">
        <v>3045</v>
      </c>
      <c r="B7" t="s">
        <v>39</v>
      </c>
      <c r="C7" t="s">
        <v>3034</v>
      </c>
      <c r="D7" s="1">
        <v>46028.821030092593</v>
      </c>
      <c r="E7">
        <v>2487.4299999999998</v>
      </c>
      <c r="F7">
        <v>72.44</v>
      </c>
      <c r="G7">
        <v>2414.9899999999998</v>
      </c>
      <c r="H7" t="s">
        <v>25</v>
      </c>
      <c r="I7" t="s">
        <v>3046</v>
      </c>
      <c r="J7" t="s">
        <v>3036</v>
      </c>
      <c r="K7">
        <v>2487.4299999999998</v>
      </c>
      <c r="L7" t="b">
        <v>0</v>
      </c>
    </row>
    <row r="8" spans="1:12" x14ac:dyDescent="0.25">
      <c r="A8" t="s">
        <v>3047</v>
      </c>
      <c r="B8" t="s">
        <v>42</v>
      </c>
      <c r="C8" t="s">
        <v>3034</v>
      </c>
      <c r="D8" s="1">
        <v>46029.886342592596</v>
      </c>
      <c r="E8">
        <v>765.03</v>
      </c>
      <c r="F8">
        <v>22.49</v>
      </c>
      <c r="G8">
        <v>742.54</v>
      </c>
      <c r="H8" t="s">
        <v>25</v>
      </c>
      <c r="I8" t="s">
        <v>3048</v>
      </c>
      <c r="J8" t="s">
        <v>3036</v>
      </c>
      <c r="K8">
        <v>765.03</v>
      </c>
      <c r="L8" t="b">
        <v>0</v>
      </c>
    </row>
    <row r="9" spans="1:12" x14ac:dyDescent="0.25">
      <c r="A9" t="s">
        <v>3049</v>
      </c>
      <c r="B9" t="s">
        <v>45</v>
      </c>
      <c r="C9" t="s">
        <v>3034</v>
      </c>
      <c r="D9" s="1">
        <v>46031.000196759262</v>
      </c>
      <c r="E9">
        <v>2425.3200000000002</v>
      </c>
      <c r="F9">
        <v>70.63</v>
      </c>
      <c r="G9">
        <v>2354.69</v>
      </c>
      <c r="H9" t="s">
        <v>25</v>
      </c>
      <c r="I9" t="s">
        <v>3050</v>
      </c>
      <c r="J9" t="s">
        <v>3036</v>
      </c>
      <c r="K9">
        <v>2425.3200000000002</v>
      </c>
      <c r="L9" t="b">
        <v>0</v>
      </c>
    </row>
    <row r="10" spans="1:12" x14ac:dyDescent="0.25">
      <c r="A10" t="s">
        <v>3051</v>
      </c>
      <c r="B10" t="s">
        <v>48</v>
      </c>
      <c r="C10" t="s">
        <v>3034</v>
      </c>
      <c r="D10" s="1">
        <v>46032.093761574077</v>
      </c>
      <c r="E10">
        <v>335.41</v>
      </c>
      <c r="F10">
        <v>10.029999999999999</v>
      </c>
      <c r="G10">
        <v>325.38</v>
      </c>
      <c r="H10" t="s">
        <v>25</v>
      </c>
      <c r="I10" t="s">
        <v>3052</v>
      </c>
      <c r="J10" t="s">
        <v>3036</v>
      </c>
      <c r="K10">
        <v>335.41</v>
      </c>
      <c r="L10" t="b">
        <v>0</v>
      </c>
    </row>
    <row r="11" spans="1:12" x14ac:dyDescent="0.25">
      <c r="A11" t="s">
        <v>3053</v>
      </c>
      <c r="B11" t="s">
        <v>51</v>
      </c>
      <c r="C11" t="s">
        <v>3034</v>
      </c>
      <c r="D11" s="1">
        <v>46033.179328703707</v>
      </c>
      <c r="E11">
        <v>2485.5</v>
      </c>
      <c r="F11">
        <v>72.38</v>
      </c>
      <c r="G11">
        <v>2413.12</v>
      </c>
      <c r="H11" t="s">
        <v>52</v>
      </c>
      <c r="I11" t="s">
        <v>3054</v>
      </c>
      <c r="J11" t="s">
        <v>3036</v>
      </c>
      <c r="K11">
        <v>2485.5</v>
      </c>
      <c r="L11" t="b">
        <v>0</v>
      </c>
    </row>
    <row r="12" spans="1:12" x14ac:dyDescent="0.25">
      <c r="A12" t="s">
        <v>3055</v>
      </c>
      <c r="B12" t="s">
        <v>55</v>
      </c>
      <c r="C12" t="s">
        <v>3034</v>
      </c>
      <c r="D12" s="1">
        <v>46033.270011574074</v>
      </c>
      <c r="E12">
        <v>2445.44</v>
      </c>
      <c r="F12">
        <v>71.22</v>
      </c>
      <c r="G12">
        <v>2374.2199999999998</v>
      </c>
      <c r="H12" t="s">
        <v>19</v>
      </c>
      <c r="I12" t="s">
        <v>3056</v>
      </c>
      <c r="J12" t="s">
        <v>3036</v>
      </c>
      <c r="K12">
        <v>2445.44</v>
      </c>
      <c r="L12" t="b">
        <v>0</v>
      </c>
    </row>
    <row r="13" spans="1:12" x14ac:dyDescent="0.25">
      <c r="A13" t="s">
        <v>3057</v>
      </c>
      <c r="B13" t="s">
        <v>58</v>
      </c>
      <c r="C13" t="s">
        <v>3034</v>
      </c>
      <c r="D13" s="1">
        <v>46034.366805555554</v>
      </c>
      <c r="E13">
        <v>2081.4299999999998</v>
      </c>
      <c r="F13">
        <v>61.03</v>
      </c>
      <c r="G13">
        <v>2020.4</v>
      </c>
      <c r="H13" t="s">
        <v>25</v>
      </c>
      <c r="I13" t="s">
        <v>3058</v>
      </c>
      <c r="J13" t="s">
        <v>3036</v>
      </c>
      <c r="K13">
        <v>2081.4299999999998</v>
      </c>
      <c r="L13" t="b">
        <v>0</v>
      </c>
    </row>
    <row r="14" spans="1:12" x14ac:dyDescent="0.25">
      <c r="A14" t="s">
        <v>3059</v>
      </c>
      <c r="B14" t="s">
        <v>61</v>
      </c>
      <c r="C14" t="s">
        <v>3034</v>
      </c>
      <c r="D14" s="1">
        <v>46035.441423611112</v>
      </c>
      <c r="E14">
        <v>913.23</v>
      </c>
      <c r="F14">
        <v>26.78</v>
      </c>
      <c r="G14">
        <v>886.45</v>
      </c>
      <c r="H14" t="s">
        <v>25</v>
      </c>
      <c r="I14" t="s">
        <v>3060</v>
      </c>
      <c r="J14" t="s">
        <v>3036</v>
      </c>
      <c r="K14">
        <v>913.23</v>
      </c>
      <c r="L14" t="b">
        <v>0</v>
      </c>
    </row>
    <row r="15" spans="1:12" x14ac:dyDescent="0.25">
      <c r="A15" t="s">
        <v>3061</v>
      </c>
      <c r="B15" t="s">
        <v>64</v>
      </c>
      <c r="C15" t="s">
        <v>3034</v>
      </c>
      <c r="D15" s="1">
        <v>46036.525011574071</v>
      </c>
      <c r="E15">
        <v>337.01</v>
      </c>
      <c r="F15">
        <v>10.07</v>
      </c>
      <c r="G15">
        <v>326.94</v>
      </c>
      <c r="H15" t="s">
        <v>25</v>
      </c>
      <c r="I15" t="s">
        <v>3062</v>
      </c>
      <c r="J15" t="s">
        <v>3036</v>
      </c>
      <c r="K15">
        <v>337.01</v>
      </c>
      <c r="L15" t="b">
        <v>0</v>
      </c>
    </row>
    <row r="16" spans="1:12" x14ac:dyDescent="0.25">
      <c r="A16" t="s">
        <v>3063</v>
      </c>
      <c r="B16" t="s">
        <v>67</v>
      </c>
      <c r="C16" t="s">
        <v>3034</v>
      </c>
      <c r="D16" s="1">
        <v>46023.637615740743</v>
      </c>
      <c r="E16">
        <v>2300.7199999999998</v>
      </c>
      <c r="F16">
        <v>67.02</v>
      </c>
      <c r="G16">
        <v>2233.6999999999998</v>
      </c>
      <c r="H16" t="s">
        <v>25</v>
      </c>
      <c r="I16" t="s">
        <v>3064</v>
      </c>
      <c r="J16" t="s">
        <v>3036</v>
      </c>
      <c r="K16">
        <v>2300.7199999999998</v>
      </c>
      <c r="L16" t="b">
        <v>0</v>
      </c>
    </row>
    <row r="17" spans="1:12" x14ac:dyDescent="0.25">
      <c r="A17" t="s">
        <v>3065</v>
      </c>
      <c r="B17" t="s">
        <v>73</v>
      </c>
      <c r="C17" t="s">
        <v>3034</v>
      </c>
      <c r="D17" s="1">
        <v>46025.799791666665</v>
      </c>
      <c r="E17">
        <v>761.14</v>
      </c>
      <c r="F17">
        <v>22.37</v>
      </c>
      <c r="G17">
        <v>738.77</v>
      </c>
      <c r="H17" t="s">
        <v>25</v>
      </c>
      <c r="I17" t="s">
        <v>3040</v>
      </c>
      <c r="J17" t="s">
        <v>3036</v>
      </c>
      <c r="K17">
        <v>761.14</v>
      </c>
      <c r="L17" t="b">
        <v>0</v>
      </c>
    </row>
    <row r="18" spans="1:12" x14ac:dyDescent="0.25">
      <c r="A18" t="s">
        <v>3066</v>
      </c>
      <c r="B18" t="s">
        <v>76</v>
      </c>
      <c r="C18" t="s">
        <v>3034</v>
      </c>
      <c r="D18" s="1">
        <v>46026.925729166665</v>
      </c>
      <c r="E18">
        <v>1163.21</v>
      </c>
      <c r="F18">
        <v>34.03</v>
      </c>
      <c r="G18">
        <v>1129.18</v>
      </c>
      <c r="H18" t="s">
        <v>25</v>
      </c>
      <c r="I18" t="s">
        <v>3042</v>
      </c>
      <c r="J18" t="s">
        <v>3036</v>
      </c>
      <c r="K18">
        <v>1163.21</v>
      </c>
      <c r="L18" t="b">
        <v>0</v>
      </c>
    </row>
    <row r="19" spans="1:12" x14ac:dyDescent="0.25">
      <c r="A19" t="s">
        <v>3067</v>
      </c>
      <c r="B19" t="s">
        <v>79</v>
      </c>
      <c r="C19" t="s">
        <v>3034</v>
      </c>
      <c r="D19" s="1">
        <v>46028.015706018516</v>
      </c>
      <c r="E19">
        <v>1073.8</v>
      </c>
      <c r="F19">
        <v>31.44</v>
      </c>
      <c r="G19">
        <v>1042.3599999999999</v>
      </c>
      <c r="H19" t="s">
        <v>25</v>
      </c>
      <c r="I19" t="s">
        <v>3068</v>
      </c>
      <c r="J19" t="s">
        <v>3036</v>
      </c>
      <c r="K19">
        <v>1073.8</v>
      </c>
      <c r="L19" t="b">
        <v>0</v>
      </c>
    </row>
    <row r="20" spans="1:12" x14ac:dyDescent="0.25">
      <c r="A20" t="s">
        <v>3069</v>
      </c>
      <c r="B20" t="s">
        <v>82</v>
      </c>
      <c r="C20" t="s">
        <v>3034</v>
      </c>
      <c r="D20" s="1">
        <v>46029.083124999997</v>
      </c>
      <c r="E20">
        <v>48.73</v>
      </c>
      <c r="F20">
        <v>1.71</v>
      </c>
      <c r="G20">
        <v>47.02</v>
      </c>
      <c r="H20" t="s">
        <v>52</v>
      </c>
      <c r="I20" t="s">
        <v>3070</v>
      </c>
      <c r="J20" t="s">
        <v>3036</v>
      </c>
      <c r="K20">
        <v>48.73</v>
      </c>
      <c r="L20" t="b">
        <v>0</v>
      </c>
    </row>
    <row r="21" spans="1:12" x14ac:dyDescent="0.25">
      <c r="A21" t="s">
        <v>3071</v>
      </c>
      <c r="B21" t="s">
        <v>85</v>
      </c>
      <c r="C21" t="s">
        <v>3034</v>
      </c>
      <c r="D21" s="1">
        <v>46030.168599537035</v>
      </c>
      <c r="E21">
        <v>729.25</v>
      </c>
      <c r="F21">
        <v>21.45</v>
      </c>
      <c r="G21">
        <v>707.8</v>
      </c>
      <c r="H21" t="s">
        <v>19</v>
      </c>
      <c r="I21" t="s">
        <v>3072</v>
      </c>
      <c r="J21" t="s">
        <v>3036</v>
      </c>
      <c r="K21">
        <v>729.25</v>
      </c>
      <c r="L21" t="b">
        <v>0</v>
      </c>
    </row>
    <row r="22" spans="1:12" x14ac:dyDescent="0.25">
      <c r="A22" t="s">
        <v>3073</v>
      </c>
      <c r="B22" t="s">
        <v>88</v>
      </c>
      <c r="C22" t="s">
        <v>3034</v>
      </c>
      <c r="D22" s="1">
        <v>46030.255578703705</v>
      </c>
      <c r="E22">
        <v>1387.06</v>
      </c>
      <c r="F22">
        <v>40.520000000000003</v>
      </c>
      <c r="G22">
        <v>1346.54</v>
      </c>
      <c r="H22" t="s">
        <v>25</v>
      </c>
      <c r="I22" t="s">
        <v>3050</v>
      </c>
      <c r="J22" t="s">
        <v>3036</v>
      </c>
      <c r="K22">
        <v>1387.06</v>
      </c>
      <c r="L22" t="b">
        <v>0</v>
      </c>
    </row>
    <row r="23" spans="1:12" x14ac:dyDescent="0.25">
      <c r="A23" t="s">
        <v>3074</v>
      </c>
      <c r="B23" t="s">
        <v>91</v>
      </c>
      <c r="C23" t="s">
        <v>3034</v>
      </c>
      <c r="D23" s="1">
        <v>46031.347939814812</v>
      </c>
      <c r="E23">
        <v>1437.16</v>
      </c>
      <c r="F23">
        <v>41.98</v>
      </c>
      <c r="G23">
        <v>1395.18</v>
      </c>
      <c r="H23" t="s">
        <v>25</v>
      </c>
      <c r="I23" t="s">
        <v>3052</v>
      </c>
      <c r="J23" t="s">
        <v>3036</v>
      </c>
      <c r="K23">
        <v>1437.16</v>
      </c>
      <c r="L23" t="b">
        <v>0</v>
      </c>
    </row>
    <row r="24" spans="1:12" x14ac:dyDescent="0.25">
      <c r="A24" t="s">
        <v>3075</v>
      </c>
      <c r="B24" t="s">
        <v>91</v>
      </c>
      <c r="C24" t="s">
        <v>3076</v>
      </c>
      <c r="D24" s="1">
        <v>46032.340995370374</v>
      </c>
      <c r="E24">
        <v>-718.58</v>
      </c>
      <c r="F24">
        <v>0</v>
      </c>
      <c r="G24">
        <v>-718.58</v>
      </c>
      <c r="H24" t="s">
        <v>25</v>
      </c>
      <c r="I24" t="s">
        <v>3077</v>
      </c>
      <c r="J24" t="s">
        <v>3036</v>
      </c>
      <c r="K24">
        <v>-718.58</v>
      </c>
      <c r="L24" t="b">
        <v>0</v>
      </c>
    </row>
    <row r="25" spans="1:12" x14ac:dyDescent="0.25">
      <c r="A25" t="s">
        <v>3078</v>
      </c>
      <c r="B25" t="s">
        <v>95</v>
      </c>
      <c r="C25" t="s">
        <v>3034</v>
      </c>
      <c r="D25" s="1">
        <v>46032.463923611111</v>
      </c>
      <c r="E25">
        <v>1268.9000000000001</v>
      </c>
      <c r="F25">
        <v>37.1</v>
      </c>
      <c r="G25">
        <v>1231.8</v>
      </c>
      <c r="H25" t="s">
        <v>25</v>
      </c>
      <c r="I25" t="s">
        <v>3079</v>
      </c>
      <c r="J25" t="s">
        <v>3036</v>
      </c>
      <c r="K25">
        <v>1268.9000000000001</v>
      </c>
      <c r="L25" t="b">
        <v>0</v>
      </c>
    </row>
    <row r="26" spans="1:12" x14ac:dyDescent="0.25">
      <c r="A26" t="s">
        <v>3080</v>
      </c>
      <c r="B26" t="s">
        <v>98</v>
      </c>
      <c r="C26" t="s">
        <v>3034</v>
      </c>
      <c r="D26" s="1">
        <v>46033.543310185189</v>
      </c>
      <c r="E26">
        <v>1602.31</v>
      </c>
      <c r="F26">
        <v>46.77</v>
      </c>
      <c r="G26">
        <v>1555.54</v>
      </c>
      <c r="H26" t="s">
        <v>25</v>
      </c>
      <c r="I26" t="s">
        <v>3081</v>
      </c>
      <c r="J26" t="s">
        <v>3036</v>
      </c>
      <c r="K26">
        <v>1602.31</v>
      </c>
      <c r="L26" t="b">
        <v>0</v>
      </c>
    </row>
    <row r="27" spans="1:12" x14ac:dyDescent="0.25">
      <c r="A27" t="s">
        <v>3082</v>
      </c>
      <c r="B27" t="s">
        <v>101</v>
      </c>
      <c r="C27" t="s">
        <v>3034</v>
      </c>
      <c r="D27" s="1">
        <v>46034.641412037039</v>
      </c>
      <c r="E27">
        <v>2124.09</v>
      </c>
      <c r="F27">
        <v>61.9</v>
      </c>
      <c r="G27">
        <v>2062.19</v>
      </c>
      <c r="H27" t="s">
        <v>25</v>
      </c>
      <c r="I27" t="s">
        <v>3058</v>
      </c>
      <c r="J27" t="s">
        <v>3036</v>
      </c>
      <c r="K27">
        <v>2124.09</v>
      </c>
      <c r="L27" t="b">
        <v>0</v>
      </c>
    </row>
    <row r="28" spans="1:12" x14ac:dyDescent="0.25">
      <c r="A28" t="s">
        <v>3083</v>
      </c>
      <c r="B28" t="s">
        <v>104</v>
      </c>
      <c r="C28" t="s">
        <v>3034</v>
      </c>
      <c r="D28" s="1">
        <v>46035.725763888891</v>
      </c>
      <c r="E28">
        <v>2255.6799999999998</v>
      </c>
      <c r="F28">
        <v>65.709999999999994</v>
      </c>
      <c r="G28">
        <v>2189.9699999999998</v>
      </c>
      <c r="H28" t="s">
        <v>25</v>
      </c>
      <c r="I28" t="s">
        <v>3060</v>
      </c>
      <c r="J28" t="s">
        <v>3036</v>
      </c>
      <c r="K28">
        <v>2255.6799999999998</v>
      </c>
      <c r="L28" t="b">
        <v>0</v>
      </c>
    </row>
    <row r="29" spans="1:12" x14ac:dyDescent="0.25">
      <c r="A29" t="s">
        <v>3084</v>
      </c>
      <c r="B29" t="s">
        <v>107</v>
      </c>
      <c r="C29" t="s">
        <v>3034</v>
      </c>
      <c r="D29" s="1">
        <v>46036.84065972222</v>
      </c>
      <c r="E29">
        <v>1215.6199999999999</v>
      </c>
      <c r="F29">
        <v>35.549999999999997</v>
      </c>
      <c r="G29">
        <v>1180.07</v>
      </c>
      <c r="H29" t="s">
        <v>25</v>
      </c>
      <c r="I29" t="s">
        <v>3062</v>
      </c>
      <c r="J29" t="s">
        <v>3036</v>
      </c>
      <c r="K29">
        <v>1215.6199999999999</v>
      </c>
      <c r="L29" t="b">
        <v>0</v>
      </c>
    </row>
    <row r="30" spans="1:12" x14ac:dyDescent="0.25">
      <c r="A30" t="s">
        <v>3085</v>
      </c>
      <c r="B30" t="s">
        <v>107</v>
      </c>
      <c r="C30" t="s">
        <v>3076</v>
      </c>
      <c r="D30" s="1">
        <v>46037.833715277775</v>
      </c>
      <c r="E30">
        <v>-607.80999999999995</v>
      </c>
      <c r="F30">
        <v>0</v>
      </c>
      <c r="G30">
        <v>-607.80999999999995</v>
      </c>
      <c r="H30" t="s">
        <v>25</v>
      </c>
      <c r="I30" t="s">
        <v>3086</v>
      </c>
      <c r="J30" t="s">
        <v>3036</v>
      </c>
      <c r="K30">
        <v>-607.80999999999995</v>
      </c>
      <c r="L30" t="b">
        <v>0</v>
      </c>
    </row>
    <row r="31" spans="1:12" x14ac:dyDescent="0.25">
      <c r="A31" t="s">
        <v>3087</v>
      </c>
      <c r="B31" t="s">
        <v>110</v>
      </c>
      <c r="C31" t="s">
        <v>3034</v>
      </c>
      <c r="D31" s="1">
        <v>46023.927407407406</v>
      </c>
      <c r="E31">
        <v>2232.77</v>
      </c>
      <c r="F31">
        <v>65.05</v>
      </c>
      <c r="G31">
        <v>2167.7199999999998</v>
      </c>
      <c r="H31" t="s">
        <v>25</v>
      </c>
      <c r="I31" t="s">
        <v>3064</v>
      </c>
      <c r="J31" t="s">
        <v>3036</v>
      </c>
      <c r="K31">
        <v>2232.77</v>
      </c>
      <c r="L31" t="b">
        <v>0</v>
      </c>
    </row>
    <row r="32" spans="1:12" x14ac:dyDescent="0.25">
      <c r="A32" t="s">
        <v>3088</v>
      </c>
      <c r="B32" t="s">
        <v>113</v>
      </c>
      <c r="C32" t="s">
        <v>3034</v>
      </c>
      <c r="D32" s="1">
        <v>46024.997766203705</v>
      </c>
      <c r="E32">
        <v>1815.34</v>
      </c>
      <c r="F32">
        <v>52.94</v>
      </c>
      <c r="G32">
        <v>1762.4</v>
      </c>
      <c r="H32" t="s">
        <v>52</v>
      </c>
      <c r="I32" t="s">
        <v>3089</v>
      </c>
      <c r="J32" t="s">
        <v>3036</v>
      </c>
      <c r="K32">
        <v>1815.34</v>
      </c>
      <c r="L32" t="b">
        <v>0</v>
      </c>
    </row>
    <row r="33" spans="1:12" x14ac:dyDescent="0.25">
      <c r="A33" t="s">
        <v>3090</v>
      </c>
      <c r="B33" t="s">
        <v>116</v>
      </c>
      <c r="C33" t="s">
        <v>3034</v>
      </c>
      <c r="D33" s="1">
        <v>46026.086342592593</v>
      </c>
      <c r="E33">
        <v>571.97</v>
      </c>
      <c r="F33">
        <v>16.89</v>
      </c>
      <c r="G33">
        <v>555.08000000000004</v>
      </c>
      <c r="H33" t="s">
        <v>25</v>
      </c>
      <c r="I33" t="s">
        <v>3091</v>
      </c>
      <c r="J33" t="s">
        <v>3036</v>
      </c>
      <c r="K33">
        <v>571.97</v>
      </c>
      <c r="L33" t="b">
        <v>0</v>
      </c>
    </row>
    <row r="34" spans="1:12" x14ac:dyDescent="0.25">
      <c r="A34" t="s">
        <v>3092</v>
      </c>
      <c r="B34" t="s">
        <v>119</v>
      </c>
      <c r="C34" t="s">
        <v>3034</v>
      </c>
      <c r="D34" s="1">
        <v>46027.173576388886</v>
      </c>
      <c r="E34">
        <v>1173.1300000000001</v>
      </c>
      <c r="F34">
        <v>34.32</v>
      </c>
      <c r="G34">
        <v>1138.81</v>
      </c>
      <c r="H34" t="s">
        <v>25</v>
      </c>
      <c r="I34" t="s">
        <v>3042</v>
      </c>
      <c r="J34" t="s">
        <v>3036</v>
      </c>
      <c r="K34">
        <v>1173.1300000000001</v>
      </c>
      <c r="L34" t="b">
        <v>0</v>
      </c>
    </row>
    <row r="35" spans="1:12" x14ac:dyDescent="0.25">
      <c r="A35" t="s">
        <v>3093</v>
      </c>
      <c r="B35" t="s">
        <v>122</v>
      </c>
      <c r="C35" t="s">
        <v>3034</v>
      </c>
      <c r="D35" s="1">
        <v>46027.264907407407</v>
      </c>
      <c r="E35">
        <v>1959.72</v>
      </c>
      <c r="F35">
        <v>57.13</v>
      </c>
      <c r="G35">
        <v>1902.59</v>
      </c>
      <c r="H35" t="s">
        <v>25</v>
      </c>
      <c r="I35" t="s">
        <v>3068</v>
      </c>
      <c r="J35" t="s">
        <v>3036</v>
      </c>
      <c r="K35">
        <v>1959.72</v>
      </c>
      <c r="L35" t="b">
        <v>0</v>
      </c>
    </row>
    <row r="36" spans="1:12" x14ac:dyDescent="0.25">
      <c r="A36" t="s">
        <v>3094</v>
      </c>
      <c r="B36" t="s">
        <v>125</v>
      </c>
      <c r="C36" t="s">
        <v>3034</v>
      </c>
      <c r="D36" s="1">
        <v>46028.368437500001</v>
      </c>
      <c r="E36">
        <v>1682.53</v>
      </c>
      <c r="F36">
        <v>49.09</v>
      </c>
      <c r="G36">
        <v>1633.44</v>
      </c>
      <c r="H36" t="s">
        <v>25</v>
      </c>
      <c r="I36" t="s">
        <v>3046</v>
      </c>
      <c r="J36" t="s">
        <v>3036</v>
      </c>
      <c r="K36">
        <v>1682.53</v>
      </c>
      <c r="L36" t="b">
        <v>0</v>
      </c>
    </row>
    <row r="37" spans="1:12" x14ac:dyDescent="0.25">
      <c r="A37" t="s">
        <v>3095</v>
      </c>
      <c r="B37" t="s">
        <v>128</v>
      </c>
      <c r="C37" t="s">
        <v>3034</v>
      </c>
      <c r="D37" s="1">
        <v>46029.474259259259</v>
      </c>
      <c r="E37">
        <v>440.56</v>
      </c>
      <c r="F37">
        <v>13.08</v>
      </c>
      <c r="G37">
        <v>427.48</v>
      </c>
      <c r="H37" t="s">
        <v>25</v>
      </c>
      <c r="I37" t="s">
        <v>3096</v>
      </c>
      <c r="J37" t="s">
        <v>3036</v>
      </c>
      <c r="K37">
        <v>440.56</v>
      </c>
      <c r="L37" t="b">
        <v>0</v>
      </c>
    </row>
    <row r="38" spans="1:12" x14ac:dyDescent="0.25">
      <c r="A38" t="s">
        <v>3097</v>
      </c>
      <c r="B38" t="s">
        <v>131</v>
      </c>
      <c r="C38" t="s">
        <v>3034</v>
      </c>
      <c r="D38" s="1">
        <v>46030.536770833336</v>
      </c>
      <c r="E38">
        <v>1204.1199999999999</v>
      </c>
      <c r="F38">
        <v>35.22</v>
      </c>
      <c r="G38">
        <v>1168.9000000000001</v>
      </c>
      <c r="H38" t="s">
        <v>25</v>
      </c>
      <c r="I38" t="s">
        <v>3050</v>
      </c>
      <c r="J38" t="s">
        <v>3036</v>
      </c>
      <c r="K38">
        <v>1204.1199999999999</v>
      </c>
      <c r="L38" t="b">
        <v>0</v>
      </c>
    </row>
    <row r="39" spans="1:12" x14ac:dyDescent="0.25">
      <c r="A39" t="s">
        <v>3098</v>
      </c>
      <c r="B39" t="s">
        <v>134</v>
      </c>
      <c r="C39" t="s">
        <v>3034</v>
      </c>
      <c r="D39" s="1">
        <v>46031.663715277777</v>
      </c>
      <c r="E39">
        <v>1174.22</v>
      </c>
      <c r="F39">
        <v>34.35</v>
      </c>
      <c r="G39">
        <v>1139.8699999999999</v>
      </c>
      <c r="H39" t="s">
        <v>25</v>
      </c>
      <c r="I39" t="s">
        <v>3052</v>
      </c>
      <c r="J39" t="s">
        <v>3036</v>
      </c>
      <c r="K39">
        <v>1174.22</v>
      </c>
      <c r="L39" t="b">
        <v>0</v>
      </c>
    </row>
    <row r="40" spans="1:12" x14ac:dyDescent="0.25">
      <c r="A40" t="s">
        <v>3099</v>
      </c>
      <c r="B40" t="s">
        <v>137</v>
      </c>
      <c r="C40" t="s">
        <v>3034</v>
      </c>
      <c r="D40" s="1">
        <v>46032.753425925926</v>
      </c>
      <c r="E40">
        <v>1871.76</v>
      </c>
      <c r="F40">
        <v>54.58</v>
      </c>
      <c r="G40">
        <v>1817.18</v>
      </c>
      <c r="H40" t="s">
        <v>25</v>
      </c>
      <c r="I40" t="s">
        <v>3079</v>
      </c>
      <c r="J40" t="s">
        <v>3036</v>
      </c>
      <c r="K40">
        <v>1871.76</v>
      </c>
      <c r="L40" t="b">
        <v>0</v>
      </c>
    </row>
    <row r="41" spans="1:12" x14ac:dyDescent="0.25">
      <c r="A41" t="s">
        <v>3100</v>
      </c>
      <c r="B41" t="s">
        <v>140</v>
      </c>
      <c r="C41" t="s">
        <v>3034</v>
      </c>
      <c r="D41" s="1">
        <v>46033.813518518517</v>
      </c>
      <c r="E41">
        <v>722</v>
      </c>
      <c r="F41">
        <v>21.24</v>
      </c>
      <c r="G41">
        <v>700.76</v>
      </c>
      <c r="H41" t="s">
        <v>25</v>
      </c>
      <c r="I41" t="s">
        <v>3081</v>
      </c>
      <c r="J41" t="s">
        <v>3036</v>
      </c>
      <c r="K41">
        <v>722</v>
      </c>
      <c r="L41" t="b">
        <v>0</v>
      </c>
    </row>
    <row r="42" spans="1:12" x14ac:dyDescent="0.25">
      <c r="A42" t="s">
        <v>3101</v>
      </c>
      <c r="B42" t="s">
        <v>143</v>
      </c>
      <c r="C42" t="s">
        <v>3034</v>
      </c>
      <c r="D42" s="1">
        <v>46034.937465277777</v>
      </c>
      <c r="E42">
        <v>445.09</v>
      </c>
      <c r="F42">
        <v>13.21</v>
      </c>
      <c r="G42">
        <v>431.88</v>
      </c>
      <c r="H42" t="s">
        <v>52</v>
      </c>
      <c r="I42" t="s">
        <v>3102</v>
      </c>
      <c r="J42" t="s">
        <v>3036</v>
      </c>
      <c r="K42">
        <v>445.09</v>
      </c>
      <c r="L42" t="b">
        <v>0</v>
      </c>
    </row>
    <row r="43" spans="1:12" x14ac:dyDescent="0.25">
      <c r="A43" t="s">
        <v>3103</v>
      </c>
      <c r="B43" t="s">
        <v>146</v>
      </c>
      <c r="C43" t="s">
        <v>3034</v>
      </c>
      <c r="D43" s="1">
        <v>46036.00172453704</v>
      </c>
      <c r="E43">
        <v>2333.15</v>
      </c>
      <c r="F43">
        <v>67.959999999999994</v>
      </c>
      <c r="G43">
        <v>2265.19</v>
      </c>
      <c r="H43" t="s">
        <v>25</v>
      </c>
      <c r="I43" t="s">
        <v>3104</v>
      </c>
      <c r="J43" t="s">
        <v>3036</v>
      </c>
      <c r="K43">
        <v>2333.15</v>
      </c>
      <c r="L43" t="b">
        <v>0</v>
      </c>
    </row>
    <row r="44" spans="1:12" x14ac:dyDescent="0.25">
      <c r="A44" t="s">
        <v>3105</v>
      </c>
      <c r="B44" t="s">
        <v>149</v>
      </c>
      <c r="C44" t="s">
        <v>3034</v>
      </c>
      <c r="D44" s="1">
        <v>46037.092303240737</v>
      </c>
      <c r="E44">
        <v>802.72</v>
      </c>
      <c r="F44">
        <v>23.58</v>
      </c>
      <c r="G44">
        <v>779.14</v>
      </c>
      <c r="H44" t="s">
        <v>25</v>
      </c>
      <c r="I44" t="s">
        <v>3062</v>
      </c>
      <c r="J44" t="s">
        <v>3036</v>
      </c>
      <c r="K44">
        <v>802.72</v>
      </c>
      <c r="L44" t="b">
        <v>0</v>
      </c>
    </row>
    <row r="45" spans="1:12" x14ac:dyDescent="0.25">
      <c r="A45" t="s">
        <v>3105</v>
      </c>
      <c r="B45" t="s">
        <v>149</v>
      </c>
      <c r="C45" t="s">
        <v>3034</v>
      </c>
      <c r="D45" s="1">
        <v>46037.092303240737</v>
      </c>
      <c r="E45">
        <v>802.72</v>
      </c>
      <c r="F45">
        <v>23.58</v>
      </c>
      <c r="G45">
        <v>779.14</v>
      </c>
      <c r="H45" t="s">
        <v>25</v>
      </c>
      <c r="I45" t="s">
        <v>3062</v>
      </c>
      <c r="J45" t="s">
        <v>3036</v>
      </c>
      <c r="K45">
        <v>802.72</v>
      </c>
      <c r="L45" t="b">
        <v>0</v>
      </c>
    </row>
    <row r="46" spans="1:12" x14ac:dyDescent="0.25">
      <c r="A46" t="s">
        <v>3106</v>
      </c>
      <c r="B46" t="s">
        <v>152</v>
      </c>
      <c r="C46" t="s">
        <v>3034</v>
      </c>
      <c r="D46" s="1">
        <v>46024.206689814811</v>
      </c>
      <c r="E46">
        <v>596.11</v>
      </c>
      <c r="F46">
        <v>17.59</v>
      </c>
      <c r="G46">
        <v>578.52</v>
      </c>
      <c r="H46" t="s">
        <v>25</v>
      </c>
      <c r="I46" t="s">
        <v>3064</v>
      </c>
      <c r="J46" t="s">
        <v>3036</v>
      </c>
      <c r="K46">
        <v>596.11</v>
      </c>
      <c r="L46" t="b">
        <v>0</v>
      </c>
    </row>
    <row r="47" spans="1:12" x14ac:dyDescent="0.25">
      <c r="A47" t="s">
        <v>3107</v>
      </c>
      <c r="B47" t="s">
        <v>155</v>
      </c>
      <c r="C47" t="s">
        <v>3034</v>
      </c>
      <c r="D47" s="1">
        <v>46024.293495370373</v>
      </c>
      <c r="E47">
        <v>888.02</v>
      </c>
      <c r="F47">
        <v>26.05</v>
      </c>
      <c r="G47">
        <v>861.97</v>
      </c>
      <c r="H47" t="s">
        <v>25</v>
      </c>
      <c r="I47" t="s">
        <v>3038</v>
      </c>
      <c r="J47" t="s">
        <v>3036</v>
      </c>
      <c r="K47">
        <v>888.02</v>
      </c>
      <c r="L47" t="b">
        <v>0</v>
      </c>
    </row>
    <row r="48" spans="1:12" x14ac:dyDescent="0.25">
      <c r="A48" t="s">
        <v>3108</v>
      </c>
      <c r="B48" t="s">
        <v>158</v>
      </c>
      <c r="C48" t="s">
        <v>3034</v>
      </c>
      <c r="D48" s="1">
        <v>46025.393888888888</v>
      </c>
      <c r="E48">
        <v>308.61</v>
      </c>
      <c r="F48">
        <v>9.25</v>
      </c>
      <c r="G48">
        <v>299.36</v>
      </c>
      <c r="H48" t="s">
        <v>25</v>
      </c>
      <c r="I48" t="s">
        <v>3040</v>
      </c>
      <c r="J48" t="s">
        <v>3036</v>
      </c>
      <c r="K48">
        <v>308.61</v>
      </c>
      <c r="L48" t="b">
        <v>0</v>
      </c>
    </row>
    <row r="49" spans="1:12" x14ac:dyDescent="0.25">
      <c r="A49" t="s">
        <v>3109</v>
      </c>
      <c r="B49" t="s">
        <v>161</v>
      </c>
      <c r="C49" t="s">
        <v>3034</v>
      </c>
      <c r="D49" s="1">
        <v>46026.45820601852</v>
      </c>
      <c r="E49">
        <v>1365.15</v>
      </c>
      <c r="F49">
        <v>39.89</v>
      </c>
      <c r="G49">
        <v>1325.26</v>
      </c>
      <c r="H49" t="s">
        <v>52</v>
      </c>
      <c r="I49" t="s">
        <v>3110</v>
      </c>
      <c r="J49" t="s">
        <v>3036</v>
      </c>
      <c r="K49">
        <v>1365.15</v>
      </c>
      <c r="L49" t="b">
        <v>0</v>
      </c>
    </row>
    <row r="50" spans="1:12" x14ac:dyDescent="0.25">
      <c r="A50" t="s">
        <v>3111</v>
      </c>
      <c r="B50" t="s">
        <v>164</v>
      </c>
      <c r="C50" t="s">
        <v>3034</v>
      </c>
      <c r="D50" s="1">
        <v>46027.581030092595</v>
      </c>
      <c r="E50">
        <v>2191.81</v>
      </c>
      <c r="F50">
        <v>63.86</v>
      </c>
      <c r="G50">
        <v>2127.9499999999998</v>
      </c>
      <c r="H50" t="s">
        <v>25</v>
      </c>
      <c r="I50" t="s">
        <v>3068</v>
      </c>
      <c r="J50" t="s">
        <v>3036</v>
      </c>
      <c r="K50">
        <v>2191.81</v>
      </c>
      <c r="L50" t="b">
        <v>0</v>
      </c>
    </row>
    <row r="51" spans="1:12" x14ac:dyDescent="0.25">
      <c r="A51" t="s">
        <v>3112</v>
      </c>
      <c r="B51" t="s">
        <v>167</v>
      </c>
      <c r="C51" t="s">
        <v>3034</v>
      </c>
      <c r="D51" s="1">
        <v>46028.671597222223</v>
      </c>
      <c r="E51">
        <v>460.95</v>
      </c>
      <c r="F51">
        <v>13.67</v>
      </c>
      <c r="G51">
        <v>447.28</v>
      </c>
      <c r="H51" t="s">
        <v>25</v>
      </c>
      <c r="I51" t="s">
        <v>3046</v>
      </c>
      <c r="J51" t="s">
        <v>3036</v>
      </c>
      <c r="K51">
        <v>460.95</v>
      </c>
      <c r="L51" t="b">
        <v>0</v>
      </c>
    </row>
    <row r="52" spans="1:12" x14ac:dyDescent="0.25">
      <c r="A52" t="s">
        <v>3113</v>
      </c>
      <c r="B52" t="s">
        <v>170</v>
      </c>
      <c r="C52" t="s">
        <v>3034</v>
      </c>
      <c r="D52" s="1">
        <v>46029.744317129633</v>
      </c>
      <c r="E52">
        <v>1040.18</v>
      </c>
      <c r="F52">
        <v>30.47</v>
      </c>
      <c r="G52">
        <v>1009.71</v>
      </c>
      <c r="H52" t="s">
        <v>25</v>
      </c>
      <c r="I52" t="s">
        <v>3048</v>
      </c>
      <c r="J52" t="s">
        <v>3036</v>
      </c>
      <c r="K52">
        <v>1040.18</v>
      </c>
      <c r="L52" t="b">
        <v>0</v>
      </c>
    </row>
    <row r="53" spans="1:12" x14ac:dyDescent="0.25">
      <c r="A53" t="s">
        <v>3114</v>
      </c>
      <c r="B53" t="s">
        <v>173</v>
      </c>
      <c r="C53" t="s">
        <v>3034</v>
      </c>
      <c r="D53" s="1">
        <v>46030.842893518522</v>
      </c>
      <c r="E53">
        <v>89.08</v>
      </c>
      <c r="F53">
        <v>2.88</v>
      </c>
      <c r="G53">
        <v>86.2</v>
      </c>
      <c r="H53" t="s">
        <v>52</v>
      </c>
      <c r="I53" t="s">
        <v>3115</v>
      </c>
      <c r="J53" t="s">
        <v>3036</v>
      </c>
      <c r="K53">
        <v>89.08</v>
      </c>
      <c r="L53" t="b">
        <v>0</v>
      </c>
    </row>
    <row r="54" spans="1:12" x14ac:dyDescent="0.25">
      <c r="A54" t="s">
        <v>3116</v>
      </c>
      <c r="B54" t="s">
        <v>176</v>
      </c>
      <c r="C54" t="s">
        <v>3034</v>
      </c>
      <c r="D54" s="1">
        <v>46031.936249999999</v>
      </c>
      <c r="E54">
        <v>1615.84</v>
      </c>
      <c r="F54">
        <v>47.16</v>
      </c>
      <c r="G54">
        <v>1568.68</v>
      </c>
      <c r="H54" t="s">
        <v>19</v>
      </c>
      <c r="I54" t="s">
        <v>3117</v>
      </c>
      <c r="J54" t="s">
        <v>3036</v>
      </c>
      <c r="K54">
        <v>1615.84</v>
      </c>
      <c r="L54" t="b">
        <v>0</v>
      </c>
    </row>
    <row r="55" spans="1:12" x14ac:dyDescent="0.25">
      <c r="A55" t="s">
        <v>3118</v>
      </c>
      <c r="B55" t="s">
        <v>179</v>
      </c>
      <c r="C55" t="s">
        <v>3034</v>
      </c>
      <c r="D55" s="1">
        <v>46033.040706018517</v>
      </c>
      <c r="E55">
        <v>212.38</v>
      </c>
      <c r="F55">
        <v>6.46</v>
      </c>
      <c r="G55">
        <v>205.92</v>
      </c>
      <c r="H55" t="s">
        <v>25</v>
      </c>
      <c r="I55" t="s">
        <v>3079</v>
      </c>
      <c r="J55" t="s">
        <v>3036</v>
      </c>
      <c r="K55">
        <v>212.38</v>
      </c>
      <c r="L55" t="b">
        <v>0</v>
      </c>
    </row>
    <row r="56" spans="1:12" x14ac:dyDescent="0.25">
      <c r="A56" t="s">
        <v>3119</v>
      </c>
      <c r="B56" t="s">
        <v>182</v>
      </c>
      <c r="C56" t="s">
        <v>3034</v>
      </c>
      <c r="D56" s="1">
        <v>46034.101412037038</v>
      </c>
      <c r="E56">
        <v>2297.9699999999998</v>
      </c>
      <c r="F56">
        <v>66.94</v>
      </c>
      <c r="G56">
        <v>2231.0300000000002</v>
      </c>
      <c r="H56" t="s">
        <v>25</v>
      </c>
      <c r="I56" t="s">
        <v>3081</v>
      </c>
      <c r="J56" t="s">
        <v>3036</v>
      </c>
      <c r="K56">
        <v>2297.9699999999998</v>
      </c>
      <c r="L56" t="b">
        <v>0</v>
      </c>
    </row>
    <row r="57" spans="1:12" x14ac:dyDescent="0.25">
      <c r="A57" t="s">
        <v>3120</v>
      </c>
      <c r="B57" t="s">
        <v>185</v>
      </c>
      <c r="C57" t="s">
        <v>3034</v>
      </c>
      <c r="D57" s="1">
        <v>46035.223587962966</v>
      </c>
      <c r="E57">
        <v>1077.69</v>
      </c>
      <c r="F57">
        <v>31.55</v>
      </c>
      <c r="G57">
        <v>1046.1400000000001</v>
      </c>
      <c r="H57" t="s">
        <v>25</v>
      </c>
      <c r="I57" t="s">
        <v>3058</v>
      </c>
      <c r="J57" t="s">
        <v>3036</v>
      </c>
      <c r="K57">
        <v>1077.69</v>
      </c>
      <c r="L57" t="b">
        <v>0</v>
      </c>
    </row>
    <row r="58" spans="1:12" x14ac:dyDescent="0.25">
      <c r="A58" t="s">
        <v>3121</v>
      </c>
      <c r="B58" t="s">
        <v>188</v>
      </c>
      <c r="C58" t="s">
        <v>3034</v>
      </c>
      <c r="D58" s="1">
        <v>46035.310034722221</v>
      </c>
      <c r="E58">
        <v>1653.82</v>
      </c>
      <c r="F58">
        <v>48.26</v>
      </c>
      <c r="G58">
        <v>1605.56</v>
      </c>
      <c r="H58" t="s">
        <v>25</v>
      </c>
      <c r="I58" t="s">
        <v>3060</v>
      </c>
      <c r="J58" t="s">
        <v>3036</v>
      </c>
      <c r="K58">
        <v>1653.82</v>
      </c>
      <c r="L58" t="b">
        <v>0</v>
      </c>
    </row>
    <row r="59" spans="1:12" x14ac:dyDescent="0.25">
      <c r="A59" t="s">
        <v>3122</v>
      </c>
      <c r="B59" t="s">
        <v>191</v>
      </c>
      <c r="C59" t="s">
        <v>3034</v>
      </c>
      <c r="D59" s="1">
        <v>46036.399664351855</v>
      </c>
      <c r="E59">
        <v>1581.67</v>
      </c>
      <c r="F59">
        <v>46.17</v>
      </c>
      <c r="G59">
        <v>1535.5</v>
      </c>
      <c r="H59" t="s">
        <v>25</v>
      </c>
      <c r="I59" t="s">
        <v>3062</v>
      </c>
      <c r="J59" t="s">
        <v>3036</v>
      </c>
      <c r="K59">
        <v>1581.67</v>
      </c>
      <c r="L59" t="b">
        <v>0</v>
      </c>
    </row>
    <row r="60" spans="1:12" x14ac:dyDescent="0.25">
      <c r="A60" t="s">
        <v>3123</v>
      </c>
      <c r="B60" t="s">
        <v>194</v>
      </c>
      <c r="C60" t="s">
        <v>3034</v>
      </c>
      <c r="D60" s="1">
        <v>46023.491724537038</v>
      </c>
      <c r="E60">
        <v>277.33</v>
      </c>
      <c r="F60">
        <v>8.34</v>
      </c>
      <c r="G60">
        <v>268.99</v>
      </c>
      <c r="H60" t="s">
        <v>25</v>
      </c>
      <c r="I60" t="s">
        <v>3124</v>
      </c>
      <c r="J60" t="s">
        <v>3036</v>
      </c>
      <c r="K60">
        <v>277.33</v>
      </c>
      <c r="L60" t="b">
        <v>0</v>
      </c>
    </row>
    <row r="61" spans="1:12" x14ac:dyDescent="0.25">
      <c r="A61" t="s">
        <v>3125</v>
      </c>
      <c r="B61" t="s">
        <v>197</v>
      </c>
      <c r="C61" t="s">
        <v>3034</v>
      </c>
      <c r="D61" s="1">
        <v>46024.591435185182</v>
      </c>
      <c r="E61">
        <v>1903.21</v>
      </c>
      <c r="F61">
        <v>55.49</v>
      </c>
      <c r="G61">
        <v>1847.72</v>
      </c>
      <c r="H61" t="s">
        <v>25</v>
      </c>
      <c r="I61" t="s">
        <v>3038</v>
      </c>
      <c r="J61" t="s">
        <v>3036</v>
      </c>
      <c r="K61">
        <v>1903.21</v>
      </c>
      <c r="L61" t="b">
        <v>0</v>
      </c>
    </row>
    <row r="62" spans="1:12" x14ac:dyDescent="0.25">
      <c r="A62" t="s">
        <v>3126</v>
      </c>
      <c r="B62" t="s">
        <v>200</v>
      </c>
      <c r="C62" t="s">
        <v>3034</v>
      </c>
      <c r="D62" s="1">
        <v>46025.660995370374</v>
      </c>
      <c r="E62">
        <v>2495.8000000000002</v>
      </c>
      <c r="F62">
        <v>72.680000000000007</v>
      </c>
      <c r="G62">
        <v>2423.12</v>
      </c>
      <c r="H62" t="s">
        <v>25</v>
      </c>
      <c r="I62" t="s">
        <v>3040</v>
      </c>
      <c r="J62" t="s">
        <v>3036</v>
      </c>
      <c r="K62">
        <v>2495.8000000000002</v>
      </c>
      <c r="L62" t="b">
        <v>0</v>
      </c>
    </row>
    <row r="63" spans="1:12" x14ac:dyDescent="0.25">
      <c r="A63" t="s">
        <v>3127</v>
      </c>
      <c r="B63" t="s">
        <v>203</v>
      </c>
      <c r="C63" t="s">
        <v>3034</v>
      </c>
      <c r="D63" s="1">
        <v>46026.765428240738</v>
      </c>
      <c r="E63">
        <v>714.24</v>
      </c>
      <c r="F63">
        <v>21.01</v>
      </c>
      <c r="G63">
        <v>693.23</v>
      </c>
      <c r="H63" t="s">
        <v>52</v>
      </c>
      <c r="I63" t="s">
        <v>3128</v>
      </c>
      <c r="J63" t="s">
        <v>3036</v>
      </c>
      <c r="K63">
        <v>714.24</v>
      </c>
      <c r="L63" t="b">
        <v>0</v>
      </c>
    </row>
    <row r="64" spans="1:12" x14ac:dyDescent="0.25">
      <c r="A64" t="s">
        <v>3129</v>
      </c>
      <c r="B64" t="s">
        <v>206</v>
      </c>
      <c r="C64" t="s">
        <v>3034</v>
      </c>
      <c r="D64" s="1">
        <v>46027.856458333335</v>
      </c>
      <c r="E64">
        <v>1271.68</v>
      </c>
      <c r="F64">
        <v>37.18</v>
      </c>
      <c r="G64">
        <v>1234.5</v>
      </c>
      <c r="H64" t="s">
        <v>19</v>
      </c>
      <c r="I64" t="s">
        <v>3130</v>
      </c>
      <c r="J64" t="s">
        <v>3036</v>
      </c>
      <c r="K64">
        <v>1271.68</v>
      </c>
      <c r="L64" t="b">
        <v>0</v>
      </c>
    </row>
    <row r="65" spans="1:12" x14ac:dyDescent="0.25">
      <c r="A65" t="s">
        <v>3131</v>
      </c>
      <c r="B65" t="s">
        <v>209</v>
      </c>
      <c r="C65" t="s">
        <v>3034</v>
      </c>
      <c r="D65" s="1">
        <v>46028.949918981481</v>
      </c>
      <c r="E65">
        <v>1839.72</v>
      </c>
      <c r="F65">
        <v>53.65</v>
      </c>
      <c r="G65">
        <v>1786.07</v>
      </c>
      <c r="H65" t="s">
        <v>25</v>
      </c>
      <c r="I65" t="s">
        <v>3046</v>
      </c>
      <c r="J65" t="s">
        <v>3036</v>
      </c>
      <c r="K65">
        <v>1839.72</v>
      </c>
      <c r="L65" t="b">
        <v>0</v>
      </c>
    </row>
    <row r="66" spans="1:12" x14ac:dyDescent="0.25">
      <c r="A66" t="s">
        <v>3132</v>
      </c>
      <c r="B66" t="s">
        <v>212</v>
      </c>
      <c r="C66" t="s">
        <v>3034</v>
      </c>
      <c r="D66" s="1">
        <v>46030.051759259259</v>
      </c>
      <c r="E66">
        <v>2472.3200000000002</v>
      </c>
      <c r="F66">
        <v>72</v>
      </c>
      <c r="G66">
        <v>2400.3200000000002</v>
      </c>
      <c r="H66" t="s">
        <v>25</v>
      </c>
      <c r="I66" t="s">
        <v>3048</v>
      </c>
      <c r="J66" t="s">
        <v>3036</v>
      </c>
      <c r="K66">
        <v>2472.3200000000002</v>
      </c>
      <c r="L66" t="b">
        <v>0</v>
      </c>
    </row>
    <row r="67" spans="1:12" x14ac:dyDescent="0.25">
      <c r="A67" t="s">
        <v>3133</v>
      </c>
      <c r="B67" t="s">
        <v>215</v>
      </c>
      <c r="C67" t="s">
        <v>3034</v>
      </c>
      <c r="D67" s="1">
        <v>46031.141898148147</v>
      </c>
      <c r="E67">
        <v>133</v>
      </c>
      <c r="F67">
        <v>4.16</v>
      </c>
      <c r="G67">
        <v>128.84</v>
      </c>
      <c r="H67" t="s">
        <v>25</v>
      </c>
      <c r="I67" t="s">
        <v>3050</v>
      </c>
      <c r="J67" t="s">
        <v>3036</v>
      </c>
      <c r="K67">
        <v>133</v>
      </c>
      <c r="L67" t="b">
        <v>0</v>
      </c>
    </row>
    <row r="68" spans="1:12" x14ac:dyDescent="0.25">
      <c r="A68" t="s">
        <v>3134</v>
      </c>
      <c r="B68" t="s">
        <v>218</v>
      </c>
      <c r="C68" t="s">
        <v>3034</v>
      </c>
      <c r="D68" s="1">
        <v>46032.207430555558</v>
      </c>
      <c r="E68">
        <v>1473.4</v>
      </c>
      <c r="F68">
        <v>43.03</v>
      </c>
      <c r="G68">
        <v>1430.37</v>
      </c>
      <c r="H68" t="s">
        <v>25</v>
      </c>
      <c r="I68" t="s">
        <v>3052</v>
      </c>
      <c r="J68" t="s">
        <v>3036</v>
      </c>
      <c r="K68">
        <v>1473.4</v>
      </c>
      <c r="L68" t="b">
        <v>0</v>
      </c>
    </row>
    <row r="69" spans="1:12" x14ac:dyDescent="0.25">
      <c r="A69" t="s">
        <v>3135</v>
      </c>
      <c r="B69" t="s">
        <v>221</v>
      </c>
      <c r="C69" t="s">
        <v>3034</v>
      </c>
      <c r="D69" s="1">
        <v>46032.318842592591</v>
      </c>
      <c r="E69">
        <v>1256.1199999999999</v>
      </c>
      <c r="F69">
        <v>36.729999999999997</v>
      </c>
      <c r="G69">
        <v>1219.3900000000001</v>
      </c>
      <c r="H69" t="s">
        <v>25</v>
      </c>
      <c r="I69" t="s">
        <v>3079</v>
      </c>
      <c r="J69" t="s">
        <v>3036</v>
      </c>
      <c r="K69">
        <v>1256.1199999999999</v>
      </c>
      <c r="L69" t="b">
        <v>0</v>
      </c>
    </row>
    <row r="70" spans="1:12" x14ac:dyDescent="0.25">
      <c r="A70" t="s">
        <v>3136</v>
      </c>
      <c r="B70" t="s">
        <v>224</v>
      </c>
      <c r="C70" t="s">
        <v>3034</v>
      </c>
      <c r="D70" s="1">
        <v>46033.403969907406</v>
      </c>
      <c r="E70">
        <v>99.91</v>
      </c>
      <c r="F70">
        <v>3.2</v>
      </c>
      <c r="G70">
        <v>96.71</v>
      </c>
      <c r="H70" t="s">
        <v>25</v>
      </c>
      <c r="I70" t="s">
        <v>3081</v>
      </c>
      <c r="J70" t="s">
        <v>3036</v>
      </c>
      <c r="K70">
        <v>99.91</v>
      </c>
      <c r="L70" t="b">
        <v>0</v>
      </c>
    </row>
    <row r="71" spans="1:12" x14ac:dyDescent="0.25">
      <c r="A71" t="s">
        <v>3137</v>
      </c>
      <c r="B71" t="s">
        <v>227</v>
      </c>
      <c r="C71" t="s">
        <v>3034</v>
      </c>
      <c r="D71" s="1">
        <v>46034.477997685186</v>
      </c>
      <c r="E71">
        <v>770.25</v>
      </c>
      <c r="F71">
        <v>22.64</v>
      </c>
      <c r="G71">
        <v>747.61</v>
      </c>
      <c r="H71" t="s">
        <v>25</v>
      </c>
      <c r="I71" t="s">
        <v>3058</v>
      </c>
      <c r="J71" t="s">
        <v>3036</v>
      </c>
      <c r="K71">
        <v>770.25</v>
      </c>
      <c r="L71" t="b">
        <v>0</v>
      </c>
    </row>
    <row r="72" spans="1:12" x14ac:dyDescent="0.25">
      <c r="A72" t="s">
        <v>3138</v>
      </c>
      <c r="B72" t="s">
        <v>230</v>
      </c>
      <c r="C72" t="s">
        <v>3034</v>
      </c>
      <c r="D72" s="1">
        <v>46035.598263888889</v>
      </c>
      <c r="E72">
        <v>532.47</v>
      </c>
      <c r="F72">
        <v>15.74</v>
      </c>
      <c r="G72">
        <v>516.73</v>
      </c>
      <c r="H72" t="s">
        <v>25</v>
      </c>
      <c r="I72" t="s">
        <v>3060</v>
      </c>
      <c r="J72" t="s">
        <v>3036</v>
      </c>
      <c r="K72">
        <v>532.47</v>
      </c>
      <c r="L72" t="b">
        <v>0</v>
      </c>
    </row>
    <row r="73" spans="1:12" x14ac:dyDescent="0.25">
      <c r="A73" t="s">
        <v>3139</v>
      </c>
      <c r="B73" t="s">
        <v>233</v>
      </c>
      <c r="C73" t="s">
        <v>3034</v>
      </c>
      <c r="D73" s="1">
        <v>46036.681759259256</v>
      </c>
      <c r="E73">
        <v>378.23</v>
      </c>
      <c r="F73">
        <v>11.27</v>
      </c>
      <c r="G73">
        <v>366.96</v>
      </c>
      <c r="H73" t="s">
        <v>52</v>
      </c>
      <c r="I73" t="s">
        <v>3140</v>
      </c>
      <c r="J73" t="s">
        <v>3036</v>
      </c>
      <c r="K73">
        <v>378.23</v>
      </c>
      <c r="L73" t="b">
        <v>0</v>
      </c>
    </row>
    <row r="74" spans="1:12" x14ac:dyDescent="0.25">
      <c r="A74" t="s">
        <v>3141</v>
      </c>
      <c r="B74" t="s">
        <v>236</v>
      </c>
      <c r="C74" t="s">
        <v>3034</v>
      </c>
      <c r="D74" s="1">
        <v>46023.781504629631</v>
      </c>
      <c r="E74">
        <v>132.62</v>
      </c>
      <c r="F74">
        <v>4.1500000000000004</v>
      </c>
      <c r="G74">
        <v>128.47</v>
      </c>
      <c r="H74" t="s">
        <v>19</v>
      </c>
      <c r="I74" t="s">
        <v>3035</v>
      </c>
      <c r="J74" t="s">
        <v>3036</v>
      </c>
      <c r="K74">
        <v>132.62</v>
      </c>
      <c r="L74" t="b">
        <v>0</v>
      </c>
    </row>
    <row r="75" spans="1:12" x14ac:dyDescent="0.25">
      <c r="A75" t="s">
        <v>3142</v>
      </c>
      <c r="B75" t="s">
        <v>239</v>
      </c>
      <c r="C75" t="s">
        <v>3034</v>
      </c>
      <c r="D75" s="1">
        <v>46024.873819444445</v>
      </c>
      <c r="E75">
        <v>625.41999999999996</v>
      </c>
      <c r="F75">
        <v>18.440000000000001</v>
      </c>
      <c r="G75">
        <v>606.98</v>
      </c>
      <c r="H75" t="s">
        <v>52</v>
      </c>
      <c r="I75" t="s">
        <v>3143</v>
      </c>
      <c r="J75" t="s">
        <v>3036</v>
      </c>
      <c r="K75">
        <v>625.41999999999996</v>
      </c>
      <c r="L75" t="b">
        <v>0</v>
      </c>
    </row>
    <row r="76" spans="1:12" x14ac:dyDescent="0.25">
      <c r="A76" t="s">
        <v>3144</v>
      </c>
      <c r="B76" t="s">
        <v>242</v>
      </c>
      <c r="C76" t="s">
        <v>3034</v>
      </c>
      <c r="D76" s="1">
        <v>46025.964907407404</v>
      </c>
      <c r="E76">
        <v>1889.05</v>
      </c>
      <c r="F76">
        <v>55.08</v>
      </c>
      <c r="G76">
        <v>1833.97</v>
      </c>
      <c r="H76" t="s">
        <v>25</v>
      </c>
      <c r="I76" t="s">
        <v>3040</v>
      </c>
      <c r="J76" t="s">
        <v>3036</v>
      </c>
      <c r="K76">
        <v>1889.05</v>
      </c>
      <c r="L76" t="b">
        <v>0</v>
      </c>
    </row>
    <row r="77" spans="1:12" x14ac:dyDescent="0.25">
      <c r="A77" t="s">
        <v>3145</v>
      </c>
      <c r="B77" t="s">
        <v>245</v>
      </c>
      <c r="C77" t="s">
        <v>3034</v>
      </c>
      <c r="D77" s="1">
        <v>46027.031087962961</v>
      </c>
      <c r="E77">
        <v>538.35</v>
      </c>
      <c r="F77">
        <v>15.91</v>
      </c>
      <c r="G77">
        <v>522.44000000000005</v>
      </c>
      <c r="H77" t="s">
        <v>25</v>
      </c>
      <c r="I77" t="s">
        <v>3042</v>
      </c>
      <c r="J77" t="s">
        <v>3036</v>
      </c>
      <c r="K77">
        <v>538.35</v>
      </c>
      <c r="L77" t="b">
        <v>0</v>
      </c>
    </row>
    <row r="78" spans="1:12" x14ac:dyDescent="0.25">
      <c r="A78" t="s">
        <v>3146</v>
      </c>
      <c r="B78" t="s">
        <v>248</v>
      </c>
      <c r="C78" t="s">
        <v>3034</v>
      </c>
      <c r="D78" s="1">
        <v>46028.114432870374</v>
      </c>
      <c r="E78">
        <v>370.45</v>
      </c>
      <c r="F78">
        <v>11.04</v>
      </c>
      <c r="G78">
        <v>359.41</v>
      </c>
      <c r="H78" t="s">
        <v>25</v>
      </c>
      <c r="I78" t="s">
        <v>3068</v>
      </c>
      <c r="J78" t="s">
        <v>3036</v>
      </c>
      <c r="K78">
        <v>370.45</v>
      </c>
      <c r="L78" t="b">
        <v>0</v>
      </c>
    </row>
    <row r="79" spans="1:12" x14ac:dyDescent="0.25">
      <c r="A79" t="s">
        <v>3147</v>
      </c>
      <c r="B79" t="s">
        <v>251</v>
      </c>
      <c r="C79" t="s">
        <v>3034</v>
      </c>
      <c r="D79" s="1">
        <v>46029.211701388886</v>
      </c>
      <c r="E79">
        <v>119.49</v>
      </c>
      <c r="F79">
        <v>3.77</v>
      </c>
      <c r="G79">
        <v>115.72</v>
      </c>
      <c r="H79" t="s">
        <v>25</v>
      </c>
      <c r="I79" t="s">
        <v>3046</v>
      </c>
      <c r="J79" t="s">
        <v>3036</v>
      </c>
      <c r="K79">
        <v>119.49</v>
      </c>
      <c r="L79" t="b">
        <v>0</v>
      </c>
    </row>
    <row r="80" spans="1:12" x14ac:dyDescent="0.25">
      <c r="A80" t="s">
        <v>3148</v>
      </c>
      <c r="B80" t="s">
        <v>254</v>
      </c>
      <c r="C80" t="s">
        <v>3034</v>
      </c>
      <c r="D80" s="1">
        <v>46029.319351851853</v>
      </c>
      <c r="E80">
        <v>1805.83</v>
      </c>
      <c r="F80">
        <v>52.67</v>
      </c>
      <c r="G80">
        <v>1753.16</v>
      </c>
      <c r="H80" t="s">
        <v>25</v>
      </c>
      <c r="I80" t="s">
        <v>3048</v>
      </c>
      <c r="J80" t="s">
        <v>3036</v>
      </c>
      <c r="K80">
        <v>1805.83</v>
      </c>
      <c r="L80" t="b">
        <v>0</v>
      </c>
    </row>
    <row r="81" spans="1:12" x14ac:dyDescent="0.25">
      <c r="A81" t="s">
        <v>3149</v>
      </c>
      <c r="B81" t="s">
        <v>257</v>
      </c>
      <c r="C81" t="s">
        <v>3034</v>
      </c>
      <c r="D81" s="1">
        <v>46030.415069444447</v>
      </c>
      <c r="E81">
        <v>970.87</v>
      </c>
      <c r="F81">
        <v>28.46</v>
      </c>
      <c r="G81">
        <v>942.41</v>
      </c>
      <c r="H81" t="s">
        <v>25</v>
      </c>
      <c r="I81" t="s">
        <v>3050</v>
      </c>
      <c r="J81" t="s">
        <v>3036</v>
      </c>
      <c r="K81">
        <v>970.87</v>
      </c>
      <c r="L81" t="b">
        <v>0</v>
      </c>
    </row>
    <row r="82" spans="1:12" x14ac:dyDescent="0.25">
      <c r="A82" t="s">
        <v>3150</v>
      </c>
      <c r="B82" t="s">
        <v>260</v>
      </c>
      <c r="C82" t="s">
        <v>3034</v>
      </c>
      <c r="D82" s="1">
        <v>46031.479456018518</v>
      </c>
      <c r="E82">
        <v>317.72000000000003</v>
      </c>
      <c r="F82">
        <v>9.51</v>
      </c>
      <c r="G82">
        <v>308.20999999999998</v>
      </c>
      <c r="H82" t="s">
        <v>25</v>
      </c>
      <c r="I82" t="s">
        <v>3052</v>
      </c>
      <c r="J82" t="s">
        <v>3036</v>
      </c>
      <c r="K82">
        <v>317.72000000000003</v>
      </c>
      <c r="L82" t="b">
        <v>0</v>
      </c>
    </row>
    <row r="83" spans="1:12" x14ac:dyDescent="0.25">
      <c r="A83" t="s">
        <v>3150</v>
      </c>
      <c r="B83" t="s">
        <v>260</v>
      </c>
      <c r="C83" t="s">
        <v>3034</v>
      </c>
      <c r="D83" s="1">
        <v>46031.479456018518</v>
      </c>
      <c r="E83">
        <v>317.72000000000003</v>
      </c>
      <c r="F83">
        <v>9.51</v>
      </c>
      <c r="G83">
        <v>308.20999999999998</v>
      </c>
      <c r="H83" t="s">
        <v>25</v>
      </c>
      <c r="I83" t="s">
        <v>3052</v>
      </c>
      <c r="J83" t="s">
        <v>3036</v>
      </c>
      <c r="K83">
        <v>317.72000000000003</v>
      </c>
      <c r="L83" t="b">
        <v>0</v>
      </c>
    </row>
    <row r="84" spans="1:12" x14ac:dyDescent="0.25">
      <c r="A84" t="s">
        <v>3151</v>
      </c>
      <c r="B84" t="s">
        <v>263</v>
      </c>
      <c r="C84" t="s">
        <v>3034</v>
      </c>
      <c r="D84" s="1">
        <v>46032.607847222222</v>
      </c>
      <c r="E84">
        <v>418.48</v>
      </c>
      <c r="F84">
        <v>12.44</v>
      </c>
      <c r="G84">
        <v>406.04</v>
      </c>
      <c r="H84" t="s">
        <v>52</v>
      </c>
      <c r="I84" t="s">
        <v>3054</v>
      </c>
      <c r="J84" t="s">
        <v>3036</v>
      </c>
      <c r="K84">
        <v>418.48</v>
      </c>
      <c r="L84" t="b">
        <v>0</v>
      </c>
    </row>
    <row r="85" spans="1:12" x14ac:dyDescent="0.25">
      <c r="A85" t="s">
        <v>3152</v>
      </c>
      <c r="B85" t="s">
        <v>266</v>
      </c>
      <c r="C85" t="s">
        <v>3034</v>
      </c>
      <c r="D85" s="1">
        <v>46033.682013888887</v>
      </c>
      <c r="E85">
        <v>1853.19</v>
      </c>
      <c r="F85">
        <v>54.04</v>
      </c>
      <c r="G85">
        <v>1799.15</v>
      </c>
      <c r="H85" t="s">
        <v>19</v>
      </c>
      <c r="I85" t="s">
        <v>3056</v>
      </c>
      <c r="J85" t="s">
        <v>3036</v>
      </c>
      <c r="K85">
        <v>1853.19</v>
      </c>
      <c r="L85" t="b">
        <v>0</v>
      </c>
    </row>
    <row r="86" spans="1:12" x14ac:dyDescent="0.25">
      <c r="A86" t="s">
        <v>3153</v>
      </c>
      <c r="B86" t="s">
        <v>272</v>
      </c>
      <c r="C86" t="s">
        <v>3034</v>
      </c>
      <c r="D86" s="1">
        <v>46035.854097222225</v>
      </c>
      <c r="E86">
        <v>1566.81</v>
      </c>
      <c r="F86">
        <v>45.74</v>
      </c>
      <c r="G86">
        <v>1521.07</v>
      </c>
      <c r="H86" t="s">
        <v>25</v>
      </c>
      <c r="I86" t="s">
        <v>3060</v>
      </c>
      <c r="J86" t="s">
        <v>3036</v>
      </c>
      <c r="K86">
        <v>1566.81</v>
      </c>
      <c r="L86" t="b">
        <v>0</v>
      </c>
    </row>
    <row r="87" spans="1:12" x14ac:dyDescent="0.25">
      <c r="A87" t="s">
        <v>3154</v>
      </c>
      <c r="B87" t="s">
        <v>275</v>
      </c>
      <c r="C87" t="s">
        <v>3034</v>
      </c>
      <c r="D87" s="1">
        <v>46036.953113425923</v>
      </c>
      <c r="E87">
        <v>1437.79</v>
      </c>
      <c r="F87">
        <v>42</v>
      </c>
      <c r="G87">
        <v>1395.79</v>
      </c>
      <c r="H87" t="s">
        <v>25</v>
      </c>
      <c r="I87" t="s">
        <v>3062</v>
      </c>
      <c r="J87" t="s">
        <v>3036</v>
      </c>
      <c r="K87">
        <v>1437.79</v>
      </c>
      <c r="L87" t="b">
        <v>0</v>
      </c>
    </row>
    <row r="88" spans="1:12" x14ac:dyDescent="0.25">
      <c r="A88" t="s">
        <v>3155</v>
      </c>
      <c r="B88" t="s">
        <v>278</v>
      </c>
      <c r="C88" t="s">
        <v>3034</v>
      </c>
      <c r="D88" s="1">
        <v>46024.058449074073</v>
      </c>
      <c r="E88">
        <v>1706.24</v>
      </c>
      <c r="F88">
        <v>49.78</v>
      </c>
      <c r="G88">
        <v>1656.46</v>
      </c>
      <c r="H88" t="s">
        <v>25</v>
      </c>
      <c r="I88" t="s">
        <v>3064</v>
      </c>
      <c r="J88" t="s">
        <v>3036</v>
      </c>
      <c r="K88">
        <v>1706.24</v>
      </c>
      <c r="L88" t="b">
        <v>0</v>
      </c>
    </row>
    <row r="89" spans="1:12" x14ac:dyDescent="0.25">
      <c r="A89" t="s">
        <v>3156</v>
      </c>
      <c r="B89" t="s">
        <v>281</v>
      </c>
      <c r="C89" t="s">
        <v>3034</v>
      </c>
      <c r="D89" s="1">
        <v>46025.140729166669</v>
      </c>
      <c r="E89">
        <v>2382.2399999999998</v>
      </c>
      <c r="F89">
        <v>69.38</v>
      </c>
      <c r="G89">
        <v>2312.86</v>
      </c>
      <c r="H89" t="s">
        <v>25</v>
      </c>
      <c r="I89" t="s">
        <v>3038</v>
      </c>
      <c r="J89" t="s">
        <v>3036</v>
      </c>
      <c r="K89">
        <v>2382.2399999999998</v>
      </c>
      <c r="L89" t="b">
        <v>0</v>
      </c>
    </row>
    <row r="90" spans="1:12" x14ac:dyDescent="0.25">
      <c r="A90" t="s">
        <v>3157</v>
      </c>
      <c r="B90" t="s">
        <v>284</v>
      </c>
      <c r="C90" t="s">
        <v>3034</v>
      </c>
      <c r="D90" s="1">
        <v>46025.247071759259</v>
      </c>
      <c r="E90">
        <v>467.12</v>
      </c>
      <c r="F90">
        <v>13.85</v>
      </c>
      <c r="G90">
        <v>453.27</v>
      </c>
      <c r="H90" t="s">
        <v>25</v>
      </c>
      <c r="I90" t="s">
        <v>3040</v>
      </c>
      <c r="J90" t="s">
        <v>3036</v>
      </c>
      <c r="K90">
        <v>467.12</v>
      </c>
      <c r="L90" t="b">
        <v>0</v>
      </c>
    </row>
    <row r="91" spans="1:12" x14ac:dyDescent="0.25">
      <c r="A91" t="s">
        <v>3158</v>
      </c>
      <c r="B91" t="s">
        <v>287</v>
      </c>
      <c r="C91" t="s">
        <v>3034</v>
      </c>
      <c r="D91" s="1">
        <v>46026.31422453704</v>
      </c>
      <c r="E91">
        <v>1359.12</v>
      </c>
      <c r="F91">
        <v>39.71</v>
      </c>
      <c r="G91">
        <v>1319.41</v>
      </c>
      <c r="H91" t="s">
        <v>25</v>
      </c>
      <c r="I91" t="s">
        <v>3042</v>
      </c>
      <c r="J91" t="s">
        <v>3036</v>
      </c>
      <c r="K91">
        <v>1359.12</v>
      </c>
      <c r="L91" t="b">
        <v>0</v>
      </c>
    </row>
    <row r="92" spans="1:12" x14ac:dyDescent="0.25">
      <c r="A92" t="s">
        <v>3159</v>
      </c>
      <c r="B92" t="s">
        <v>290</v>
      </c>
      <c r="C92" t="s">
        <v>3034</v>
      </c>
      <c r="D92" s="1">
        <v>46027.415914351855</v>
      </c>
      <c r="E92">
        <v>616.07000000000005</v>
      </c>
      <c r="F92">
        <v>18.170000000000002</v>
      </c>
      <c r="G92">
        <v>597.9</v>
      </c>
      <c r="H92" t="s">
        <v>25</v>
      </c>
      <c r="I92" t="s">
        <v>3068</v>
      </c>
      <c r="J92" t="s">
        <v>3036</v>
      </c>
      <c r="K92">
        <v>616.07000000000005</v>
      </c>
      <c r="L92" t="b">
        <v>0</v>
      </c>
    </row>
    <row r="93" spans="1:12" x14ac:dyDescent="0.25">
      <c r="A93" t="s">
        <v>3160</v>
      </c>
      <c r="B93" t="s">
        <v>293</v>
      </c>
      <c r="C93" t="s">
        <v>3034</v>
      </c>
      <c r="D93" s="1">
        <v>46028.50885416667</v>
      </c>
      <c r="E93">
        <v>2369.81</v>
      </c>
      <c r="F93">
        <v>69.02</v>
      </c>
      <c r="G93">
        <v>2300.79</v>
      </c>
      <c r="H93" t="s">
        <v>52</v>
      </c>
      <c r="I93" t="s">
        <v>3070</v>
      </c>
      <c r="J93" t="s">
        <v>3036</v>
      </c>
      <c r="K93">
        <v>2369.81</v>
      </c>
      <c r="L93" t="b">
        <v>0</v>
      </c>
    </row>
    <row r="94" spans="1:12" x14ac:dyDescent="0.25">
      <c r="A94" t="s">
        <v>3161</v>
      </c>
      <c r="B94" t="s">
        <v>296</v>
      </c>
      <c r="C94" t="s">
        <v>3034</v>
      </c>
      <c r="D94" s="1">
        <v>46029.602314814816</v>
      </c>
      <c r="E94">
        <v>1918.27</v>
      </c>
      <c r="F94">
        <v>55.93</v>
      </c>
      <c r="G94">
        <v>1862.34</v>
      </c>
      <c r="H94" t="s">
        <v>19</v>
      </c>
      <c r="I94" t="s">
        <v>3072</v>
      </c>
      <c r="J94" t="s">
        <v>3036</v>
      </c>
      <c r="K94">
        <v>1918.27</v>
      </c>
      <c r="L94" t="b">
        <v>0</v>
      </c>
    </row>
    <row r="95" spans="1:12" x14ac:dyDescent="0.25">
      <c r="A95" t="s">
        <v>3162</v>
      </c>
      <c r="B95" t="s">
        <v>299</v>
      </c>
      <c r="C95" t="s">
        <v>3034</v>
      </c>
      <c r="D95" s="1">
        <v>46030.669606481482</v>
      </c>
      <c r="E95">
        <v>291.83</v>
      </c>
      <c r="F95">
        <v>8.76</v>
      </c>
      <c r="G95">
        <v>283.07</v>
      </c>
      <c r="H95" t="s">
        <v>25</v>
      </c>
      <c r="I95" t="s">
        <v>3050</v>
      </c>
      <c r="J95" t="s">
        <v>3036</v>
      </c>
      <c r="K95">
        <v>291.83</v>
      </c>
      <c r="L95" t="b">
        <v>0</v>
      </c>
    </row>
    <row r="96" spans="1:12" x14ac:dyDescent="0.25">
      <c r="A96" t="s">
        <v>3163</v>
      </c>
      <c r="B96" t="s">
        <v>302</v>
      </c>
      <c r="C96" t="s">
        <v>3034</v>
      </c>
      <c r="D96" s="1">
        <v>46031.761747685188</v>
      </c>
      <c r="E96">
        <v>219.41</v>
      </c>
      <c r="F96">
        <v>6.66</v>
      </c>
      <c r="G96">
        <v>212.75</v>
      </c>
      <c r="H96" t="s">
        <v>25</v>
      </c>
      <c r="I96" t="s">
        <v>3164</v>
      </c>
      <c r="J96" t="s">
        <v>3036</v>
      </c>
      <c r="K96">
        <v>219.41</v>
      </c>
      <c r="L96" t="b">
        <v>0</v>
      </c>
    </row>
    <row r="97" spans="1:12" x14ac:dyDescent="0.25">
      <c r="A97" t="s">
        <v>3165</v>
      </c>
      <c r="B97" t="s">
        <v>308</v>
      </c>
      <c r="C97" t="s">
        <v>3034</v>
      </c>
      <c r="D97" s="1">
        <v>46033.951620370368</v>
      </c>
      <c r="E97">
        <v>1608.12</v>
      </c>
      <c r="F97">
        <v>46.94</v>
      </c>
      <c r="G97">
        <v>1561.18</v>
      </c>
      <c r="H97" t="s">
        <v>25</v>
      </c>
      <c r="I97" t="s">
        <v>3081</v>
      </c>
      <c r="J97" t="s">
        <v>3036</v>
      </c>
      <c r="K97">
        <v>1608.12</v>
      </c>
      <c r="L97" t="b">
        <v>0</v>
      </c>
    </row>
    <row r="98" spans="1:12" x14ac:dyDescent="0.25">
      <c r="A98" t="s">
        <v>3166</v>
      </c>
      <c r="B98" t="s">
        <v>311</v>
      </c>
      <c r="C98" t="s">
        <v>3034</v>
      </c>
      <c r="D98" s="1">
        <v>46035.059583333335</v>
      </c>
      <c r="E98">
        <v>1065.94</v>
      </c>
      <c r="F98">
        <v>31.21</v>
      </c>
      <c r="G98">
        <v>1034.73</v>
      </c>
      <c r="H98" t="s">
        <v>25</v>
      </c>
      <c r="I98" t="s">
        <v>3058</v>
      </c>
      <c r="J98" t="s">
        <v>3036</v>
      </c>
      <c r="K98">
        <v>1065.94</v>
      </c>
      <c r="L98" t="b">
        <v>0</v>
      </c>
    </row>
    <row r="99" spans="1:12" x14ac:dyDescent="0.25">
      <c r="A99" t="s">
        <v>3167</v>
      </c>
      <c r="B99" t="s">
        <v>314</v>
      </c>
      <c r="C99" t="s">
        <v>3034</v>
      </c>
      <c r="D99" s="1">
        <v>46036.130254629628</v>
      </c>
      <c r="E99">
        <v>1337.96</v>
      </c>
      <c r="F99">
        <v>39.1</v>
      </c>
      <c r="G99">
        <v>1298.8599999999999</v>
      </c>
      <c r="H99" t="s">
        <v>25</v>
      </c>
      <c r="I99" t="s">
        <v>3060</v>
      </c>
      <c r="J99" t="s">
        <v>3036</v>
      </c>
      <c r="K99">
        <v>1337.96</v>
      </c>
      <c r="L99" t="b">
        <v>0</v>
      </c>
    </row>
    <row r="100" spans="1:12" x14ac:dyDescent="0.25">
      <c r="A100" t="s">
        <v>3168</v>
      </c>
      <c r="B100" t="s">
        <v>317</v>
      </c>
      <c r="C100" t="s">
        <v>3034</v>
      </c>
      <c r="D100" s="1">
        <v>46036.236307870371</v>
      </c>
      <c r="E100">
        <v>141.66999999999999</v>
      </c>
      <c r="F100">
        <v>4.41</v>
      </c>
      <c r="G100">
        <v>137.26</v>
      </c>
      <c r="H100" t="s">
        <v>25</v>
      </c>
      <c r="I100" t="s">
        <v>3169</v>
      </c>
      <c r="J100" t="s">
        <v>3036</v>
      </c>
      <c r="K100">
        <v>141.66999999999999</v>
      </c>
      <c r="L100" t="b">
        <v>0</v>
      </c>
    </row>
    <row r="101" spans="1:12" x14ac:dyDescent="0.25">
      <c r="A101" t="s">
        <v>3170</v>
      </c>
      <c r="B101" t="s">
        <v>320</v>
      </c>
      <c r="C101" t="s">
        <v>3034</v>
      </c>
      <c r="D101" s="1">
        <v>46023.330428240741</v>
      </c>
      <c r="E101">
        <v>2255.06</v>
      </c>
      <c r="F101">
        <v>65.7</v>
      </c>
      <c r="G101">
        <v>2189.36</v>
      </c>
      <c r="H101" t="s">
        <v>25</v>
      </c>
      <c r="I101" t="s">
        <v>3064</v>
      </c>
      <c r="J101" t="s">
        <v>3036</v>
      </c>
      <c r="K101">
        <v>2255.06</v>
      </c>
      <c r="L101" t="b">
        <v>0</v>
      </c>
    </row>
    <row r="102" spans="1:12" x14ac:dyDescent="0.25">
      <c r="A102" t="s">
        <v>3171</v>
      </c>
      <c r="B102" t="s">
        <v>323</v>
      </c>
      <c r="C102" t="s">
        <v>3034</v>
      </c>
      <c r="D102" s="1">
        <v>46024.40284722222</v>
      </c>
      <c r="E102">
        <v>2258.3200000000002</v>
      </c>
      <c r="F102">
        <v>65.790000000000006</v>
      </c>
      <c r="G102">
        <v>2192.5300000000002</v>
      </c>
      <c r="H102" t="s">
        <v>52</v>
      </c>
      <c r="I102" t="s">
        <v>3172</v>
      </c>
      <c r="J102" t="s">
        <v>3036</v>
      </c>
      <c r="K102">
        <v>2258.3200000000002</v>
      </c>
      <c r="L102" t="b">
        <v>0</v>
      </c>
    </row>
    <row r="103" spans="1:12" x14ac:dyDescent="0.25">
      <c r="A103" t="s">
        <v>3173</v>
      </c>
      <c r="B103" t="s">
        <v>326</v>
      </c>
      <c r="C103" t="s">
        <v>3034</v>
      </c>
      <c r="D103" s="1">
        <v>46025.533622685187</v>
      </c>
      <c r="E103">
        <v>1533.65</v>
      </c>
      <c r="F103">
        <v>44.78</v>
      </c>
      <c r="G103">
        <v>1488.87</v>
      </c>
      <c r="H103" t="s">
        <v>19</v>
      </c>
      <c r="I103" t="s">
        <v>3174</v>
      </c>
      <c r="J103" t="s">
        <v>3036</v>
      </c>
      <c r="K103">
        <v>1533.65</v>
      </c>
      <c r="L103" t="b">
        <v>0</v>
      </c>
    </row>
    <row r="104" spans="1:12" x14ac:dyDescent="0.25">
      <c r="A104" t="s">
        <v>3175</v>
      </c>
      <c r="B104" t="s">
        <v>329</v>
      </c>
      <c r="C104" t="s">
        <v>3034</v>
      </c>
      <c r="D104" s="1">
        <v>46026.613425925927</v>
      </c>
      <c r="E104">
        <v>1165.1300000000001</v>
      </c>
      <c r="F104">
        <v>34.090000000000003</v>
      </c>
      <c r="G104">
        <v>1131.04</v>
      </c>
      <c r="H104" t="s">
        <v>25</v>
      </c>
      <c r="I104" t="s">
        <v>3042</v>
      </c>
      <c r="J104" t="s">
        <v>3036</v>
      </c>
      <c r="K104">
        <v>1165.1300000000001</v>
      </c>
      <c r="L104" t="b">
        <v>0</v>
      </c>
    </row>
    <row r="105" spans="1:12" x14ac:dyDescent="0.25">
      <c r="A105" t="s">
        <v>3176</v>
      </c>
      <c r="B105" t="s">
        <v>332</v>
      </c>
      <c r="C105" t="s">
        <v>3034</v>
      </c>
      <c r="D105" s="1">
        <v>46027.685567129629</v>
      </c>
      <c r="E105">
        <v>617.96</v>
      </c>
      <c r="F105">
        <v>18.22</v>
      </c>
      <c r="G105">
        <v>599.74</v>
      </c>
      <c r="H105" t="s">
        <v>25</v>
      </c>
      <c r="I105" t="s">
        <v>3068</v>
      </c>
      <c r="J105" t="s">
        <v>3036</v>
      </c>
      <c r="K105">
        <v>617.96</v>
      </c>
      <c r="L105" t="b">
        <v>0</v>
      </c>
    </row>
    <row r="106" spans="1:12" x14ac:dyDescent="0.25">
      <c r="A106" t="s">
        <v>3177</v>
      </c>
      <c r="B106" t="s">
        <v>335</v>
      </c>
      <c r="C106" t="s">
        <v>3034</v>
      </c>
      <c r="D106" s="1">
        <v>46028.794641203705</v>
      </c>
      <c r="E106">
        <v>442.26</v>
      </c>
      <c r="F106">
        <v>13.13</v>
      </c>
      <c r="G106">
        <v>429.13</v>
      </c>
      <c r="H106" t="s">
        <v>25</v>
      </c>
      <c r="I106" t="s">
        <v>3046</v>
      </c>
      <c r="J106" t="s">
        <v>3036</v>
      </c>
      <c r="K106">
        <v>442.26</v>
      </c>
      <c r="L106" t="b">
        <v>0</v>
      </c>
    </row>
    <row r="107" spans="1:12" x14ac:dyDescent="0.25">
      <c r="A107" t="s">
        <v>3178</v>
      </c>
      <c r="B107" t="s">
        <v>338</v>
      </c>
      <c r="C107" t="s">
        <v>3034</v>
      </c>
      <c r="D107" s="1">
        <v>46029.869027777779</v>
      </c>
      <c r="E107">
        <v>429.04</v>
      </c>
      <c r="F107">
        <v>12.74</v>
      </c>
      <c r="G107">
        <v>416.3</v>
      </c>
      <c r="H107" t="s">
        <v>25</v>
      </c>
      <c r="I107" t="s">
        <v>3048</v>
      </c>
      <c r="J107" t="s">
        <v>3036</v>
      </c>
      <c r="K107">
        <v>429.04</v>
      </c>
      <c r="L107" t="b">
        <v>0</v>
      </c>
    </row>
    <row r="108" spans="1:12" x14ac:dyDescent="0.25">
      <c r="A108" t="s">
        <v>3179</v>
      </c>
      <c r="B108" t="s">
        <v>341</v>
      </c>
      <c r="C108" t="s">
        <v>3034</v>
      </c>
      <c r="D108" s="1">
        <v>46030.984791666669</v>
      </c>
      <c r="E108">
        <v>1388.02</v>
      </c>
      <c r="F108">
        <v>40.549999999999997</v>
      </c>
      <c r="G108">
        <v>1347.47</v>
      </c>
      <c r="H108" t="s">
        <v>25</v>
      </c>
      <c r="I108" t="s">
        <v>3050</v>
      </c>
      <c r="J108" t="s">
        <v>3036</v>
      </c>
      <c r="K108">
        <v>1388.02</v>
      </c>
      <c r="L108" t="b">
        <v>0</v>
      </c>
    </row>
    <row r="109" spans="1:12" x14ac:dyDescent="0.25">
      <c r="A109" t="s">
        <v>3180</v>
      </c>
      <c r="B109" t="s">
        <v>344</v>
      </c>
      <c r="C109" t="s">
        <v>3034</v>
      </c>
      <c r="D109" s="1">
        <v>46032.078819444447</v>
      </c>
      <c r="E109">
        <v>1436.9</v>
      </c>
      <c r="F109">
        <v>41.97</v>
      </c>
      <c r="G109">
        <v>1394.93</v>
      </c>
      <c r="H109" t="s">
        <v>25</v>
      </c>
      <c r="I109" t="s">
        <v>3052</v>
      </c>
      <c r="J109" t="s">
        <v>3036</v>
      </c>
      <c r="K109">
        <v>1436.9</v>
      </c>
      <c r="L109" t="b">
        <v>0</v>
      </c>
    </row>
    <row r="110" spans="1:12" x14ac:dyDescent="0.25">
      <c r="A110" t="s">
        <v>3181</v>
      </c>
      <c r="B110" t="s">
        <v>347</v>
      </c>
      <c r="C110" t="s">
        <v>3034</v>
      </c>
      <c r="D110" s="1">
        <v>46033.157870370371</v>
      </c>
      <c r="E110">
        <v>296.95</v>
      </c>
      <c r="F110">
        <v>8.91</v>
      </c>
      <c r="G110">
        <v>288.04000000000002</v>
      </c>
      <c r="H110" t="s">
        <v>25</v>
      </c>
      <c r="I110" t="s">
        <v>3079</v>
      </c>
      <c r="J110" t="s">
        <v>3036</v>
      </c>
      <c r="K110">
        <v>296.95</v>
      </c>
      <c r="L110" t="b">
        <v>0</v>
      </c>
    </row>
    <row r="111" spans="1:12" x14ac:dyDescent="0.25">
      <c r="A111" t="s">
        <v>3182</v>
      </c>
      <c r="B111" t="s">
        <v>350</v>
      </c>
      <c r="C111" t="s">
        <v>3034</v>
      </c>
      <c r="D111" s="1">
        <v>46033.253854166665</v>
      </c>
      <c r="E111">
        <v>253.02</v>
      </c>
      <c r="F111">
        <v>7.64</v>
      </c>
      <c r="G111">
        <v>245.38</v>
      </c>
      <c r="H111" t="s">
        <v>25</v>
      </c>
      <c r="I111" t="s">
        <v>3081</v>
      </c>
      <c r="J111" t="s">
        <v>3036</v>
      </c>
      <c r="K111">
        <v>253.02</v>
      </c>
      <c r="L111" t="b">
        <v>0</v>
      </c>
    </row>
    <row r="112" spans="1:12" x14ac:dyDescent="0.25">
      <c r="A112" t="s">
        <v>3183</v>
      </c>
      <c r="B112" t="s">
        <v>353</v>
      </c>
      <c r="C112" t="s">
        <v>3034</v>
      </c>
      <c r="D112" s="1">
        <v>46034.33148148148</v>
      </c>
      <c r="E112">
        <v>790.35</v>
      </c>
      <c r="F112">
        <v>23.22</v>
      </c>
      <c r="G112">
        <v>767.13</v>
      </c>
      <c r="H112" t="s">
        <v>52</v>
      </c>
      <c r="I112" t="s">
        <v>3184</v>
      </c>
      <c r="J112" t="s">
        <v>3036</v>
      </c>
      <c r="K112">
        <v>790.35</v>
      </c>
      <c r="L112" t="b">
        <v>0</v>
      </c>
    </row>
    <row r="113" spans="1:12" x14ac:dyDescent="0.25">
      <c r="A113" t="s">
        <v>3185</v>
      </c>
      <c r="B113" t="s">
        <v>356</v>
      </c>
      <c r="C113" t="s">
        <v>3034</v>
      </c>
      <c r="D113" s="1">
        <v>46035.429409722223</v>
      </c>
      <c r="E113">
        <v>610.09</v>
      </c>
      <c r="F113">
        <v>17.989999999999998</v>
      </c>
      <c r="G113">
        <v>592.1</v>
      </c>
      <c r="H113" t="s">
        <v>19</v>
      </c>
      <c r="I113" t="s">
        <v>3186</v>
      </c>
      <c r="J113" t="s">
        <v>3036</v>
      </c>
      <c r="K113">
        <v>610.09</v>
      </c>
      <c r="L113" t="b">
        <v>0</v>
      </c>
    </row>
    <row r="114" spans="1:12" x14ac:dyDescent="0.25">
      <c r="A114" t="s">
        <v>3187</v>
      </c>
      <c r="B114" t="s">
        <v>359</v>
      </c>
      <c r="C114" t="s">
        <v>3034</v>
      </c>
      <c r="D114" s="1">
        <v>46036.53638888889</v>
      </c>
      <c r="E114">
        <v>1139.8699999999999</v>
      </c>
      <c r="F114">
        <v>33.36</v>
      </c>
      <c r="G114">
        <v>1106.51</v>
      </c>
      <c r="H114" t="s">
        <v>25</v>
      </c>
      <c r="I114" t="s">
        <v>3062</v>
      </c>
      <c r="J114" t="s">
        <v>3036</v>
      </c>
      <c r="K114">
        <v>1139.8699999999999</v>
      </c>
      <c r="L114" t="b">
        <v>0</v>
      </c>
    </row>
    <row r="115" spans="1:12" x14ac:dyDescent="0.25">
      <c r="A115" t="s">
        <v>3188</v>
      </c>
      <c r="B115" t="s">
        <v>362</v>
      </c>
      <c r="C115" t="s">
        <v>3034</v>
      </c>
      <c r="D115" s="1">
        <v>46023.616122685184</v>
      </c>
      <c r="E115">
        <v>1026.48</v>
      </c>
      <c r="F115">
        <v>30.07</v>
      </c>
      <c r="G115">
        <v>996.41</v>
      </c>
      <c r="H115" t="s">
        <v>25</v>
      </c>
      <c r="I115" t="s">
        <v>3064</v>
      </c>
      <c r="J115" t="s">
        <v>3036</v>
      </c>
      <c r="K115">
        <v>1026.48</v>
      </c>
      <c r="L115" t="b">
        <v>0</v>
      </c>
    </row>
    <row r="116" spans="1:12" x14ac:dyDescent="0.25">
      <c r="A116" t="s">
        <v>3189</v>
      </c>
      <c r="B116" t="s">
        <v>365</v>
      </c>
      <c r="C116" t="s">
        <v>3034</v>
      </c>
      <c r="D116" s="1">
        <v>46024.694108796299</v>
      </c>
      <c r="E116">
        <v>2481.2800000000002</v>
      </c>
      <c r="F116">
        <v>72.260000000000005</v>
      </c>
      <c r="G116">
        <v>2409.02</v>
      </c>
      <c r="H116" t="s">
        <v>25</v>
      </c>
      <c r="I116" t="s">
        <v>3038</v>
      </c>
      <c r="J116" t="s">
        <v>3036</v>
      </c>
      <c r="K116">
        <v>2481.2800000000002</v>
      </c>
      <c r="L116" t="b">
        <v>0</v>
      </c>
    </row>
    <row r="117" spans="1:12" x14ac:dyDescent="0.25">
      <c r="A117" t="s">
        <v>3190</v>
      </c>
      <c r="B117" t="s">
        <v>368</v>
      </c>
      <c r="C117" t="s">
        <v>3034</v>
      </c>
      <c r="D117" s="1">
        <v>46025.809513888889</v>
      </c>
      <c r="E117">
        <v>213</v>
      </c>
      <c r="F117">
        <v>6.48</v>
      </c>
      <c r="G117">
        <v>206.52</v>
      </c>
      <c r="H117" t="s">
        <v>25</v>
      </c>
      <c r="I117" t="s">
        <v>3040</v>
      </c>
      <c r="J117" t="s">
        <v>3036</v>
      </c>
      <c r="K117">
        <v>213</v>
      </c>
      <c r="L117" t="b">
        <v>0</v>
      </c>
    </row>
    <row r="118" spans="1:12" x14ac:dyDescent="0.25">
      <c r="A118" t="s">
        <v>3191</v>
      </c>
      <c r="B118" t="s">
        <v>371</v>
      </c>
      <c r="C118" t="s">
        <v>3034</v>
      </c>
      <c r="D118" s="1">
        <v>46026.875578703701</v>
      </c>
      <c r="E118">
        <v>1262.99</v>
      </c>
      <c r="F118">
        <v>36.93</v>
      </c>
      <c r="G118">
        <v>1226.06</v>
      </c>
      <c r="H118" t="s">
        <v>25</v>
      </c>
      <c r="I118" t="s">
        <v>3042</v>
      </c>
      <c r="J118" t="s">
        <v>3036</v>
      </c>
      <c r="K118">
        <v>1262.99</v>
      </c>
      <c r="L118" t="b">
        <v>0</v>
      </c>
    </row>
    <row r="119" spans="1:12" x14ac:dyDescent="0.25">
      <c r="A119" t="s">
        <v>3192</v>
      </c>
      <c r="B119" t="s">
        <v>374</v>
      </c>
      <c r="C119" t="s">
        <v>3034</v>
      </c>
      <c r="D119" s="1">
        <v>46027.983090277776</v>
      </c>
      <c r="E119">
        <v>913.34</v>
      </c>
      <c r="F119">
        <v>26.79</v>
      </c>
      <c r="G119">
        <v>886.55</v>
      </c>
      <c r="H119" t="s">
        <v>25</v>
      </c>
      <c r="I119" t="s">
        <v>3068</v>
      </c>
      <c r="J119" t="s">
        <v>3036</v>
      </c>
      <c r="K119">
        <v>913.34</v>
      </c>
      <c r="L119" t="b">
        <v>0</v>
      </c>
    </row>
    <row r="120" spans="1:12" x14ac:dyDescent="0.25">
      <c r="A120" t="s">
        <v>3193</v>
      </c>
      <c r="B120" t="s">
        <v>377</v>
      </c>
      <c r="C120" t="s">
        <v>3034</v>
      </c>
      <c r="D120" s="1">
        <v>46029.090173611112</v>
      </c>
      <c r="E120">
        <v>435.03</v>
      </c>
      <c r="F120">
        <v>12.92</v>
      </c>
      <c r="G120">
        <v>422.11</v>
      </c>
      <c r="H120" t="s">
        <v>25</v>
      </c>
      <c r="I120" t="s">
        <v>3046</v>
      </c>
      <c r="J120" t="s">
        <v>3036</v>
      </c>
      <c r="K120">
        <v>435.03</v>
      </c>
      <c r="L120" t="b">
        <v>0</v>
      </c>
    </row>
    <row r="121" spans="1:12" x14ac:dyDescent="0.25">
      <c r="A121" t="s">
        <v>3194</v>
      </c>
      <c r="B121" t="s">
        <v>380</v>
      </c>
      <c r="C121" t="s">
        <v>3034</v>
      </c>
      <c r="D121" s="1">
        <v>46030.166168981479</v>
      </c>
      <c r="E121">
        <v>2354.6799999999998</v>
      </c>
      <c r="F121">
        <v>68.59</v>
      </c>
      <c r="G121">
        <v>2286.09</v>
      </c>
      <c r="H121" t="s">
        <v>25</v>
      </c>
      <c r="I121" t="s">
        <v>3048</v>
      </c>
      <c r="J121" t="s">
        <v>3036</v>
      </c>
      <c r="K121">
        <v>2354.6799999999998</v>
      </c>
      <c r="L121" t="b">
        <v>0</v>
      </c>
    </row>
    <row r="122" spans="1:12" x14ac:dyDescent="0.25">
      <c r="A122" t="s">
        <v>3195</v>
      </c>
      <c r="B122" t="s">
        <v>383</v>
      </c>
      <c r="C122" t="s">
        <v>3034</v>
      </c>
      <c r="D122" s="1">
        <v>46030.237268518518</v>
      </c>
      <c r="E122">
        <v>1548.83</v>
      </c>
      <c r="F122">
        <v>45.22</v>
      </c>
      <c r="G122">
        <v>1503.61</v>
      </c>
      <c r="H122" t="s">
        <v>52</v>
      </c>
      <c r="I122" t="s">
        <v>3115</v>
      </c>
      <c r="J122" t="s">
        <v>3036</v>
      </c>
      <c r="K122">
        <v>1548.83</v>
      </c>
      <c r="L122" t="b">
        <v>0</v>
      </c>
    </row>
    <row r="123" spans="1:12" x14ac:dyDescent="0.25">
      <c r="A123" t="s">
        <v>3196</v>
      </c>
      <c r="B123" t="s">
        <v>383</v>
      </c>
      <c r="C123" t="s">
        <v>3076</v>
      </c>
      <c r="D123" s="1">
        <v>46031.230324074073</v>
      </c>
      <c r="E123">
        <v>-774.42</v>
      </c>
      <c r="F123">
        <v>0</v>
      </c>
      <c r="G123">
        <v>-774.42</v>
      </c>
      <c r="H123" t="s">
        <v>52</v>
      </c>
      <c r="I123" t="s">
        <v>3197</v>
      </c>
      <c r="J123" t="s">
        <v>3036</v>
      </c>
      <c r="K123">
        <v>-774.42</v>
      </c>
      <c r="L123" t="b">
        <v>0</v>
      </c>
    </row>
    <row r="124" spans="1:12" x14ac:dyDescent="0.25">
      <c r="A124" t="s">
        <v>3198</v>
      </c>
      <c r="B124" t="s">
        <v>386</v>
      </c>
      <c r="C124" t="s">
        <v>3034</v>
      </c>
      <c r="D124" s="1">
        <v>46031.367048611108</v>
      </c>
      <c r="E124">
        <v>1232.52</v>
      </c>
      <c r="F124">
        <v>36.04</v>
      </c>
      <c r="G124">
        <v>1196.48</v>
      </c>
      <c r="H124" t="s">
        <v>19</v>
      </c>
      <c r="I124" t="s">
        <v>3117</v>
      </c>
      <c r="J124" t="s">
        <v>3036</v>
      </c>
      <c r="K124">
        <v>1232.52</v>
      </c>
      <c r="L124" t="b">
        <v>0</v>
      </c>
    </row>
    <row r="125" spans="1:12" x14ac:dyDescent="0.25">
      <c r="A125" t="s">
        <v>3199</v>
      </c>
      <c r="B125" t="s">
        <v>389</v>
      </c>
      <c r="C125" t="s">
        <v>3034</v>
      </c>
      <c r="D125" s="1">
        <v>46032.45590277778</v>
      </c>
      <c r="E125">
        <v>1204.08</v>
      </c>
      <c r="F125">
        <v>35.22</v>
      </c>
      <c r="G125">
        <v>1168.8599999999999</v>
      </c>
      <c r="H125" t="s">
        <v>25</v>
      </c>
      <c r="I125" t="s">
        <v>3079</v>
      </c>
      <c r="J125" t="s">
        <v>3036</v>
      </c>
      <c r="K125">
        <v>1204.08</v>
      </c>
      <c r="L125" t="b">
        <v>0</v>
      </c>
    </row>
    <row r="126" spans="1:12" x14ac:dyDescent="0.25">
      <c r="A126" t="s">
        <v>3200</v>
      </c>
      <c r="B126" t="s">
        <v>392</v>
      </c>
      <c r="C126" t="s">
        <v>3034</v>
      </c>
      <c r="D126" s="1">
        <v>46033.510983796295</v>
      </c>
      <c r="E126">
        <v>1571.94</v>
      </c>
      <c r="F126">
        <v>45.89</v>
      </c>
      <c r="G126">
        <v>1526.05</v>
      </c>
      <c r="H126" t="s">
        <v>25</v>
      </c>
      <c r="I126" t="s">
        <v>3081</v>
      </c>
      <c r="J126" t="s">
        <v>3036</v>
      </c>
      <c r="K126">
        <v>1571.94</v>
      </c>
      <c r="L126" t="b">
        <v>0</v>
      </c>
    </row>
    <row r="127" spans="1:12" x14ac:dyDescent="0.25">
      <c r="A127" t="s">
        <v>3201</v>
      </c>
      <c r="B127" t="s">
        <v>395</v>
      </c>
      <c r="C127" t="s">
        <v>3034</v>
      </c>
      <c r="D127" s="1">
        <v>46034.619849537034</v>
      </c>
      <c r="E127">
        <v>902</v>
      </c>
      <c r="F127">
        <v>26.46</v>
      </c>
      <c r="G127">
        <v>875.54</v>
      </c>
      <c r="H127" t="s">
        <v>25</v>
      </c>
      <c r="I127" t="s">
        <v>3058</v>
      </c>
      <c r="J127" t="s">
        <v>3036</v>
      </c>
      <c r="K127">
        <v>902</v>
      </c>
      <c r="L127" t="b">
        <v>0</v>
      </c>
    </row>
    <row r="128" spans="1:12" x14ac:dyDescent="0.25">
      <c r="A128" t="s">
        <v>3202</v>
      </c>
      <c r="B128" t="s">
        <v>398</v>
      </c>
      <c r="C128" t="s">
        <v>3034</v>
      </c>
      <c r="D128" s="1">
        <v>46035.722372685188</v>
      </c>
      <c r="E128">
        <v>1684.38</v>
      </c>
      <c r="F128">
        <v>49.15</v>
      </c>
      <c r="G128">
        <v>1635.23</v>
      </c>
      <c r="H128" t="s">
        <v>25</v>
      </c>
      <c r="I128" t="s">
        <v>3060</v>
      </c>
      <c r="J128" t="s">
        <v>3036</v>
      </c>
      <c r="K128">
        <v>1684.38</v>
      </c>
      <c r="L128" t="b">
        <v>0</v>
      </c>
    </row>
    <row r="129" spans="1:12" x14ac:dyDescent="0.25">
      <c r="A129" t="s">
        <v>3203</v>
      </c>
      <c r="B129" t="s">
        <v>401</v>
      </c>
      <c r="C129" t="s">
        <v>3034</v>
      </c>
      <c r="D129" s="1">
        <v>46036.791759259257</v>
      </c>
      <c r="E129">
        <v>1071.68</v>
      </c>
      <c r="F129">
        <v>31.38</v>
      </c>
      <c r="G129">
        <v>1040.3</v>
      </c>
      <c r="H129" t="s">
        <v>25</v>
      </c>
      <c r="I129" t="s">
        <v>3062</v>
      </c>
      <c r="J129" t="s">
        <v>3036</v>
      </c>
      <c r="K129">
        <v>1071.68</v>
      </c>
      <c r="L129" t="b">
        <v>0</v>
      </c>
    </row>
    <row r="130" spans="1:12" x14ac:dyDescent="0.25">
      <c r="A130" t="s">
        <v>3204</v>
      </c>
      <c r="B130" t="s">
        <v>404</v>
      </c>
      <c r="C130" t="s">
        <v>3034</v>
      </c>
      <c r="D130" s="1">
        <v>46023.888981481483</v>
      </c>
      <c r="E130">
        <v>2424.6799999999998</v>
      </c>
      <c r="F130">
        <v>70.62</v>
      </c>
      <c r="G130">
        <v>2354.06</v>
      </c>
      <c r="H130" t="s">
        <v>25</v>
      </c>
      <c r="I130" t="s">
        <v>3064</v>
      </c>
      <c r="J130" t="s">
        <v>3036</v>
      </c>
      <c r="K130">
        <v>2424.6799999999998</v>
      </c>
      <c r="L130" t="b">
        <v>0</v>
      </c>
    </row>
    <row r="131" spans="1:12" x14ac:dyDescent="0.25">
      <c r="A131" t="s">
        <v>3205</v>
      </c>
      <c r="B131" t="s">
        <v>407</v>
      </c>
      <c r="C131" t="s">
        <v>3034</v>
      </c>
      <c r="D131" s="1">
        <v>46024.988043981481</v>
      </c>
      <c r="E131">
        <v>613.62</v>
      </c>
      <c r="F131">
        <v>18.09</v>
      </c>
      <c r="G131">
        <v>595.53</v>
      </c>
      <c r="H131" t="s">
        <v>25</v>
      </c>
      <c r="I131" t="s">
        <v>3038</v>
      </c>
      <c r="J131" t="s">
        <v>3036</v>
      </c>
      <c r="K131">
        <v>613.62</v>
      </c>
      <c r="L131" t="b">
        <v>0</v>
      </c>
    </row>
    <row r="132" spans="1:12" x14ac:dyDescent="0.25">
      <c r="A132" t="s">
        <v>3206</v>
      </c>
      <c r="B132" t="s">
        <v>410</v>
      </c>
      <c r="C132" t="s">
        <v>3034</v>
      </c>
      <c r="D132" s="1">
        <v>46026.060162037036</v>
      </c>
      <c r="E132">
        <v>673.44</v>
      </c>
      <c r="F132">
        <v>19.829999999999998</v>
      </c>
      <c r="G132">
        <v>653.61</v>
      </c>
      <c r="H132" t="s">
        <v>25</v>
      </c>
      <c r="I132" t="s">
        <v>3040</v>
      </c>
      <c r="J132" t="s">
        <v>3036</v>
      </c>
      <c r="K132">
        <v>673.44</v>
      </c>
      <c r="L132" t="b">
        <v>0</v>
      </c>
    </row>
    <row r="133" spans="1:12" x14ac:dyDescent="0.25">
      <c r="A133" t="s">
        <v>3207</v>
      </c>
      <c r="B133" t="s">
        <v>413</v>
      </c>
      <c r="C133" t="s">
        <v>3034</v>
      </c>
      <c r="D133" s="1">
        <v>46027.172060185185</v>
      </c>
      <c r="E133">
        <v>541.45000000000005</v>
      </c>
      <c r="F133">
        <v>16</v>
      </c>
      <c r="G133">
        <v>525.45000000000005</v>
      </c>
      <c r="H133" t="s">
        <v>52</v>
      </c>
      <c r="I133" t="s">
        <v>3128</v>
      </c>
      <c r="J133" t="s">
        <v>3036</v>
      </c>
      <c r="K133">
        <v>541.45000000000005</v>
      </c>
      <c r="L133" t="b">
        <v>0</v>
      </c>
    </row>
    <row r="134" spans="1:12" x14ac:dyDescent="0.25">
      <c r="A134" t="s">
        <v>3208</v>
      </c>
      <c r="B134" t="s">
        <v>416</v>
      </c>
      <c r="C134" t="s">
        <v>3034</v>
      </c>
      <c r="D134" s="1">
        <v>46027.251921296294</v>
      </c>
      <c r="E134">
        <v>2113.13</v>
      </c>
      <c r="F134">
        <v>61.58</v>
      </c>
      <c r="G134">
        <v>2051.5500000000002</v>
      </c>
      <c r="H134" t="s">
        <v>19</v>
      </c>
      <c r="I134" t="s">
        <v>3130</v>
      </c>
      <c r="J134" t="s">
        <v>3036</v>
      </c>
      <c r="K134">
        <v>2113.13</v>
      </c>
      <c r="L134" t="b">
        <v>0</v>
      </c>
    </row>
    <row r="135" spans="1:12" x14ac:dyDescent="0.25">
      <c r="A135" t="s">
        <v>3209</v>
      </c>
      <c r="B135" t="s">
        <v>419</v>
      </c>
      <c r="C135" t="s">
        <v>3034</v>
      </c>
      <c r="D135" s="1">
        <v>46028.362870370373</v>
      </c>
      <c r="E135">
        <v>1088.03</v>
      </c>
      <c r="F135">
        <v>31.85</v>
      </c>
      <c r="G135">
        <v>1056.18</v>
      </c>
      <c r="H135" t="s">
        <v>25</v>
      </c>
      <c r="I135" t="s">
        <v>3046</v>
      </c>
      <c r="J135" t="s">
        <v>3036</v>
      </c>
      <c r="K135">
        <v>1088.03</v>
      </c>
      <c r="L135" t="b">
        <v>0</v>
      </c>
    </row>
    <row r="136" spans="1:12" x14ac:dyDescent="0.25">
      <c r="A136" t="s">
        <v>3210</v>
      </c>
      <c r="B136" t="s">
        <v>422</v>
      </c>
      <c r="C136" t="s">
        <v>3034</v>
      </c>
      <c r="D136" s="1">
        <v>46029.463946759257</v>
      </c>
      <c r="E136">
        <v>324.87</v>
      </c>
      <c r="F136">
        <v>9.7200000000000006</v>
      </c>
      <c r="G136">
        <v>315.14999999999998</v>
      </c>
      <c r="H136" t="s">
        <v>25</v>
      </c>
      <c r="I136" t="s">
        <v>3048</v>
      </c>
      <c r="J136" t="s">
        <v>3036</v>
      </c>
      <c r="K136">
        <v>324.87</v>
      </c>
      <c r="L136" t="b">
        <v>0</v>
      </c>
    </row>
    <row r="137" spans="1:12" x14ac:dyDescent="0.25">
      <c r="A137" t="s">
        <v>3211</v>
      </c>
      <c r="B137" t="s">
        <v>425</v>
      </c>
      <c r="C137" t="s">
        <v>3034</v>
      </c>
      <c r="D137" s="1">
        <v>46030.555868055555</v>
      </c>
      <c r="E137">
        <v>745.15</v>
      </c>
      <c r="F137">
        <v>21.91</v>
      </c>
      <c r="G137">
        <v>723.24</v>
      </c>
      <c r="H137" t="s">
        <v>25</v>
      </c>
      <c r="I137" t="s">
        <v>3050</v>
      </c>
      <c r="J137" t="s">
        <v>3036</v>
      </c>
      <c r="K137">
        <v>745.15</v>
      </c>
      <c r="L137" t="b">
        <v>0</v>
      </c>
    </row>
    <row r="138" spans="1:12" x14ac:dyDescent="0.25">
      <c r="A138" t="s">
        <v>3212</v>
      </c>
      <c r="B138" t="s">
        <v>428</v>
      </c>
      <c r="C138" t="s">
        <v>3034</v>
      </c>
      <c r="D138" s="1">
        <v>46031.626331018517</v>
      </c>
      <c r="E138">
        <v>631.87</v>
      </c>
      <c r="F138">
        <v>18.62</v>
      </c>
      <c r="G138">
        <v>613.25</v>
      </c>
      <c r="H138" t="s">
        <v>25</v>
      </c>
      <c r="I138" t="s">
        <v>3052</v>
      </c>
      <c r="J138" t="s">
        <v>3036</v>
      </c>
      <c r="K138">
        <v>631.87</v>
      </c>
      <c r="L138" t="b">
        <v>0</v>
      </c>
    </row>
    <row r="139" spans="1:12" x14ac:dyDescent="0.25">
      <c r="A139" t="s">
        <v>3213</v>
      </c>
      <c r="B139" t="s">
        <v>428</v>
      </c>
      <c r="C139" t="s">
        <v>3076</v>
      </c>
      <c r="D139" s="1">
        <v>46032.619386574072</v>
      </c>
      <c r="E139">
        <v>-631.87</v>
      </c>
      <c r="F139">
        <v>0</v>
      </c>
      <c r="G139">
        <v>-631.87</v>
      </c>
      <c r="H139" t="s">
        <v>25</v>
      </c>
      <c r="I139" t="s">
        <v>3214</v>
      </c>
      <c r="J139" t="s">
        <v>3036</v>
      </c>
      <c r="K139">
        <v>-631.87</v>
      </c>
      <c r="L139" t="b">
        <v>0</v>
      </c>
    </row>
    <row r="140" spans="1:12" x14ac:dyDescent="0.25">
      <c r="A140" t="s">
        <v>3215</v>
      </c>
      <c r="B140" t="s">
        <v>432</v>
      </c>
      <c r="C140" t="s">
        <v>3034</v>
      </c>
      <c r="D140" s="1">
        <v>46032.725671296299</v>
      </c>
      <c r="E140">
        <v>2069.58</v>
      </c>
      <c r="F140">
        <v>60.32</v>
      </c>
      <c r="G140">
        <v>2009.26</v>
      </c>
      <c r="H140" t="s">
        <v>25</v>
      </c>
      <c r="I140" t="s">
        <v>3079</v>
      </c>
      <c r="J140" t="s">
        <v>3036</v>
      </c>
      <c r="K140">
        <v>2069.58</v>
      </c>
      <c r="L140" t="b">
        <v>0</v>
      </c>
    </row>
    <row r="141" spans="1:12" x14ac:dyDescent="0.25">
      <c r="A141" t="s">
        <v>3216</v>
      </c>
      <c r="B141" t="s">
        <v>435</v>
      </c>
      <c r="C141" t="s">
        <v>3034</v>
      </c>
      <c r="D141" s="1">
        <v>46033.818726851852</v>
      </c>
      <c r="E141">
        <v>1268.04</v>
      </c>
      <c r="F141">
        <v>37.07</v>
      </c>
      <c r="G141">
        <v>1230.97</v>
      </c>
      <c r="H141" t="s">
        <v>25</v>
      </c>
      <c r="I141" t="s">
        <v>3081</v>
      </c>
      <c r="J141" t="s">
        <v>3036</v>
      </c>
      <c r="K141">
        <v>1268.04</v>
      </c>
      <c r="L141" t="b">
        <v>0</v>
      </c>
    </row>
    <row r="142" spans="1:12" x14ac:dyDescent="0.25">
      <c r="A142" t="s">
        <v>3217</v>
      </c>
      <c r="B142" t="s">
        <v>438</v>
      </c>
      <c r="C142" t="s">
        <v>3034</v>
      </c>
      <c r="D142" s="1">
        <v>46034.910115740742</v>
      </c>
      <c r="E142">
        <v>733.11</v>
      </c>
      <c r="F142">
        <v>21.56</v>
      </c>
      <c r="G142">
        <v>711.55</v>
      </c>
      <c r="H142" t="s">
        <v>25</v>
      </c>
      <c r="I142" t="s">
        <v>3058</v>
      </c>
      <c r="J142" t="s">
        <v>3036</v>
      </c>
      <c r="K142">
        <v>733.11</v>
      </c>
      <c r="L142" t="b">
        <v>0</v>
      </c>
    </row>
    <row r="143" spans="1:12" x14ac:dyDescent="0.25">
      <c r="A143" t="s">
        <v>3218</v>
      </c>
      <c r="B143" t="s">
        <v>441</v>
      </c>
      <c r="C143" t="s">
        <v>3034</v>
      </c>
      <c r="D143" s="1">
        <v>46035.989317129628</v>
      </c>
      <c r="E143">
        <v>376.32</v>
      </c>
      <c r="F143">
        <v>11.21</v>
      </c>
      <c r="G143">
        <v>365.11</v>
      </c>
      <c r="H143" t="s">
        <v>25</v>
      </c>
      <c r="I143" t="s">
        <v>3060</v>
      </c>
      <c r="J143" t="s">
        <v>3036</v>
      </c>
      <c r="K143">
        <v>376.32</v>
      </c>
      <c r="L143" t="b">
        <v>0</v>
      </c>
    </row>
    <row r="144" spans="1:12" x14ac:dyDescent="0.25">
      <c r="A144" t="s">
        <v>3219</v>
      </c>
      <c r="B144" t="s">
        <v>444</v>
      </c>
      <c r="C144" t="s">
        <v>3034</v>
      </c>
      <c r="D144" s="1">
        <v>46037.069004629629</v>
      </c>
      <c r="E144">
        <v>1384.34</v>
      </c>
      <c r="F144">
        <v>40.450000000000003</v>
      </c>
      <c r="G144">
        <v>1343.89</v>
      </c>
      <c r="H144" t="s">
        <v>52</v>
      </c>
      <c r="I144" t="s">
        <v>3140</v>
      </c>
      <c r="J144" t="s">
        <v>3036</v>
      </c>
      <c r="K144">
        <v>1384.34</v>
      </c>
      <c r="L144" t="b">
        <v>0</v>
      </c>
    </row>
    <row r="145" spans="1:12" x14ac:dyDescent="0.25">
      <c r="A145" t="s">
        <v>3220</v>
      </c>
      <c r="B145" t="s">
        <v>447</v>
      </c>
      <c r="C145" t="s">
        <v>3034</v>
      </c>
      <c r="D145" s="1">
        <v>46024.16333333333</v>
      </c>
      <c r="E145">
        <v>56.53</v>
      </c>
      <c r="F145">
        <v>2.31</v>
      </c>
      <c r="G145">
        <v>54.22</v>
      </c>
      <c r="H145" t="s">
        <v>19</v>
      </c>
      <c r="I145" t="s">
        <v>3035</v>
      </c>
      <c r="J145" t="s">
        <v>3036</v>
      </c>
      <c r="K145">
        <v>56.53</v>
      </c>
      <c r="L145" t="b">
        <v>0</v>
      </c>
    </row>
    <row r="146" spans="1:12" x14ac:dyDescent="0.25">
      <c r="A146" t="s">
        <v>3221</v>
      </c>
      <c r="B146" t="s">
        <v>450</v>
      </c>
      <c r="C146" t="s">
        <v>3034</v>
      </c>
      <c r="D146" s="1">
        <v>46024.273981481485</v>
      </c>
      <c r="E146">
        <v>1571.63</v>
      </c>
      <c r="F146">
        <v>45.88</v>
      </c>
      <c r="G146">
        <v>1525.75</v>
      </c>
      <c r="H146" t="s">
        <v>25</v>
      </c>
      <c r="I146" t="s">
        <v>3038</v>
      </c>
      <c r="J146" t="s">
        <v>3036</v>
      </c>
      <c r="K146">
        <v>1571.63</v>
      </c>
      <c r="L146" t="b">
        <v>0</v>
      </c>
    </row>
    <row r="147" spans="1:12" x14ac:dyDescent="0.25">
      <c r="A147" t="s">
        <v>3222</v>
      </c>
      <c r="B147" t="s">
        <v>453</v>
      </c>
      <c r="C147" t="s">
        <v>3034</v>
      </c>
      <c r="D147" s="1">
        <v>46025.382141203707</v>
      </c>
      <c r="E147">
        <v>456.93</v>
      </c>
      <c r="F147">
        <v>13.55</v>
      </c>
      <c r="G147">
        <v>443.38</v>
      </c>
      <c r="H147" t="s">
        <v>25</v>
      </c>
      <c r="I147" t="s">
        <v>3040</v>
      </c>
      <c r="J147" t="s">
        <v>3036</v>
      </c>
      <c r="K147">
        <v>456.93</v>
      </c>
      <c r="L147" t="b">
        <v>0</v>
      </c>
    </row>
    <row r="148" spans="1:12" x14ac:dyDescent="0.25">
      <c r="A148" t="s">
        <v>3223</v>
      </c>
      <c r="B148" t="s">
        <v>456</v>
      </c>
      <c r="C148" t="s">
        <v>3034</v>
      </c>
      <c r="D148" s="1">
        <v>46026.444872685184</v>
      </c>
      <c r="E148">
        <v>1788.4</v>
      </c>
      <c r="F148">
        <v>52.16</v>
      </c>
      <c r="G148">
        <v>1736.24</v>
      </c>
      <c r="H148" t="s">
        <v>25</v>
      </c>
      <c r="I148" t="s">
        <v>3042</v>
      </c>
      <c r="J148" t="s">
        <v>3036</v>
      </c>
      <c r="K148">
        <v>1788.4</v>
      </c>
      <c r="L148" t="b">
        <v>0</v>
      </c>
    </row>
    <row r="149" spans="1:12" x14ac:dyDescent="0.25">
      <c r="A149" t="s">
        <v>3224</v>
      </c>
      <c r="B149" t="s">
        <v>459</v>
      </c>
      <c r="C149" t="s">
        <v>3034</v>
      </c>
      <c r="D149" s="1">
        <v>46027.563136574077</v>
      </c>
      <c r="E149">
        <v>318.39</v>
      </c>
      <c r="F149">
        <v>9.5299999999999994</v>
      </c>
      <c r="G149">
        <v>308.86</v>
      </c>
      <c r="H149" t="s">
        <v>25</v>
      </c>
      <c r="I149" t="s">
        <v>3068</v>
      </c>
      <c r="J149" t="s">
        <v>3036</v>
      </c>
      <c r="K149">
        <v>318.39</v>
      </c>
      <c r="L149" t="b">
        <v>0</v>
      </c>
    </row>
    <row r="150" spans="1:12" x14ac:dyDescent="0.25">
      <c r="A150" t="s">
        <v>3225</v>
      </c>
      <c r="B150" t="s">
        <v>462</v>
      </c>
      <c r="C150" t="s">
        <v>3034</v>
      </c>
      <c r="D150" s="1">
        <v>46028.64130787037</v>
      </c>
      <c r="E150">
        <v>1472.02</v>
      </c>
      <c r="F150">
        <v>42.99</v>
      </c>
      <c r="G150">
        <v>1429.03</v>
      </c>
      <c r="H150" t="s">
        <v>25</v>
      </c>
      <c r="I150" t="s">
        <v>3046</v>
      </c>
      <c r="J150" t="s">
        <v>3036</v>
      </c>
      <c r="K150">
        <v>1472.02</v>
      </c>
      <c r="L150" t="b">
        <v>0</v>
      </c>
    </row>
    <row r="151" spans="1:12" x14ac:dyDescent="0.25">
      <c r="A151" t="s">
        <v>3226</v>
      </c>
      <c r="B151" t="s">
        <v>462</v>
      </c>
      <c r="C151" t="s">
        <v>3076</v>
      </c>
      <c r="D151" s="1">
        <v>46029.634363425925</v>
      </c>
      <c r="E151">
        <v>-1472.02</v>
      </c>
      <c r="F151">
        <v>0</v>
      </c>
      <c r="G151">
        <v>-1472.02</v>
      </c>
      <c r="H151" t="s">
        <v>25</v>
      </c>
      <c r="I151" t="s">
        <v>3227</v>
      </c>
      <c r="J151" t="s">
        <v>3036</v>
      </c>
      <c r="K151">
        <v>-1472.02</v>
      </c>
      <c r="L151" t="b">
        <v>0</v>
      </c>
    </row>
    <row r="152" spans="1:12" x14ac:dyDescent="0.25">
      <c r="A152" t="s">
        <v>3228</v>
      </c>
      <c r="B152" t="s">
        <v>465</v>
      </c>
      <c r="C152" t="s">
        <v>3034</v>
      </c>
      <c r="D152" s="1">
        <v>46029.727719907409</v>
      </c>
      <c r="E152">
        <v>1304.6600000000001</v>
      </c>
      <c r="F152">
        <v>38.14</v>
      </c>
      <c r="G152">
        <v>1266.52</v>
      </c>
      <c r="H152" t="s">
        <v>25</v>
      </c>
      <c r="I152" t="s">
        <v>3048</v>
      </c>
      <c r="J152" t="s">
        <v>3036</v>
      </c>
      <c r="K152">
        <v>1304.6600000000001</v>
      </c>
      <c r="L152" t="b">
        <v>0</v>
      </c>
    </row>
    <row r="153" spans="1:12" x14ac:dyDescent="0.25">
      <c r="A153" t="s">
        <v>3229</v>
      </c>
      <c r="B153" t="s">
        <v>468</v>
      </c>
      <c r="C153" t="s">
        <v>3034</v>
      </c>
      <c r="D153" s="1">
        <v>46030.816261574073</v>
      </c>
      <c r="E153">
        <v>1711.02</v>
      </c>
      <c r="F153">
        <v>49.92</v>
      </c>
      <c r="G153">
        <v>1661.1</v>
      </c>
      <c r="H153" t="s">
        <v>25</v>
      </c>
      <c r="I153" t="s">
        <v>3050</v>
      </c>
      <c r="J153" t="s">
        <v>3036</v>
      </c>
      <c r="K153">
        <v>1711.02</v>
      </c>
      <c r="L153" t="b">
        <v>0</v>
      </c>
    </row>
    <row r="154" spans="1:12" x14ac:dyDescent="0.25">
      <c r="A154" t="s">
        <v>3230</v>
      </c>
      <c r="B154" t="s">
        <v>471</v>
      </c>
      <c r="C154" t="s">
        <v>3034</v>
      </c>
      <c r="D154" s="1">
        <v>46031.91196759259</v>
      </c>
      <c r="E154">
        <v>1122.5899999999999</v>
      </c>
      <c r="F154">
        <v>32.86</v>
      </c>
      <c r="G154">
        <v>1089.73</v>
      </c>
      <c r="H154" t="s">
        <v>25</v>
      </c>
      <c r="I154" t="s">
        <v>3052</v>
      </c>
      <c r="J154" t="s">
        <v>3036</v>
      </c>
      <c r="K154">
        <v>1122.5899999999999</v>
      </c>
      <c r="L154" t="b">
        <v>0</v>
      </c>
    </row>
    <row r="155" spans="1:12" x14ac:dyDescent="0.25">
      <c r="A155" t="s">
        <v>3231</v>
      </c>
      <c r="B155" t="s">
        <v>474</v>
      </c>
      <c r="C155" t="s">
        <v>3034</v>
      </c>
      <c r="D155" s="1">
        <v>46033.013865740744</v>
      </c>
      <c r="E155">
        <v>808.53</v>
      </c>
      <c r="F155">
        <v>23.75</v>
      </c>
      <c r="G155">
        <v>784.78</v>
      </c>
      <c r="H155" t="s">
        <v>52</v>
      </c>
      <c r="I155" t="s">
        <v>3054</v>
      </c>
      <c r="J155" t="s">
        <v>3036</v>
      </c>
      <c r="K155">
        <v>808.53</v>
      </c>
      <c r="L155" t="b">
        <v>0</v>
      </c>
    </row>
    <row r="156" spans="1:12" x14ac:dyDescent="0.25">
      <c r="A156" t="s">
        <v>3232</v>
      </c>
      <c r="B156" t="s">
        <v>477</v>
      </c>
      <c r="C156" t="s">
        <v>3034</v>
      </c>
      <c r="D156" s="1">
        <v>46034.090798611112</v>
      </c>
      <c r="E156">
        <v>1210.43</v>
      </c>
      <c r="F156">
        <v>35.4</v>
      </c>
      <c r="G156">
        <v>1175.03</v>
      </c>
      <c r="H156" t="s">
        <v>19</v>
      </c>
      <c r="I156" t="s">
        <v>3056</v>
      </c>
      <c r="J156" t="s">
        <v>3036</v>
      </c>
      <c r="K156">
        <v>1210.43</v>
      </c>
      <c r="L156" t="b">
        <v>0</v>
      </c>
    </row>
    <row r="157" spans="1:12" x14ac:dyDescent="0.25">
      <c r="A157" t="s">
        <v>3233</v>
      </c>
      <c r="B157" t="s">
        <v>480</v>
      </c>
      <c r="C157" t="s">
        <v>3034</v>
      </c>
      <c r="D157" s="1">
        <v>46035.202847222223</v>
      </c>
      <c r="E157">
        <v>1797.62</v>
      </c>
      <c r="F157">
        <v>52.43</v>
      </c>
      <c r="G157">
        <v>1745.19</v>
      </c>
      <c r="H157" t="s">
        <v>25</v>
      </c>
      <c r="I157" t="s">
        <v>3058</v>
      </c>
      <c r="J157" t="s">
        <v>3036</v>
      </c>
      <c r="K157">
        <v>1797.62</v>
      </c>
      <c r="L157" t="b">
        <v>0</v>
      </c>
    </row>
    <row r="158" spans="1:12" x14ac:dyDescent="0.25">
      <c r="A158" t="s">
        <v>3234</v>
      </c>
      <c r="B158" t="s">
        <v>483</v>
      </c>
      <c r="C158" t="s">
        <v>3034</v>
      </c>
      <c r="D158" s="1">
        <v>46035.265081018515</v>
      </c>
      <c r="E158">
        <v>2021.47</v>
      </c>
      <c r="F158">
        <v>58.92</v>
      </c>
      <c r="G158">
        <v>1962.55</v>
      </c>
      <c r="H158" t="s">
        <v>25</v>
      </c>
      <c r="I158" t="s">
        <v>3060</v>
      </c>
      <c r="J158" t="s">
        <v>3036</v>
      </c>
      <c r="K158">
        <v>2021.47</v>
      </c>
      <c r="L158" t="b">
        <v>0</v>
      </c>
    </row>
    <row r="159" spans="1:12" x14ac:dyDescent="0.25">
      <c r="A159" t="s">
        <v>3235</v>
      </c>
      <c r="B159" t="s">
        <v>486</v>
      </c>
      <c r="C159" t="s">
        <v>3034</v>
      </c>
      <c r="D159" s="1">
        <v>46036.384733796294</v>
      </c>
      <c r="E159">
        <v>2166.52</v>
      </c>
      <c r="F159">
        <v>63.13</v>
      </c>
      <c r="G159">
        <v>2103.39</v>
      </c>
      <c r="H159" t="s">
        <v>25</v>
      </c>
      <c r="I159" t="s">
        <v>3062</v>
      </c>
      <c r="J159" t="s">
        <v>3036</v>
      </c>
      <c r="K159">
        <v>2166.52</v>
      </c>
      <c r="L159" t="b">
        <v>0</v>
      </c>
    </row>
    <row r="160" spans="1:12" x14ac:dyDescent="0.25">
      <c r="A160" t="s">
        <v>3236</v>
      </c>
      <c r="B160" t="s">
        <v>489</v>
      </c>
      <c r="C160" t="s">
        <v>3034</v>
      </c>
      <c r="D160" s="1">
        <v>46023.453101851854</v>
      </c>
      <c r="E160">
        <v>575.04</v>
      </c>
      <c r="F160">
        <v>16.98</v>
      </c>
      <c r="G160">
        <v>558.05999999999995</v>
      </c>
      <c r="H160" t="s">
        <v>25</v>
      </c>
      <c r="I160" t="s">
        <v>3064</v>
      </c>
      <c r="J160" t="s">
        <v>3036</v>
      </c>
      <c r="K160">
        <v>575.04</v>
      </c>
      <c r="L160" t="b">
        <v>0</v>
      </c>
    </row>
    <row r="161" spans="1:12" x14ac:dyDescent="0.25">
      <c r="A161" t="s">
        <v>3237</v>
      </c>
      <c r="B161" t="s">
        <v>492</v>
      </c>
      <c r="C161" t="s">
        <v>3034</v>
      </c>
      <c r="D161" s="1">
        <v>46024.559687499997</v>
      </c>
      <c r="E161">
        <v>1054.1500000000001</v>
      </c>
      <c r="F161">
        <v>30.87</v>
      </c>
      <c r="G161">
        <v>1023.28</v>
      </c>
      <c r="H161" t="s">
        <v>25</v>
      </c>
      <c r="I161" t="s">
        <v>3038</v>
      </c>
      <c r="J161" t="s">
        <v>3036</v>
      </c>
      <c r="K161">
        <v>1054.1500000000001</v>
      </c>
      <c r="L161" t="b">
        <v>0</v>
      </c>
    </row>
    <row r="162" spans="1:12" x14ac:dyDescent="0.25">
      <c r="A162" t="s">
        <v>3238</v>
      </c>
      <c r="B162" t="s">
        <v>498</v>
      </c>
      <c r="C162" t="s">
        <v>3034</v>
      </c>
      <c r="D162" s="1">
        <v>46026.722442129627</v>
      </c>
      <c r="E162">
        <v>1756.56</v>
      </c>
      <c r="F162">
        <v>51.24</v>
      </c>
      <c r="G162">
        <v>1705.32</v>
      </c>
      <c r="H162" t="s">
        <v>25</v>
      </c>
      <c r="I162" t="s">
        <v>3042</v>
      </c>
      <c r="J162" t="s">
        <v>3036</v>
      </c>
      <c r="K162">
        <v>1756.56</v>
      </c>
      <c r="L162" t="b">
        <v>0</v>
      </c>
    </row>
    <row r="163" spans="1:12" x14ac:dyDescent="0.25">
      <c r="A163" t="s">
        <v>3239</v>
      </c>
      <c r="B163" t="s">
        <v>501</v>
      </c>
      <c r="C163" t="s">
        <v>3034</v>
      </c>
      <c r="D163" s="1">
        <v>46027.85050925926</v>
      </c>
      <c r="E163">
        <v>354.84</v>
      </c>
      <c r="F163">
        <v>10.59</v>
      </c>
      <c r="G163">
        <v>344.25</v>
      </c>
      <c r="H163" t="s">
        <v>25</v>
      </c>
      <c r="I163" t="s">
        <v>3068</v>
      </c>
      <c r="J163" t="s">
        <v>3036</v>
      </c>
      <c r="K163">
        <v>354.84</v>
      </c>
      <c r="L163" t="b">
        <v>0</v>
      </c>
    </row>
    <row r="164" spans="1:12" x14ac:dyDescent="0.25">
      <c r="A164" t="s">
        <v>3240</v>
      </c>
      <c r="B164" t="s">
        <v>504</v>
      </c>
      <c r="C164" t="s">
        <v>3034</v>
      </c>
      <c r="D164" s="1">
        <v>46028.942349537036</v>
      </c>
      <c r="E164">
        <v>2393.91</v>
      </c>
      <c r="F164">
        <v>69.72</v>
      </c>
      <c r="G164">
        <v>2324.19</v>
      </c>
      <c r="H164" t="s">
        <v>52</v>
      </c>
      <c r="I164" t="s">
        <v>3070</v>
      </c>
      <c r="J164" t="s">
        <v>3036</v>
      </c>
      <c r="K164">
        <v>2393.91</v>
      </c>
      <c r="L164" t="b">
        <v>0</v>
      </c>
    </row>
    <row r="165" spans="1:12" x14ac:dyDescent="0.25">
      <c r="A165" t="s">
        <v>3241</v>
      </c>
      <c r="B165" t="s">
        <v>507</v>
      </c>
      <c r="C165" t="s">
        <v>3034</v>
      </c>
      <c r="D165" s="1">
        <v>46030.006145833337</v>
      </c>
      <c r="E165">
        <v>1265.67</v>
      </c>
      <c r="F165">
        <v>37</v>
      </c>
      <c r="G165">
        <v>1228.67</v>
      </c>
      <c r="H165" t="s">
        <v>19</v>
      </c>
      <c r="I165" t="s">
        <v>3072</v>
      </c>
      <c r="J165" t="s">
        <v>3036</v>
      </c>
      <c r="K165">
        <v>1265.67</v>
      </c>
      <c r="L165" t="b">
        <v>0</v>
      </c>
    </row>
    <row r="166" spans="1:12" x14ac:dyDescent="0.25">
      <c r="A166" t="s">
        <v>3242</v>
      </c>
      <c r="B166" t="s">
        <v>510</v>
      </c>
      <c r="C166" t="s">
        <v>3034</v>
      </c>
      <c r="D166" s="1">
        <v>46031.114641203705</v>
      </c>
      <c r="E166">
        <v>1781.21</v>
      </c>
      <c r="F166">
        <v>51.96</v>
      </c>
      <c r="G166">
        <v>1729.25</v>
      </c>
      <c r="H166" t="s">
        <v>25</v>
      </c>
      <c r="I166" t="s">
        <v>3050</v>
      </c>
      <c r="J166" t="s">
        <v>3036</v>
      </c>
      <c r="K166">
        <v>1781.21</v>
      </c>
      <c r="L166" t="b">
        <v>0</v>
      </c>
    </row>
    <row r="167" spans="1:12" x14ac:dyDescent="0.25">
      <c r="A167" t="s">
        <v>3243</v>
      </c>
      <c r="B167" t="s">
        <v>513</v>
      </c>
      <c r="C167" t="s">
        <v>3034</v>
      </c>
      <c r="D167" s="1">
        <v>46032.178391203706</v>
      </c>
      <c r="E167">
        <v>2188.0500000000002</v>
      </c>
      <c r="F167">
        <v>63.75</v>
      </c>
      <c r="G167">
        <v>2124.3000000000002</v>
      </c>
      <c r="H167" t="s">
        <v>25</v>
      </c>
      <c r="I167" t="s">
        <v>3052</v>
      </c>
      <c r="J167" t="s">
        <v>3036</v>
      </c>
      <c r="K167">
        <v>2188.0500000000002</v>
      </c>
      <c r="L167" t="b">
        <v>0</v>
      </c>
    </row>
    <row r="168" spans="1:12" x14ac:dyDescent="0.25">
      <c r="A168" t="s">
        <v>3244</v>
      </c>
      <c r="B168" t="s">
        <v>516</v>
      </c>
      <c r="C168" t="s">
        <v>3034</v>
      </c>
      <c r="D168" s="1">
        <v>46032.28707175926</v>
      </c>
      <c r="E168">
        <v>1530.61</v>
      </c>
      <c r="F168">
        <v>44.69</v>
      </c>
      <c r="G168">
        <v>1485.92</v>
      </c>
      <c r="H168" t="s">
        <v>25</v>
      </c>
      <c r="I168" t="s">
        <v>3079</v>
      </c>
      <c r="J168" t="s">
        <v>3036</v>
      </c>
      <c r="K168">
        <v>1530.61</v>
      </c>
      <c r="L168" t="b">
        <v>0</v>
      </c>
    </row>
    <row r="169" spans="1:12" x14ac:dyDescent="0.25">
      <c r="A169" t="s">
        <v>3245</v>
      </c>
      <c r="B169" t="s">
        <v>519</v>
      </c>
      <c r="C169" t="s">
        <v>3034</v>
      </c>
      <c r="D169" s="1">
        <v>46033.379340277781</v>
      </c>
      <c r="E169">
        <v>335.84</v>
      </c>
      <c r="F169">
        <v>10.039999999999999</v>
      </c>
      <c r="G169">
        <v>325.8</v>
      </c>
      <c r="H169" t="s">
        <v>25</v>
      </c>
      <c r="I169" t="s">
        <v>3081</v>
      </c>
      <c r="J169" t="s">
        <v>3036</v>
      </c>
      <c r="K169">
        <v>335.84</v>
      </c>
      <c r="L169" t="b">
        <v>0</v>
      </c>
    </row>
    <row r="170" spans="1:12" x14ac:dyDescent="0.25">
      <c r="A170" t="s">
        <v>3245</v>
      </c>
      <c r="B170" t="s">
        <v>519</v>
      </c>
      <c r="C170" t="s">
        <v>3034</v>
      </c>
      <c r="D170" s="1">
        <v>46033.379340277781</v>
      </c>
      <c r="E170">
        <v>335.84</v>
      </c>
      <c r="F170">
        <v>10.039999999999999</v>
      </c>
      <c r="G170">
        <v>325.8</v>
      </c>
      <c r="H170" t="s">
        <v>25</v>
      </c>
      <c r="I170" t="s">
        <v>3081</v>
      </c>
      <c r="J170" t="s">
        <v>3036</v>
      </c>
      <c r="K170">
        <v>335.84</v>
      </c>
      <c r="L170" t="b">
        <v>0</v>
      </c>
    </row>
    <row r="171" spans="1:12" x14ac:dyDescent="0.25">
      <c r="A171" t="s">
        <v>3246</v>
      </c>
      <c r="B171" t="s">
        <v>522</v>
      </c>
      <c r="C171" t="s">
        <v>3034</v>
      </c>
      <c r="D171" s="1">
        <v>46034.491759259261</v>
      </c>
      <c r="E171">
        <v>2427.5</v>
      </c>
      <c r="F171">
        <v>70.7</v>
      </c>
      <c r="G171">
        <v>2356.8000000000002</v>
      </c>
      <c r="H171" t="s">
        <v>25</v>
      </c>
      <c r="I171" t="s">
        <v>3058</v>
      </c>
      <c r="J171" t="s">
        <v>3036</v>
      </c>
      <c r="K171">
        <v>2427.5</v>
      </c>
      <c r="L171" t="b">
        <v>0</v>
      </c>
    </row>
    <row r="172" spans="1:12" x14ac:dyDescent="0.25">
      <c r="A172" t="s">
        <v>3247</v>
      </c>
      <c r="B172" t="s">
        <v>525</v>
      </c>
      <c r="C172" t="s">
        <v>3034</v>
      </c>
      <c r="D172" s="1">
        <v>46035.557349537034</v>
      </c>
      <c r="E172">
        <v>971.48</v>
      </c>
      <c r="F172">
        <v>28.47</v>
      </c>
      <c r="G172">
        <v>943.01</v>
      </c>
      <c r="H172" t="s">
        <v>25</v>
      </c>
      <c r="I172" t="s">
        <v>3060</v>
      </c>
      <c r="J172" t="s">
        <v>3036</v>
      </c>
      <c r="K172">
        <v>971.48</v>
      </c>
      <c r="L172" t="b">
        <v>0</v>
      </c>
    </row>
    <row r="173" spans="1:12" x14ac:dyDescent="0.25">
      <c r="A173" t="s">
        <v>3248</v>
      </c>
      <c r="B173" t="s">
        <v>525</v>
      </c>
      <c r="C173" t="s">
        <v>3034</v>
      </c>
      <c r="D173" s="1">
        <v>46035.55804398148</v>
      </c>
      <c r="E173">
        <v>971.48</v>
      </c>
      <c r="F173">
        <v>28.47</v>
      </c>
      <c r="G173">
        <v>943.01</v>
      </c>
      <c r="H173" t="s">
        <v>25</v>
      </c>
      <c r="I173" t="s">
        <v>3060</v>
      </c>
      <c r="J173" t="s">
        <v>3036</v>
      </c>
      <c r="K173">
        <v>971.48</v>
      </c>
      <c r="L173" t="b">
        <v>0</v>
      </c>
    </row>
    <row r="174" spans="1:12" x14ac:dyDescent="0.25">
      <c r="A174" t="s">
        <v>3249</v>
      </c>
      <c r="B174" t="s">
        <v>528</v>
      </c>
      <c r="C174" t="s">
        <v>3034</v>
      </c>
      <c r="D174" s="1">
        <v>46036.674143518518</v>
      </c>
      <c r="E174">
        <v>1106.7</v>
      </c>
      <c r="F174">
        <v>32.39</v>
      </c>
      <c r="G174">
        <v>1074.31</v>
      </c>
      <c r="H174" t="s">
        <v>25</v>
      </c>
      <c r="I174" t="s">
        <v>3062</v>
      </c>
      <c r="J174" t="s">
        <v>3036</v>
      </c>
      <c r="K174">
        <v>1106.7</v>
      </c>
      <c r="L174" t="b">
        <v>0</v>
      </c>
    </row>
    <row r="175" spans="1:12" x14ac:dyDescent="0.25">
      <c r="A175" t="s">
        <v>3250</v>
      </c>
      <c r="B175" t="s">
        <v>531</v>
      </c>
      <c r="C175" t="s">
        <v>3034</v>
      </c>
      <c r="D175" s="1">
        <v>46023.741585648146</v>
      </c>
      <c r="E175">
        <v>277.01</v>
      </c>
      <c r="F175">
        <v>8.33</v>
      </c>
      <c r="G175">
        <v>268.68</v>
      </c>
      <c r="H175" t="s">
        <v>25</v>
      </c>
      <c r="I175" t="s">
        <v>3064</v>
      </c>
      <c r="J175" t="s">
        <v>3036</v>
      </c>
      <c r="K175">
        <v>277.01</v>
      </c>
      <c r="L175" t="b">
        <v>0</v>
      </c>
    </row>
    <row r="176" spans="1:12" x14ac:dyDescent="0.25">
      <c r="A176" t="s">
        <v>3250</v>
      </c>
      <c r="B176" t="s">
        <v>531</v>
      </c>
      <c r="C176" t="s">
        <v>3034</v>
      </c>
      <c r="D176" s="1">
        <v>46023.741585648146</v>
      </c>
      <c r="E176">
        <v>277.01</v>
      </c>
      <c r="F176">
        <v>8.33</v>
      </c>
      <c r="G176">
        <v>268.68</v>
      </c>
      <c r="H176" t="s">
        <v>25</v>
      </c>
      <c r="I176" t="s">
        <v>3064</v>
      </c>
      <c r="J176" t="s">
        <v>3036</v>
      </c>
      <c r="K176">
        <v>277.01</v>
      </c>
      <c r="L176" t="b">
        <v>0</v>
      </c>
    </row>
    <row r="177" spans="1:12" x14ac:dyDescent="0.25">
      <c r="A177" t="s">
        <v>3251</v>
      </c>
      <c r="B177" t="s">
        <v>534</v>
      </c>
      <c r="C177" t="s">
        <v>3034</v>
      </c>
      <c r="D177" s="1">
        <v>46024.851956018516</v>
      </c>
      <c r="E177">
        <v>586.04</v>
      </c>
      <c r="F177">
        <v>17.3</v>
      </c>
      <c r="G177">
        <v>568.74</v>
      </c>
      <c r="H177" t="s">
        <v>52</v>
      </c>
      <c r="I177" t="s">
        <v>3172</v>
      </c>
      <c r="J177" t="s">
        <v>3036</v>
      </c>
      <c r="K177">
        <v>586.04</v>
      </c>
      <c r="L177" t="b">
        <v>0</v>
      </c>
    </row>
    <row r="178" spans="1:12" x14ac:dyDescent="0.25">
      <c r="A178" t="s">
        <v>3252</v>
      </c>
      <c r="B178" t="s">
        <v>534</v>
      </c>
      <c r="C178" t="s">
        <v>3076</v>
      </c>
      <c r="D178" s="1">
        <v>46025.845011574071</v>
      </c>
      <c r="E178">
        <v>-293.02</v>
      </c>
      <c r="F178">
        <v>0</v>
      </c>
      <c r="G178">
        <v>-293.02</v>
      </c>
      <c r="H178" t="s">
        <v>52</v>
      </c>
      <c r="I178" t="s">
        <v>3253</v>
      </c>
      <c r="J178" t="s">
        <v>3036</v>
      </c>
      <c r="K178">
        <v>-293.02</v>
      </c>
      <c r="L178" t="b">
        <v>0</v>
      </c>
    </row>
    <row r="179" spans="1:12" x14ac:dyDescent="0.25">
      <c r="A179" t="s">
        <v>3254</v>
      </c>
      <c r="B179" t="s">
        <v>537</v>
      </c>
      <c r="C179" t="s">
        <v>3034</v>
      </c>
      <c r="D179" s="1">
        <v>46025.94935185185</v>
      </c>
      <c r="E179">
        <v>227.25</v>
      </c>
      <c r="F179">
        <v>6.89</v>
      </c>
      <c r="G179">
        <v>220.36</v>
      </c>
      <c r="H179" t="s">
        <v>19</v>
      </c>
      <c r="I179" t="s">
        <v>3174</v>
      </c>
      <c r="J179" t="s">
        <v>3036</v>
      </c>
      <c r="K179">
        <v>227.25</v>
      </c>
      <c r="L179" t="b">
        <v>0</v>
      </c>
    </row>
    <row r="180" spans="1:12" x14ac:dyDescent="0.25">
      <c r="A180" t="s">
        <v>3255</v>
      </c>
      <c r="B180" t="s">
        <v>540</v>
      </c>
      <c r="C180" t="s">
        <v>3034</v>
      </c>
      <c r="D180" s="1">
        <v>46027.008090277777</v>
      </c>
      <c r="E180">
        <v>123.15</v>
      </c>
      <c r="F180">
        <v>3.87</v>
      </c>
      <c r="G180">
        <v>119.28</v>
      </c>
      <c r="H180" t="s">
        <v>25</v>
      </c>
      <c r="I180" t="s">
        <v>3042</v>
      </c>
      <c r="J180" t="s">
        <v>3036</v>
      </c>
      <c r="K180">
        <v>123.15</v>
      </c>
      <c r="L180" t="b">
        <v>0</v>
      </c>
    </row>
    <row r="181" spans="1:12" x14ac:dyDescent="0.25">
      <c r="A181" t="s">
        <v>3256</v>
      </c>
      <c r="B181" t="s">
        <v>543</v>
      </c>
      <c r="C181" t="s">
        <v>3034</v>
      </c>
      <c r="D181" s="1">
        <v>46028.099062499998</v>
      </c>
      <c r="E181">
        <v>2116.92</v>
      </c>
      <c r="F181">
        <v>61.69</v>
      </c>
      <c r="G181">
        <v>2055.23</v>
      </c>
      <c r="H181" t="s">
        <v>25</v>
      </c>
      <c r="I181" t="s">
        <v>3068</v>
      </c>
      <c r="J181" t="s">
        <v>3036</v>
      </c>
      <c r="K181">
        <v>2116.92</v>
      </c>
      <c r="L181" t="b">
        <v>0</v>
      </c>
    </row>
    <row r="182" spans="1:12" x14ac:dyDescent="0.25">
      <c r="A182" t="s">
        <v>3257</v>
      </c>
      <c r="B182" t="s">
        <v>546</v>
      </c>
      <c r="C182" t="s">
        <v>3034</v>
      </c>
      <c r="D182" s="1">
        <v>46029.206643518519</v>
      </c>
      <c r="E182">
        <v>1762.77</v>
      </c>
      <c r="F182">
        <v>51.42</v>
      </c>
      <c r="G182">
        <v>1711.35</v>
      </c>
      <c r="H182" t="s">
        <v>25</v>
      </c>
      <c r="I182" t="s">
        <v>3046</v>
      </c>
      <c r="J182" t="s">
        <v>3036</v>
      </c>
      <c r="K182">
        <v>1762.77</v>
      </c>
      <c r="L182" t="b">
        <v>0</v>
      </c>
    </row>
    <row r="183" spans="1:12" x14ac:dyDescent="0.25">
      <c r="A183" t="s">
        <v>3258</v>
      </c>
      <c r="B183" t="s">
        <v>549</v>
      </c>
      <c r="C183" t="s">
        <v>3034</v>
      </c>
      <c r="D183" s="1">
        <v>46029.28565972222</v>
      </c>
      <c r="E183">
        <v>228.95</v>
      </c>
      <c r="F183">
        <v>6.94</v>
      </c>
      <c r="G183">
        <v>222.01</v>
      </c>
      <c r="H183" t="s">
        <v>25</v>
      </c>
      <c r="I183" t="s">
        <v>3048</v>
      </c>
      <c r="J183" t="s">
        <v>3036</v>
      </c>
      <c r="K183">
        <v>228.95</v>
      </c>
      <c r="L183" t="b">
        <v>0</v>
      </c>
    </row>
    <row r="184" spans="1:12" x14ac:dyDescent="0.25">
      <c r="A184" t="s">
        <v>3258</v>
      </c>
      <c r="B184" t="s">
        <v>549</v>
      </c>
      <c r="C184" t="s">
        <v>3034</v>
      </c>
      <c r="D184" s="1">
        <v>46029.28565972222</v>
      </c>
      <c r="E184">
        <v>228.95</v>
      </c>
      <c r="F184">
        <v>6.94</v>
      </c>
      <c r="G184">
        <v>222.01</v>
      </c>
      <c r="H184" t="s">
        <v>25</v>
      </c>
      <c r="I184" t="s">
        <v>3048</v>
      </c>
      <c r="J184" t="s">
        <v>3036</v>
      </c>
      <c r="K184">
        <v>228.95</v>
      </c>
      <c r="L184" t="b">
        <v>0</v>
      </c>
    </row>
    <row r="185" spans="1:12" x14ac:dyDescent="0.25">
      <c r="A185" t="s">
        <v>3259</v>
      </c>
      <c r="B185" t="s">
        <v>552</v>
      </c>
      <c r="C185" t="s">
        <v>3034</v>
      </c>
      <c r="D185" s="1">
        <v>46030.390914351854</v>
      </c>
      <c r="E185">
        <v>936.29</v>
      </c>
      <c r="F185">
        <v>27.82</v>
      </c>
      <c r="G185">
        <v>908.47</v>
      </c>
      <c r="H185" t="s">
        <v>25</v>
      </c>
      <c r="I185" t="s">
        <v>3050</v>
      </c>
      <c r="J185" t="s">
        <v>3036</v>
      </c>
      <c r="K185">
        <v>936.29</v>
      </c>
      <c r="L185" t="b">
        <v>0</v>
      </c>
    </row>
    <row r="186" spans="1:12" x14ac:dyDescent="0.25">
      <c r="A186" t="s">
        <v>3260</v>
      </c>
      <c r="B186" t="s">
        <v>555</v>
      </c>
      <c r="C186" t="s">
        <v>3034</v>
      </c>
      <c r="D186" s="1">
        <v>46031.482037037036</v>
      </c>
      <c r="E186">
        <v>2409.42</v>
      </c>
      <c r="F186">
        <v>70.17</v>
      </c>
      <c r="G186">
        <v>2339.25</v>
      </c>
      <c r="H186" t="s">
        <v>25</v>
      </c>
      <c r="I186" t="s">
        <v>3052</v>
      </c>
      <c r="J186" t="s">
        <v>3036</v>
      </c>
      <c r="K186">
        <v>2409.42</v>
      </c>
      <c r="L186" t="b">
        <v>0</v>
      </c>
    </row>
    <row r="187" spans="1:12" x14ac:dyDescent="0.25">
      <c r="A187" t="s">
        <v>3261</v>
      </c>
      <c r="B187" t="s">
        <v>558</v>
      </c>
      <c r="C187" t="s">
        <v>3034</v>
      </c>
      <c r="D187" s="1">
        <v>46032.552604166667</v>
      </c>
      <c r="E187">
        <v>846.48</v>
      </c>
      <c r="F187">
        <v>24.85</v>
      </c>
      <c r="G187">
        <v>821.63</v>
      </c>
      <c r="H187" t="s">
        <v>25</v>
      </c>
      <c r="I187" t="s">
        <v>3079</v>
      </c>
      <c r="J187" t="s">
        <v>3036</v>
      </c>
      <c r="K187">
        <v>846.48</v>
      </c>
      <c r="L187" t="b">
        <v>0</v>
      </c>
    </row>
    <row r="188" spans="1:12" x14ac:dyDescent="0.25">
      <c r="A188" t="s">
        <v>3262</v>
      </c>
      <c r="B188" t="s">
        <v>561</v>
      </c>
      <c r="C188" t="s">
        <v>3034</v>
      </c>
      <c r="D188" s="1">
        <v>46033.651678240742</v>
      </c>
      <c r="E188">
        <v>1537.88</v>
      </c>
      <c r="F188">
        <v>44.9</v>
      </c>
      <c r="G188">
        <v>1492.98</v>
      </c>
      <c r="H188" t="s">
        <v>25</v>
      </c>
      <c r="I188" t="s">
        <v>3081</v>
      </c>
      <c r="J188" t="s">
        <v>3036</v>
      </c>
      <c r="K188">
        <v>1537.88</v>
      </c>
      <c r="L188" t="b">
        <v>0</v>
      </c>
    </row>
    <row r="189" spans="1:12" x14ac:dyDescent="0.25">
      <c r="A189" t="s">
        <v>3263</v>
      </c>
      <c r="B189" t="s">
        <v>564</v>
      </c>
      <c r="C189" t="s">
        <v>3034</v>
      </c>
      <c r="D189" s="1">
        <v>46034.753391203703</v>
      </c>
      <c r="E189">
        <v>756.46</v>
      </c>
      <c r="F189">
        <v>22.24</v>
      </c>
      <c r="G189">
        <v>734.22</v>
      </c>
      <c r="H189" t="s">
        <v>52</v>
      </c>
      <c r="I189" t="s">
        <v>3102</v>
      </c>
      <c r="J189" t="s">
        <v>3036</v>
      </c>
      <c r="K189">
        <v>756.46</v>
      </c>
      <c r="L189" t="b">
        <v>0</v>
      </c>
    </row>
    <row r="190" spans="1:12" x14ac:dyDescent="0.25">
      <c r="A190" t="s">
        <v>3264</v>
      </c>
      <c r="B190" t="s">
        <v>567</v>
      </c>
      <c r="C190" t="s">
        <v>3034</v>
      </c>
      <c r="D190" s="1">
        <v>46035.827245370368</v>
      </c>
      <c r="E190">
        <v>1404.28</v>
      </c>
      <c r="F190">
        <v>41.02</v>
      </c>
      <c r="G190">
        <v>1363.26</v>
      </c>
      <c r="H190" t="s">
        <v>19</v>
      </c>
      <c r="I190" t="s">
        <v>3186</v>
      </c>
      <c r="J190" t="s">
        <v>3036</v>
      </c>
      <c r="K190">
        <v>1404.28</v>
      </c>
      <c r="L190" t="b">
        <v>0</v>
      </c>
    </row>
    <row r="191" spans="1:12" x14ac:dyDescent="0.25">
      <c r="A191" t="s">
        <v>3265</v>
      </c>
      <c r="B191" t="s">
        <v>570</v>
      </c>
      <c r="C191" t="s">
        <v>3034</v>
      </c>
      <c r="D191" s="1">
        <v>46036.923229166663</v>
      </c>
      <c r="E191">
        <v>990.93</v>
      </c>
      <c r="F191">
        <v>29.04</v>
      </c>
      <c r="G191">
        <v>961.89</v>
      </c>
      <c r="H191" t="s">
        <v>25</v>
      </c>
      <c r="I191" t="s">
        <v>3062</v>
      </c>
      <c r="J191" t="s">
        <v>3036</v>
      </c>
      <c r="K191">
        <v>990.93</v>
      </c>
      <c r="L191" t="b">
        <v>0</v>
      </c>
    </row>
    <row r="192" spans="1:12" x14ac:dyDescent="0.25">
      <c r="A192" t="s">
        <v>3266</v>
      </c>
      <c r="B192" t="s">
        <v>573</v>
      </c>
      <c r="C192" t="s">
        <v>3034</v>
      </c>
      <c r="D192" s="1">
        <v>46024.012662037036</v>
      </c>
      <c r="E192">
        <v>1360.99</v>
      </c>
      <c r="F192">
        <v>39.770000000000003</v>
      </c>
      <c r="G192">
        <v>1321.22</v>
      </c>
      <c r="H192" t="s">
        <v>25</v>
      </c>
      <c r="I192" t="s">
        <v>3267</v>
      </c>
      <c r="J192" t="s">
        <v>3036</v>
      </c>
      <c r="K192">
        <v>1360.99</v>
      </c>
      <c r="L192" t="b">
        <v>0</v>
      </c>
    </row>
    <row r="193" spans="1:12" x14ac:dyDescent="0.25">
      <c r="A193" t="s">
        <v>3268</v>
      </c>
      <c r="B193" t="s">
        <v>576</v>
      </c>
      <c r="C193" t="s">
        <v>3034</v>
      </c>
      <c r="D193" s="1">
        <v>46025.124918981484</v>
      </c>
      <c r="E193">
        <v>804.89</v>
      </c>
      <c r="F193">
        <v>23.64</v>
      </c>
      <c r="G193">
        <v>781.25</v>
      </c>
      <c r="H193" t="s">
        <v>25</v>
      </c>
      <c r="I193" t="s">
        <v>3038</v>
      </c>
      <c r="J193" t="s">
        <v>3036</v>
      </c>
      <c r="K193">
        <v>804.89</v>
      </c>
      <c r="L193" t="b">
        <v>0</v>
      </c>
    </row>
    <row r="194" spans="1:12" x14ac:dyDescent="0.25">
      <c r="A194" t="s">
        <v>3269</v>
      </c>
      <c r="B194" t="s">
        <v>579</v>
      </c>
      <c r="C194" t="s">
        <v>3034</v>
      </c>
      <c r="D194" s="1">
        <v>46026.202824074076</v>
      </c>
      <c r="E194">
        <v>518.08000000000004</v>
      </c>
      <c r="F194">
        <v>15.32</v>
      </c>
      <c r="G194">
        <v>502.76</v>
      </c>
      <c r="H194" t="s">
        <v>25</v>
      </c>
      <c r="I194" t="s">
        <v>3040</v>
      </c>
      <c r="J194" t="s">
        <v>3036</v>
      </c>
      <c r="K194">
        <v>518.08000000000004</v>
      </c>
      <c r="L194" t="b">
        <v>0</v>
      </c>
    </row>
    <row r="195" spans="1:12" x14ac:dyDescent="0.25">
      <c r="A195" t="s">
        <v>3270</v>
      </c>
      <c r="B195" t="s">
        <v>579</v>
      </c>
      <c r="C195" t="s">
        <v>3076</v>
      </c>
      <c r="D195" s="1">
        <v>46027.195879629631</v>
      </c>
      <c r="E195">
        <v>-518.08000000000004</v>
      </c>
      <c r="F195">
        <v>0</v>
      </c>
      <c r="G195">
        <v>-518.08000000000004</v>
      </c>
      <c r="H195" t="s">
        <v>25</v>
      </c>
      <c r="I195" t="s">
        <v>3271</v>
      </c>
      <c r="J195" t="s">
        <v>3036</v>
      </c>
      <c r="K195">
        <v>-518.08000000000004</v>
      </c>
      <c r="L195" t="b">
        <v>0</v>
      </c>
    </row>
    <row r="196" spans="1:12" x14ac:dyDescent="0.25">
      <c r="A196" t="s">
        <v>3272</v>
      </c>
      <c r="B196" t="s">
        <v>582</v>
      </c>
      <c r="C196" t="s">
        <v>3034</v>
      </c>
      <c r="D196" s="1">
        <v>46026.309074074074</v>
      </c>
      <c r="E196">
        <v>2048.58</v>
      </c>
      <c r="F196">
        <v>59.71</v>
      </c>
      <c r="G196">
        <v>1988.87</v>
      </c>
      <c r="H196" t="s">
        <v>25</v>
      </c>
      <c r="I196" t="s">
        <v>3042</v>
      </c>
      <c r="J196" t="s">
        <v>3036</v>
      </c>
      <c r="K196">
        <v>2048.58</v>
      </c>
      <c r="L196" t="b">
        <v>0</v>
      </c>
    </row>
    <row r="197" spans="1:12" x14ac:dyDescent="0.25">
      <c r="A197" t="s">
        <v>3273</v>
      </c>
      <c r="B197" t="s">
        <v>585</v>
      </c>
      <c r="C197" t="s">
        <v>3034</v>
      </c>
      <c r="D197" s="1">
        <v>46027.410115740742</v>
      </c>
      <c r="E197">
        <v>207.87</v>
      </c>
      <c r="F197">
        <v>6.33</v>
      </c>
      <c r="G197">
        <v>201.54</v>
      </c>
      <c r="H197" t="s">
        <v>25</v>
      </c>
      <c r="I197" t="s">
        <v>3068</v>
      </c>
      <c r="J197" t="s">
        <v>3036</v>
      </c>
      <c r="K197">
        <v>207.87</v>
      </c>
      <c r="L197" t="b">
        <v>0</v>
      </c>
    </row>
    <row r="198" spans="1:12" x14ac:dyDescent="0.25">
      <c r="A198" t="s">
        <v>3274</v>
      </c>
      <c r="B198" t="s">
        <v>588</v>
      </c>
      <c r="C198" t="s">
        <v>3034</v>
      </c>
      <c r="D198" s="1">
        <v>46028.498900462961</v>
      </c>
      <c r="E198">
        <v>359.8</v>
      </c>
      <c r="F198">
        <v>10.73</v>
      </c>
      <c r="G198">
        <v>349.07</v>
      </c>
      <c r="H198" t="s">
        <v>25</v>
      </c>
      <c r="I198" t="s">
        <v>3046</v>
      </c>
      <c r="J198" t="s">
        <v>3036</v>
      </c>
      <c r="K198">
        <v>359.8</v>
      </c>
      <c r="L198" t="b">
        <v>0</v>
      </c>
    </row>
    <row r="199" spans="1:12" x14ac:dyDescent="0.25">
      <c r="A199" t="s">
        <v>3275</v>
      </c>
      <c r="B199" t="s">
        <v>591</v>
      </c>
      <c r="C199" t="s">
        <v>3034</v>
      </c>
      <c r="D199" s="1">
        <v>46029.580694444441</v>
      </c>
      <c r="E199">
        <v>286.99</v>
      </c>
      <c r="F199">
        <v>8.6199999999999992</v>
      </c>
      <c r="G199">
        <v>278.37</v>
      </c>
      <c r="H199" t="s">
        <v>25</v>
      </c>
      <c r="I199" t="s">
        <v>3048</v>
      </c>
      <c r="J199" t="s">
        <v>3036</v>
      </c>
      <c r="K199">
        <v>286.99</v>
      </c>
      <c r="L199" t="b">
        <v>0</v>
      </c>
    </row>
    <row r="200" spans="1:12" x14ac:dyDescent="0.25">
      <c r="A200" t="s">
        <v>3276</v>
      </c>
      <c r="B200" t="s">
        <v>594</v>
      </c>
      <c r="C200" t="s">
        <v>3034</v>
      </c>
      <c r="D200" s="1">
        <v>46030.651782407411</v>
      </c>
      <c r="E200">
        <v>878.65</v>
      </c>
      <c r="F200">
        <v>25.78</v>
      </c>
      <c r="G200">
        <v>852.87</v>
      </c>
      <c r="H200" t="s">
        <v>52</v>
      </c>
      <c r="I200" t="s">
        <v>3115</v>
      </c>
      <c r="J200" t="s">
        <v>3036</v>
      </c>
      <c r="K200">
        <v>878.65</v>
      </c>
      <c r="L200" t="b">
        <v>0</v>
      </c>
    </row>
    <row r="201" spans="1:12" x14ac:dyDescent="0.25">
      <c r="A201" t="s">
        <v>3277</v>
      </c>
      <c r="B201" t="s">
        <v>594</v>
      </c>
      <c r="C201" t="s">
        <v>3076</v>
      </c>
      <c r="D201" s="1">
        <v>46031.644837962966</v>
      </c>
      <c r="E201">
        <v>-439.33</v>
      </c>
      <c r="F201">
        <v>0</v>
      </c>
      <c r="G201">
        <v>-439.33</v>
      </c>
      <c r="H201" t="s">
        <v>52</v>
      </c>
      <c r="I201" t="s">
        <v>3278</v>
      </c>
      <c r="J201" t="s">
        <v>3036</v>
      </c>
      <c r="K201">
        <v>-439.33</v>
      </c>
      <c r="L201" t="b">
        <v>0</v>
      </c>
    </row>
    <row r="202" spans="1:12" x14ac:dyDescent="0.25">
      <c r="A202" t="s">
        <v>3279</v>
      </c>
      <c r="B202" t="s">
        <v>597</v>
      </c>
      <c r="C202" t="s">
        <v>3034</v>
      </c>
      <c r="D202" s="1">
        <v>46031.766226851854</v>
      </c>
      <c r="E202">
        <v>1254.72</v>
      </c>
      <c r="F202">
        <v>36.69</v>
      </c>
      <c r="G202">
        <v>1218.03</v>
      </c>
      <c r="H202" t="s">
        <v>19</v>
      </c>
      <c r="I202" t="s">
        <v>3117</v>
      </c>
      <c r="J202" t="s">
        <v>3036</v>
      </c>
      <c r="K202">
        <v>1254.72</v>
      </c>
      <c r="L202" t="b">
        <v>0</v>
      </c>
    </row>
    <row r="203" spans="1:12" x14ac:dyDescent="0.25">
      <c r="A203" t="s">
        <v>3280</v>
      </c>
      <c r="B203" t="s">
        <v>600</v>
      </c>
      <c r="C203" t="s">
        <v>3034</v>
      </c>
      <c r="D203" s="1">
        <v>46032.84578703704</v>
      </c>
      <c r="E203">
        <v>1961.44</v>
      </c>
      <c r="F203">
        <v>57.18</v>
      </c>
      <c r="G203">
        <v>1904.26</v>
      </c>
      <c r="H203" t="s">
        <v>25</v>
      </c>
      <c r="I203" t="s">
        <v>3079</v>
      </c>
      <c r="J203" t="s">
        <v>3036</v>
      </c>
      <c r="K203">
        <v>1961.44</v>
      </c>
      <c r="L203" t="b">
        <v>0</v>
      </c>
    </row>
    <row r="204" spans="1:12" x14ac:dyDescent="0.25">
      <c r="A204" t="s">
        <v>3281</v>
      </c>
      <c r="B204" t="s">
        <v>603</v>
      </c>
      <c r="C204" t="s">
        <v>3034</v>
      </c>
      <c r="D204" s="1">
        <v>46033.965509259258</v>
      </c>
      <c r="E204">
        <v>534.15</v>
      </c>
      <c r="F204">
        <v>15.79</v>
      </c>
      <c r="G204">
        <v>518.36</v>
      </c>
      <c r="H204" t="s">
        <v>25</v>
      </c>
      <c r="I204" t="s">
        <v>3282</v>
      </c>
      <c r="J204" t="s">
        <v>3036</v>
      </c>
      <c r="K204">
        <v>534.15</v>
      </c>
      <c r="L204" t="b">
        <v>0</v>
      </c>
    </row>
    <row r="205" spans="1:12" x14ac:dyDescent="0.25">
      <c r="A205" t="s">
        <v>3283</v>
      </c>
      <c r="B205" t="s">
        <v>606</v>
      </c>
      <c r="C205" t="s">
        <v>3034</v>
      </c>
      <c r="D205" s="1">
        <v>46035.055324074077</v>
      </c>
      <c r="E205">
        <v>532.47</v>
      </c>
      <c r="F205">
        <v>15.74</v>
      </c>
      <c r="G205">
        <v>516.73</v>
      </c>
      <c r="H205" t="s">
        <v>25</v>
      </c>
      <c r="I205" t="s">
        <v>3058</v>
      </c>
      <c r="J205" t="s">
        <v>3036</v>
      </c>
      <c r="K205">
        <v>532.47</v>
      </c>
      <c r="L205" t="b">
        <v>0</v>
      </c>
    </row>
    <row r="206" spans="1:12" x14ac:dyDescent="0.25">
      <c r="A206" t="s">
        <v>3284</v>
      </c>
      <c r="B206" t="s">
        <v>609</v>
      </c>
      <c r="C206" t="s">
        <v>3034</v>
      </c>
      <c r="D206" s="1">
        <v>46036.128877314812</v>
      </c>
      <c r="E206">
        <v>1548.97</v>
      </c>
      <c r="F206">
        <v>45.22</v>
      </c>
      <c r="G206">
        <v>1503.75</v>
      </c>
      <c r="H206" t="s">
        <v>25</v>
      </c>
      <c r="I206" t="s">
        <v>3060</v>
      </c>
      <c r="J206" t="s">
        <v>3036</v>
      </c>
      <c r="K206">
        <v>1548.97</v>
      </c>
      <c r="L206" t="b">
        <v>0</v>
      </c>
    </row>
    <row r="207" spans="1:12" x14ac:dyDescent="0.25">
      <c r="A207" t="s">
        <v>3285</v>
      </c>
      <c r="B207" t="s">
        <v>612</v>
      </c>
      <c r="C207" t="s">
        <v>3034</v>
      </c>
      <c r="D207" s="1">
        <v>46037.201053240744</v>
      </c>
      <c r="E207">
        <v>1318.53</v>
      </c>
      <c r="F207">
        <v>38.54</v>
      </c>
      <c r="G207">
        <v>1279.99</v>
      </c>
      <c r="H207" t="s">
        <v>25</v>
      </c>
      <c r="I207" t="s">
        <v>3062</v>
      </c>
      <c r="J207" t="s">
        <v>3036</v>
      </c>
      <c r="K207">
        <v>1318.53</v>
      </c>
      <c r="L207" t="b">
        <v>0</v>
      </c>
    </row>
    <row r="208" spans="1:12" x14ac:dyDescent="0.25">
      <c r="A208" t="s">
        <v>3285</v>
      </c>
      <c r="B208" t="s">
        <v>612</v>
      </c>
      <c r="C208" t="s">
        <v>3034</v>
      </c>
      <c r="D208" s="1">
        <v>46037.201053240744</v>
      </c>
      <c r="E208">
        <v>1318.53</v>
      </c>
      <c r="F208">
        <v>38.54</v>
      </c>
      <c r="G208">
        <v>1279.99</v>
      </c>
      <c r="H208" t="s">
        <v>25</v>
      </c>
      <c r="I208" t="s">
        <v>3062</v>
      </c>
      <c r="J208" t="s">
        <v>3036</v>
      </c>
      <c r="K208">
        <v>1318.53</v>
      </c>
      <c r="L208" t="b">
        <v>0</v>
      </c>
    </row>
    <row r="209" spans="1:12" x14ac:dyDescent="0.25">
      <c r="A209" t="s">
        <v>3286</v>
      </c>
      <c r="B209" t="s">
        <v>615</v>
      </c>
      <c r="C209" t="s">
        <v>3034</v>
      </c>
      <c r="D209" s="1">
        <v>46023.306076388886</v>
      </c>
      <c r="E209">
        <v>1074.4000000000001</v>
      </c>
      <c r="F209">
        <v>31.46</v>
      </c>
      <c r="G209">
        <v>1042.94</v>
      </c>
      <c r="H209" t="s">
        <v>25</v>
      </c>
      <c r="I209" t="s">
        <v>3064</v>
      </c>
      <c r="J209" t="s">
        <v>3036</v>
      </c>
      <c r="K209">
        <v>1074.4000000000001</v>
      </c>
      <c r="L209" t="b">
        <v>0</v>
      </c>
    </row>
    <row r="210" spans="1:12" x14ac:dyDescent="0.25">
      <c r="A210" t="s">
        <v>3287</v>
      </c>
      <c r="B210" t="s">
        <v>618</v>
      </c>
      <c r="C210" t="s">
        <v>3034</v>
      </c>
      <c r="D210" s="1">
        <v>46024.384710648148</v>
      </c>
      <c r="E210">
        <v>1036.1500000000001</v>
      </c>
      <c r="F210">
        <v>30.35</v>
      </c>
      <c r="G210">
        <v>1005.8</v>
      </c>
      <c r="H210" t="s">
        <v>25</v>
      </c>
      <c r="I210" t="s">
        <v>3038</v>
      </c>
      <c r="J210" t="s">
        <v>3036</v>
      </c>
      <c r="K210">
        <v>1036.1500000000001</v>
      </c>
      <c r="L210" t="b">
        <v>0</v>
      </c>
    </row>
    <row r="211" spans="1:12" x14ac:dyDescent="0.25">
      <c r="A211" t="s">
        <v>3288</v>
      </c>
      <c r="B211" t="s">
        <v>621</v>
      </c>
      <c r="C211" t="s">
        <v>3034</v>
      </c>
      <c r="D211" s="1">
        <v>46025.511238425926</v>
      </c>
      <c r="E211">
        <v>837</v>
      </c>
      <c r="F211">
        <v>24.57</v>
      </c>
      <c r="G211">
        <v>812.43</v>
      </c>
      <c r="H211" t="s">
        <v>25</v>
      </c>
      <c r="I211" t="s">
        <v>3040</v>
      </c>
      <c r="J211" t="s">
        <v>3036</v>
      </c>
      <c r="K211">
        <v>837</v>
      </c>
      <c r="L211" t="b">
        <v>0</v>
      </c>
    </row>
    <row r="212" spans="1:12" x14ac:dyDescent="0.25">
      <c r="A212" t="s">
        <v>3289</v>
      </c>
      <c r="B212" t="s">
        <v>624</v>
      </c>
      <c r="C212" t="s">
        <v>3034</v>
      </c>
      <c r="D212" s="1">
        <v>46026.597083333334</v>
      </c>
      <c r="E212">
        <v>2394.61</v>
      </c>
      <c r="F212">
        <v>69.739999999999995</v>
      </c>
      <c r="G212">
        <v>2324.87</v>
      </c>
      <c r="H212" t="s">
        <v>52</v>
      </c>
      <c r="I212" t="s">
        <v>3290</v>
      </c>
      <c r="J212" t="s">
        <v>3036</v>
      </c>
      <c r="K212">
        <v>2394.61</v>
      </c>
      <c r="L212" t="b">
        <v>0</v>
      </c>
    </row>
    <row r="213" spans="1:12" x14ac:dyDescent="0.25">
      <c r="A213" t="s">
        <v>3291</v>
      </c>
      <c r="B213" t="s">
        <v>627</v>
      </c>
      <c r="C213" t="s">
        <v>3034</v>
      </c>
      <c r="D213" s="1">
        <v>46027.6721412037</v>
      </c>
      <c r="E213">
        <v>241.73</v>
      </c>
      <c r="F213">
        <v>7.31</v>
      </c>
      <c r="G213">
        <v>234.42</v>
      </c>
      <c r="H213" t="s">
        <v>19</v>
      </c>
      <c r="I213" t="s">
        <v>3130</v>
      </c>
      <c r="J213" t="s">
        <v>3036</v>
      </c>
      <c r="K213">
        <v>241.73</v>
      </c>
      <c r="L213" t="b">
        <v>0</v>
      </c>
    </row>
    <row r="214" spans="1:12" x14ac:dyDescent="0.25">
      <c r="A214" t="s">
        <v>3292</v>
      </c>
      <c r="B214" t="s">
        <v>630</v>
      </c>
      <c r="C214" t="s">
        <v>3034</v>
      </c>
      <c r="D214" s="1">
        <v>46028.780775462961</v>
      </c>
      <c r="E214">
        <v>842.57</v>
      </c>
      <c r="F214">
        <v>24.73</v>
      </c>
      <c r="G214">
        <v>817.84</v>
      </c>
      <c r="H214" t="s">
        <v>25</v>
      </c>
      <c r="I214" t="s">
        <v>3293</v>
      </c>
      <c r="J214" t="s">
        <v>3036</v>
      </c>
      <c r="K214">
        <v>842.57</v>
      </c>
      <c r="L214" t="b">
        <v>0</v>
      </c>
    </row>
    <row r="215" spans="1:12" x14ac:dyDescent="0.25">
      <c r="A215" t="s">
        <v>3294</v>
      </c>
      <c r="B215" t="s">
        <v>633</v>
      </c>
      <c r="C215" t="s">
        <v>3034</v>
      </c>
      <c r="D215" s="1">
        <v>46029.855613425927</v>
      </c>
      <c r="E215">
        <v>135.47</v>
      </c>
      <c r="F215">
        <v>4.2300000000000004</v>
      </c>
      <c r="G215">
        <v>131.24</v>
      </c>
      <c r="H215" t="s">
        <v>25</v>
      </c>
      <c r="I215" t="s">
        <v>3048</v>
      </c>
      <c r="J215" t="s">
        <v>3036</v>
      </c>
      <c r="K215">
        <v>135.47</v>
      </c>
      <c r="L215" t="b">
        <v>0</v>
      </c>
    </row>
    <row r="216" spans="1:12" x14ac:dyDescent="0.25">
      <c r="A216" t="s">
        <v>3295</v>
      </c>
      <c r="B216" t="s">
        <v>636</v>
      </c>
      <c r="C216" t="s">
        <v>3034</v>
      </c>
      <c r="D216" s="1">
        <v>46030.972951388889</v>
      </c>
      <c r="E216">
        <v>1964.55</v>
      </c>
      <c r="F216">
        <v>57.27</v>
      </c>
      <c r="G216">
        <v>1907.28</v>
      </c>
      <c r="H216" t="s">
        <v>25</v>
      </c>
      <c r="I216" t="s">
        <v>3050</v>
      </c>
      <c r="J216" t="s">
        <v>3036</v>
      </c>
      <c r="K216">
        <v>1964.55</v>
      </c>
      <c r="L216" t="b">
        <v>0</v>
      </c>
    </row>
    <row r="217" spans="1:12" x14ac:dyDescent="0.25">
      <c r="A217" t="s">
        <v>3296</v>
      </c>
      <c r="B217" t="s">
        <v>639</v>
      </c>
      <c r="C217" t="s">
        <v>3034</v>
      </c>
      <c r="D217" s="1">
        <v>46032.044756944444</v>
      </c>
      <c r="E217">
        <v>16.93</v>
      </c>
      <c r="F217">
        <v>0.79</v>
      </c>
      <c r="G217">
        <v>16.14</v>
      </c>
      <c r="H217" t="s">
        <v>25</v>
      </c>
      <c r="I217" t="s">
        <v>3052</v>
      </c>
      <c r="J217" t="s">
        <v>3036</v>
      </c>
      <c r="K217">
        <v>16.93</v>
      </c>
      <c r="L217" t="b">
        <v>0</v>
      </c>
    </row>
    <row r="218" spans="1:12" x14ac:dyDescent="0.25">
      <c r="A218" t="s">
        <v>3297</v>
      </c>
      <c r="B218" t="s">
        <v>639</v>
      </c>
      <c r="C218" t="s">
        <v>3076</v>
      </c>
      <c r="D218" s="1">
        <v>46033.037812499999</v>
      </c>
      <c r="E218">
        <v>-16.93</v>
      </c>
      <c r="F218">
        <v>0</v>
      </c>
      <c r="G218">
        <v>-16.93</v>
      </c>
      <c r="H218" t="s">
        <v>25</v>
      </c>
      <c r="I218" t="s">
        <v>3298</v>
      </c>
      <c r="J218" t="s">
        <v>3036</v>
      </c>
      <c r="K218">
        <v>-16.93</v>
      </c>
      <c r="L218" t="b">
        <v>0</v>
      </c>
    </row>
    <row r="219" spans="1:12" x14ac:dyDescent="0.25">
      <c r="A219" t="s">
        <v>3299</v>
      </c>
      <c r="B219" t="s">
        <v>642</v>
      </c>
      <c r="C219" t="s">
        <v>3034</v>
      </c>
      <c r="D219" s="1">
        <v>46033.117442129631</v>
      </c>
      <c r="E219">
        <v>968.57</v>
      </c>
      <c r="F219">
        <v>28.39</v>
      </c>
      <c r="G219">
        <v>940.18</v>
      </c>
      <c r="H219" t="s">
        <v>25</v>
      </c>
      <c r="I219" t="s">
        <v>3079</v>
      </c>
      <c r="J219" t="s">
        <v>3036</v>
      </c>
      <c r="K219">
        <v>968.57</v>
      </c>
      <c r="L219" t="b">
        <v>0</v>
      </c>
    </row>
    <row r="220" spans="1:12" x14ac:dyDescent="0.25">
      <c r="A220" t="s">
        <v>3300</v>
      </c>
      <c r="B220" t="s">
        <v>645</v>
      </c>
      <c r="C220" t="s">
        <v>3034</v>
      </c>
      <c r="D220" s="1">
        <v>46034.227916666663</v>
      </c>
      <c r="E220">
        <v>1248.75</v>
      </c>
      <c r="F220">
        <v>36.51</v>
      </c>
      <c r="G220">
        <v>1212.24</v>
      </c>
      <c r="H220" t="s">
        <v>25</v>
      </c>
      <c r="I220" t="s">
        <v>3081</v>
      </c>
      <c r="J220" t="s">
        <v>3036</v>
      </c>
      <c r="K220">
        <v>1248.75</v>
      </c>
      <c r="L220" t="b">
        <v>0</v>
      </c>
    </row>
    <row r="221" spans="1:12" x14ac:dyDescent="0.25">
      <c r="A221" t="s">
        <v>3301</v>
      </c>
      <c r="B221" t="s">
        <v>648</v>
      </c>
      <c r="C221" t="s">
        <v>3034</v>
      </c>
      <c r="D221" s="1">
        <v>46034.329259259262</v>
      </c>
      <c r="E221">
        <v>927.6</v>
      </c>
      <c r="F221">
        <v>27.2</v>
      </c>
      <c r="G221">
        <v>900.4</v>
      </c>
      <c r="H221" t="s">
        <v>25</v>
      </c>
      <c r="I221" t="s">
        <v>3058</v>
      </c>
      <c r="J221" t="s">
        <v>3036</v>
      </c>
      <c r="K221">
        <v>927.6</v>
      </c>
      <c r="L221" t="b">
        <v>0</v>
      </c>
    </row>
    <row r="222" spans="1:12" x14ac:dyDescent="0.25">
      <c r="A222" t="s">
        <v>3302</v>
      </c>
      <c r="B222" t="s">
        <v>651</v>
      </c>
      <c r="C222" t="s">
        <v>3034</v>
      </c>
      <c r="D222" s="1">
        <v>46035.43072916667</v>
      </c>
      <c r="E222">
        <v>1670.52</v>
      </c>
      <c r="F222">
        <v>48.75</v>
      </c>
      <c r="G222">
        <v>1621.77</v>
      </c>
      <c r="H222" t="s">
        <v>25</v>
      </c>
      <c r="I222" t="s">
        <v>3060</v>
      </c>
      <c r="J222" t="s">
        <v>3036</v>
      </c>
      <c r="K222">
        <v>1670.52</v>
      </c>
      <c r="L222" t="b">
        <v>0</v>
      </c>
    </row>
    <row r="223" spans="1:12" x14ac:dyDescent="0.25">
      <c r="A223" t="s">
        <v>3303</v>
      </c>
      <c r="B223" t="s">
        <v>654</v>
      </c>
      <c r="C223" t="s">
        <v>3034</v>
      </c>
      <c r="D223" s="1">
        <v>46036.522349537037</v>
      </c>
      <c r="E223">
        <v>1813.02</v>
      </c>
      <c r="F223">
        <v>52.88</v>
      </c>
      <c r="G223">
        <v>1760.14</v>
      </c>
      <c r="H223" t="s">
        <v>52</v>
      </c>
      <c r="I223" t="s">
        <v>3140</v>
      </c>
      <c r="J223" t="s">
        <v>3036</v>
      </c>
      <c r="K223">
        <v>1813.02</v>
      </c>
      <c r="L223" t="b">
        <v>0</v>
      </c>
    </row>
    <row r="224" spans="1:12" x14ac:dyDescent="0.25">
      <c r="A224" t="s">
        <v>3304</v>
      </c>
      <c r="B224" t="s">
        <v>657</v>
      </c>
      <c r="C224" t="s">
        <v>3034</v>
      </c>
      <c r="D224" s="1">
        <v>46023.577696759261</v>
      </c>
      <c r="E224">
        <v>1005.75</v>
      </c>
      <c r="F224">
        <v>29.47</v>
      </c>
      <c r="G224">
        <v>976.28</v>
      </c>
      <c r="H224" t="s">
        <v>19</v>
      </c>
      <c r="I224" t="s">
        <v>3035</v>
      </c>
      <c r="J224" t="s">
        <v>3036</v>
      </c>
      <c r="K224">
        <v>1005.75</v>
      </c>
      <c r="L224" t="b">
        <v>0</v>
      </c>
    </row>
    <row r="225" spans="1:12" x14ac:dyDescent="0.25">
      <c r="A225" t="s">
        <v>3305</v>
      </c>
      <c r="B225" t="s">
        <v>660</v>
      </c>
      <c r="C225" t="s">
        <v>3034</v>
      </c>
      <c r="D225" s="1">
        <v>46024.674571759257</v>
      </c>
      <c r="E225">
        <v>1945.1</v>
      </c>
      <c r="F225">
        <v>56.71</v>
      </c>
      <c r="G225">
        <v>1888.39</v>
      </c>
      <c r="H225" t="s">
        <v>25</v>
      </c>
      <c r="I225" t="s">
        <v>3038</v>
      </c>
      <c r="J225" t="s">
        <v>3036</v>
      </c>
      <c r="K225">
        <v>1945.1</v>
      </c>
      <c r="L225" t="b">
        <v>0</v>
      </c>
    </row>
    <row r="226" spans="1:12" x14ac:dyDescent="0.25">
      <c r="A226" t="s">
        <v>3306</v>
      </c>
      <c r="B226" t="s">
        <v>663</v>
      </c>
      <c r="C226" t="s">
        <v>3034</v>
      </c>
      <c r="D226" s="1">
        <v>46025.799560185187</v>
      </c>
      <c r="E226">
        <v>1351.31</v>
      </c>
      <c r="F226">
        <v>39.49</v>
      </c>
      <c r="G226">
        <v>1311.82</v>
      </c>
      <c r="H226" t="s">
        <v>25</v>
      </c>
      <c r="I226" t="s">
        <v>3040</v>
      </c>
      <c r="J226" t="s">
        <v>3036</v>
      </c>
      <c r="K226">
        <v>1351.31</v>
      </c>
      <c r="L226" t="b">
        <v>0</v>
      </c>
    </row>
    <row r="227" spans="1:12" x14ac:dyDescent="0.25">
      <c r="A227" t="s">
        <v>3307</v>
      </c>
      <c r="B227" t="s">
        <v>663</v>
      </c>
      <c r="C227" t="s">
        <v>3076</v>
      </c>
      <c r="D227" s="1">
        <v>46026.792615740742</v>
      </c>
      <c r="E227">
        <v>-1351.31</v>
      </c>
      <c r="F227">
        <v>0</v>
      </c>
      <c r="G227">
        <v>-1351.31</v>
      </c>
      <c r="H227" t="s">
        <v>25</v>
      </c>
      <c r="I227" t="s">
        <v>3308</v>
      </c>
      <c r="J227" t="s">
        <v>3036</v>
      </c>
      <c r="K227">
        <v>-1351.31</v>
      </c>
      <c r="L227" t="b">
        <v>0</v>
      </c>
    </row>
    <row r="228" spans="1:12" x14ac:dyDescent="0.25">
      <c r="A228" t="s">
        <v>3309</v>
      </c>
      <c r="B228" t="s">
        <v>666</v>
      </c>
      <c r="C228" t="s">
        <v>3034</v>
      </c>
      <c r="D228" s="1">
        <v>46026.875810185185</v>
      </c>
      <c r="E228">
        <v>1909.84</v>
      </c>
      <c r="F228">
        <v>55.69</v>
      </c>
      <c r="G228">
        <v>1854.15</v>
      </c>
      <c r="H228" t="s">
        <v>25</v>
      </c>
      <c r="I228" t="s">
        <v>3042</v>
      </c>
      <c r="J228" t="s">
        <v>3036</v>
      </c>
      <c r="K228">
        <v>1909.84</v>
      </c>
      <c r="L228" t="b">
        <v>0</v>
      </c>
    </row>
    <row r="229" spans="1:12" x14ac:dyDescent="0.25">
      <c r="A229" t="s">
        <v>3310</v>
      </c>
      <c r="B229" t="s">
        <v>669</v>
      </c>
      <c r="C229" t="s">
        <v>3034</v>
      </c>
      <c r="D229" s="1">
        <v>46027.960115740738</v>
      </c>
      <c r="E229">
        <v>2302.15</v>
      </c>
      <c r="F229">
        <v>67.06</v>
      </c>
      <c r="G229">
        <v>2235.09</v>
      </c>
      <c r="H229" t="s">
        <v>25</v>
      </c>
      <c r="I229" t="s">
        <v>3068</v>
      </c>
      <c r="J229" t="s">
        <v>3036</v>
      </c>
      <c r="K229">
        <v>2302.15</v>
      </c>
      <c r="L229" t="b">
        <v>0</v>
      </c>
    </row>
    <row r="230" spans="1:12" x14ac:dyDescent="0.25">
      <c r="A230" t="s">
        <v>3311</v>
      </c>
      <c r="B230" t="s">
        <v>672</v>
      </c>
      <c r="C230" t="s">
        <v>3034</v>
      </c>
      <c r="D230" s="1">
        <v>46029.069097222222</v>
      </c>
      <c r="E230">
        <v>1161.3800000000001</v>
      </c>
      <c r="F230">
        <v>33.979999999999997</v>
      </c>
      <c r="G230">
        <v>1127.4000000000001</v>
      </c>
      <c r="H230" t="s">
        <v>25</v>
      </c>
      <c r="I230" t="s">
        <v>3046</v>
      </c>
      <c r="J230" t="s">
        <v>3036</v>
      </c>
      <c r="K230">
        <v>1161.3800000000001</v>
      </c>
      <c r="L230" t="b">
        <v>0</v>
      </c>
    </row>
    <row r="231" spans="1:12" x14ac:dyDescent="0.25">
      <c r="A231" t="s">
        <v>3312</v>
      </c>
      <c r="B231" t="s">
        <v>675</v>
      </c>
      <c r="C231" t="s">
        <v>3034</v>
      </c>
      <c r="D231" s="1">
        <v>46030.133460648147</v>
      </c>
      <c r="E231">
        <v>2030.24</v>
      </c>
      <c r="F231">
        <v>59.18</v>
      </c>
      <c r="G231">
        <v>1971.06</v>
      </c>
      <c r="H231" t="s">
        <v>25</v>
      </c>
      <c r="I231" t="s">
        <v>3048</v>
      </c>
      <c r="J231" t="s">
        <v>3036</v>
      </c>
      <c r="K231">
        <v>2030.24</v>
      </c>
      <c r="L231" t="b">
        <v>0</v>
      </c>
    </row>
    <row r="232" spans="1:12" x14ac:dyDescent="0.25">
      <c r="A232" t="s">
        <v>3313</v>
      </c>
      <c r="B232" t="s">
        <v>678</v>
      </c>
      <c r="C232" t="s">
        <v>3034</v>
      </c>
      <c r="D232" s="1">
        <v>46030.245625000003</v>
      </c>
      <c r="E232">
        <v>2262.42</v>
      </c>
      <c r="F232">
        <v>65.91</v>
      </c>
      <c r="G232">
        <v>2196.5100000000002</v>
      </c>
      <c r="H232" t="s">
        <v>25</v>
      </c>
      <c r="I232" t="s">
        <v>3050</v>
      </c>
      <c r="J232" t="s">
        <v>3036</v>
      </c>
      <c r="K232">
        <v>2262.42</v>
      </c>
      <c r="L232" t="b">
        <v>0</v>
      </c>
    </row>
    <row r="233" spans="1:12" x14ac:dyDescent="0.25">
      <c r="A233" t="s">
        <v>3314</v>
      </c>
      <c r="B233" t="s">
        <v>681</v>
      </c>
      <c r="C233" t="s">
        <v>3034</v>
      </c>
      <c r="D233" s="1">
        <v>46031.318113425928</v>
      </c>
      <c r="E233">
        <v>1805.68</v>
      </c>
      <c r="F233">
        <v>52.66</v>
      </c>
      <c r="G233">
        <v>1753.02</v>
      </c>
      <c r="H233" t="s">
        <v>25</v>
      </c>
      <c r="I233" t="s">
        <v>3052</v>
      </c>
      <c r="J233" t="s">
        <v>3036</v>
      </c>
      <c r="K233">
        <v>1805.68</v>
      </c>
      <c r="L233" t="b">
        <v>0</v>
      </c>
    </row>
    <row r="234" spans="1:12" x14ac:dyDescent="0.25">
      <c r="A234" t="s">
        <v>3315</v>
      </c>
      <c r="B234" t="s">
        <v>684</v>
      </c>
      <c r="C234" t="s">
        <v>3034</v>
      </c>
      <c r="D234" s="1">
        <v>46032.435995370368</v>
      </c>
      <c r="E234">
        <v>1168.05</v>
      </c>
      <c r="F234">
        <v>34.17</v>
      </c>
      <c r="G234">
        <v>1133.8800000000001</v>
      </c>
      <c r="H234" t="s">
        <v>52</v>
      </c>
      <c r="I234" t="s">
        <v>3054</v>
      </c>
      <c r="J234" t="s">
        <v>3036</v>
      </c>
      <c r="K234">
        <v>1168.05</v>
      </c>
      <c r="L234" t="b">
        <v>0</v>
      </c>
    </row>
    <row r="235" spans="1:12" x14ac:dyDescent="0.25">
      <c r="A235" t="s">
        <v>3316</v>
      </c>
      <c r="B235" t="s">
        <v>687</v>
      </c>
      <c r="C235" t="s">
        <v>3034</v>
      </c>
      <c r="D235" s="1">
        <v>46033.502245370371</v>
      </c>
      <c r="E235">
        <v>1552.4</v>
      </c>
      <c r="F235">
        <v>45.32</v>
      </c>
      <c r="G235">
        <v>1507.08</v>
      </c>
      <c r="H235" t="s">
        <v>19</v>
      </c>
      <c r="I235" t="s">
        <v>3056</v>
      </c>
      <c r="J235" t="s">
        <v>3036</v>
      </c>
      <c r="K235">
        <v>1552.4</v>
      </c>
      <c r="L235" t="b">
        <v>0</v>
      </c>
    </row>
    <row r="236" spans="1:12" x14ac:dyDescent="0.25">
      <c r="A236" t="s">
        <v>3317</v>
      </c>
      <c r="B236" t="s">
        <v>690</v>
      </c>
      <c r="C236" t="s">
        <v>3034</v>
      </c>
      <c r="D236" s="1">
        <v>46034.615891203706</v>
      </c>
      <c r="E236">
        <v>2162.27</v>
      </c>
      <c r="F236">
        <v>63.01</v>
      </c>
      <c r="G236">
        <v>2099.2600000000002</v>
      </c>
      <c r="H236" t="s">
        <v>25</v>
      </c>
      <c r="I236" t="s">
        <v>3058</v>
      </c>
      <c r="J236" t="s">
        <v>3036</v>
      </c>
      <c r="K236">
        <v>2162.27</v>
      </c>
      <c r="L236" t="b">
        <v>0</v>
      </c>
    </row>
    <row r="237" spans="1:12" x14ac:dyDescent="0.25">
      <c r="A237" t="s">
        <v>3318</v>
      </c>
      <c r="B237" t="s">
        <v>693</v>
      </c>
      <c r="C237" t="s">
        <v>3034</v>
      </c>
      <c r="D237" s="1">
        <v>46035.713576388887</v>
      </c>
      <c r="E237">
        <v>467.89</v>
      </c>
      <c r="F237">
        <v>13.87</v>
      </c>
      <c r="G237">
        <v>454.02</v>
      </c>
      <c r="H237" t="s">
        <v>25</v>
      </c>
      <c r="I237" t="s">
        <v>3060</v>
      </c>
      <c r="J237" t="s">
        <v>3036</v>
      </c>
      <c r="K237">
        <v>467.89</v>
      </c>
      <c r="L237" t="b">
        <v>0</v>
      </c>
    </row>
    <row r="238" spans="1:12" x14ac:dyDescent="0.25">
      <c r="A238" t="s">
        <v>3319</v>
      </c>
      <c r="B238" t="s">
        <v>696</v>
      </c>
      <c r="C238" t="s">
        <v>3034</v>
      </c>
      <c r="D238" s="1">
        <v>46036.786215277774</v>
      </c>
      <c r="E238">
        <v>127.66</v>
      </c>
      <c r="F238">
        <v>4</v>
      </c>
      <c r="G238">
        <v>123.66</v>
      </c>
      <c r="H238" t="s">
        <v>25</v>
      </c>
      <c r="I238" t="s">
        <v>3062</v>
      </c>
      <c r="J238" t="s">
        <v>3036</v>
      </c>
      <c r="K238">
        <v>127.66</v>
      </c>
      <c r="L238" t="b">
        <v>0</v>
      </c>
    </row>
    <row r="239" spans="1:12" x14ac:dyDescent="0.25">
      <c r="A239" t="s">
        <v>3320</v>
      </c>
      <c r="B239" t="s">
        <v>696</v>
      </c>
      <c r="C239" t="s">
        <v>3076</v>
      </c>
      <c r="D239" s="1">
        <v>46037.779270833336</v>
      </c>
      <c r="E239">
        <v>-127.66</v>
      </c>
      <c r="F239">
        <v>0</v>
      </c>
      <c r="G239">
        <v>-127.66</v>
      </c>
      <c r="H239" t="s">
        <v>25</v>
      </c>
      <c r="I239" t="s">
        <v>3321</v>
      </c>
      <c r="J239" t="s">
        <v>3036</v>
      </c>
      <c r="K239">
        <v>-127.66</v>
      </c>
      <c r="L239" t="b">
        <v>0</v>
      </c>
    </row>
    <row r="240" spans="1:12" x14ac:dyDescent="0.25">
      <c r="A240" t="s">
        <v>3322</v>
      </c>
      <c r="B240" t="s">
        <v>699</v>
      </c>
      <c r="C240" t="s">
        <v>3034</v>
      </c>
      <c r="D240" s="1">
        <v>46023.890567129631</v>
      </c>
      <c r="E240">
        <v>1487.55</v>
      </c>
      <c r="F240">
        <v>43.44</v>
      </c>
      <c r="G240">
        <v>1444.11</v>
      </c>
      <c r="H240" t="s">
        <v>25</v>
      </c>
      <c r="I240" t="s">
        <v>3064</v>
      </c>
      <c r="J240" t="s">
        <v>3036</v>
      </c>
      <c r="K240">
        <v>1487.55</v>
      </c>
      <c r="L240" t="b">
        <v>0</v>
      </c>
    </row>
    <row r="241" spans="1:12" x14ac:dyDescent="0.25">
      <c r="A241" t="s">
        <v>3323</v>
      </c>
      <c r="B241" t="s">
        <v>702</v>
      </c>
      <c r="C241" t="s">
        <v>3034</v>
      </c>
      <c r="D241" s="1">
        <v>46024.952256944445</v>
      </c>
      <c r="E241">
        <v>1814.14</v>
      </c>
      <c r="F241">
        <v>52.91</v>
      </c>
      <c r="G241">
        <v>1761.23</v>
      </c>
      <c r="H241" t="s">
        <v>25</v>
      </c>
      <c r="I241" t="s">
        <v>3038</v>
      </c>
      <c r="J241" t="s">
        <v>3036</v>
      </c>
      <c r="K241">
        <v>1814.14</v>
      </c>
      <c r="L241" t="b">
        <v>0</v>
      </c>
    </row>
    <row r="242" spans="1:12" x14ac:dyDescent="0.25">
      <c r="A242" t="s">
        <v>3324</v>
      </c>
      <c r="B242" t="s">
        <v>708</v>
      </c>
      <c r="C242" t="s">
        <v>3034</v>
      </c>
      <c r="D242" s="1">
        <v>46027.146770833337</v>
      </c>
      <c r="E242">
        <v>234.35</v>
      </c>
      <c r="F242">
        <v>7.1</v>
      </c>
      <c r="G242">
        <v>227.25</v>
      </c>
      <c r="H242" t="s">
        <v>25</v>
      </c>
      <c r="I242" t="s">
        <v>3042</v>
      </c>
      <c r="J242" t="s">
        <v>3036</v>
      </c>
      <c r="K242">
        <v>234.35</v>
      </c>
      <c r="L242" t="b">
        <v>0</v>
      </c>
    </row>
    <row r="243" spans="1:12" x14ac:dyDescent="0.25">
      <c r="A243" t="s">
        <v>3325</v>
      </c>
      <c r="B243" t="s">
        <v>711</v>
      </c>
      <c r="C243" t="s">
        <v>3034</v>
      </c>
      <c r="D243" s="1">
        <v>46027.259201388886</v>
      </c>
      <c r="E243">
        <v>1782.22</v>
      </c>
      <c r="F243">
        <v>51.98</v>
      </c>
      <c r="G243">
        <v>1730.24</v>
      </c>
      <c r="H243" t="s">
        <v>25</v>
      </c>
      <c r="I243" t="s">
        <v>3068</v>
      </c>
      <c r="J243" t="s">
        <v>3036</v>
      </c>
      <c r="K243">
        <v>1782.22</v>
      </c>
      <c r="L243" t="b">
        <v>0</v>
      </c>
    </row>
    <row r="244" spans="1:12" x14ac:dyDescent="0.25">
      <c r="A244" t="s">
        <v>3326</v>
      </c>
      <c r="B244" t="s">
        <v>714</v>
      </c>
      <c r="C244" t="s">
        <v>3034</v>
      </c>
      <c r="D244" s="1">
        <v>46028.354004629633</v>
      </c>
      <c r="E244">
        <v>1429.86</v>
      </c>
      <c r="F244">
        <v>41.77</v>
      </c>
      <c r="G244">
        <v>1388.09</v>
      </c>
      <c r="H244" t="s">
        <v>52</v>
      </c>
      <c r="I244" t="s">
        <v>3070</v>
      </c>
      <c r="J244" t="s">
        <v>3036</v>
      </c>
      <c r="K244">
        <v>1429.86</v>
      </c>
      <c r="L244" t="b">
        <v>0</v>
      </c>
    </row>
    <row r="245" spans="1:12" x14ac:dyDescent="0.25">
      <c r="A245" t="s">
        <v>3327</v>
      </c>
      <c r="B245" t="s">
        <v>714</v>
      </c>
      <c r="C245" t="s">
        <v>3076</v>
      </c>
      <c r="D245" s="1">
        <v>46029.347060185188</v>
      </c>
      <c r="E245">
        <v>-714.93</v>
      </c>
      <c r="F245">
        <v>0</v>
      </c>
      <c r="G245">
        <v>-714.93</v>
      </c>
      <c r="H245" t="s">
        <v>52</v>
      </c>
      <c r="I245" t="s">
        <v>3328</v>
      </c>
      <c r="J245" t="s">
        <v>3036</v>
      </c>
      <c r="K245">
        <v>-714.93</v>
      </c>
      <c r="L245" t="b">
        <v>0</v>
      </c>
    </row>
    <row r="246" spans="1:12" x14ac:dyDescent="0.25">
      <c r="A246" t="s">
        <v>3329</v>
      </c>
      <c r="B246" t="s">
        <v>717</v>
      </c>
      <c r="C246" t="s">
        <v>3034</v>
      </c>
      <c r="D246" s="1">
        <v>46029.418495370373</v>
      </c>
      <c r="E246">
        <v>794.68</v>
      </c>
      <c r="F246">
        <v>23.35</v>
      </c>
      <c r="G246">
        <v>771.33</v>
      </c>
      <c r="H246" t="s">
        <v>19</v>
      </c>
      <c r="I246" t="s">
        <v>3072</v>
      </c>
      <c r="J246" t="s">
        <v>3036</v>
      </c>
      <c r="K246">
        <v>794.68</v>
      </c>
      <c r="L246" t="b">
        <v>0</v>
      </c>
    </row>
    <row r="247" spans="1:12" x14ac:dyDescent="0.25">
      <c r="A247" t="s">
        <v>3330</v>
      </c>
      <c r="B247" t="s">
        <v>720</v>
      </c>
      <c r="C247" t="s">
        <v>3034</v>
      </c>
      <c r="D247" s="1">
        <v>46030.516099537039</v>
      </c>
      <c r="E247">
        <v>990.74</v>
      </c>
      <c r="F247">
        <v>29.03</v>
      </c>
      <c r="G247">
        <v>961.71</v>
      </c>
      <c r="H247" t="s">
        <v>25</v>
      </c>
      <c r="I247" t="s">
        <v>3050</v>
      </c>
      <c r="J247" t="s">
        <v>3036</v>
      </c>
      <c r="K247">
        <v>990.74</v>
      </c>
      <c r="L247" t="b">
        <v>0</v>
      </c>
    </row>
    <row r="248" spans="1:12" x14ac:dyDescent="0.25">
      <c r="A248" t="s">
        <v>3331</v>
      </c>
      <c r="B248" t="s">
        <v>723</v>
      </c>
      <c r="C248" t="s">
        <v>3034</v>
      </c>
      <c r="D248" s="1">
        <v>46031.621145833335</v>
      </c>
      <c r="E248">
        <v>2474.58</v>
      </c>
      <c r="F248">
        <v>72.06</v>
      </c>
      <c r="G248">
        <v>2402.52</v>
      </c>
      <c r="H248" t="s">
        <v>25</v>
      </c>
      <c r="I248" t="s">
        <v>3052</v>
      </c>
      <c r="J248" t="s">
        <v>3036</v>
      </c>
      <c r="K248">
        <v>2474.58</v>
      </c>
      <c r="L248" t="b">
        <v>0</v>
      </c>
    </row>
    <row r="249" spans="1:12" x14ac:dyDescent="0.25">
      <c r="A249" t="s">
        <v>3332</v>
      </c>
      <c r="B249" t="s">
        <v>726</v>
      </c>
      <c r="C249" t="s">
        <v>3034</v>
      </c>
      <c r="D249" s="1">
        <v>46032.717430555553</v>
      </c>
      <c r="E249">
        <v>1804.63</v>
      </c>
      <c r="F249">
        <v>52.63</v>
      </c>
      <c r="G249">
        <v>1752</v>
      </c>
      <c r="H249" t="s">
        <v>25</v>
      </c>
      <c r="I249" t="s">
        <v>3079</v>
      </c>
      <c r="J249" t="s">
        <v>3036</v>
      </c>
      <c r="K249">
        <v>1804.63</v>
      </c>
      <c r="L249" t="b">
        <v>0</v>
      </c>
    </row>
    <row r="250" spans="1:12" x14ac:dyDescent="0.25">
      <c r="A250" t="s">
        <v>3332</v>
      </c>
      <c r="B250" t="s">
        <v>726</v>
      </c>
      <c r="C250" t="s">
        <v>3034</v>
      </c>
      <c r="D250" s="1">
        <v>46032.717430555553</v>
      </c>
      <c r="E250">
        <v>1804.63</v>
      </c>
      <c r="F250">
        <v>52.63</v>
      </c>
      <c r="G250">
        <v>1752</v>
      </c>
      <c r="H250" t="s">
        <v>25</v>
      </c>
      <c r="I250" t="s">
        <v>3079</v>
      </c>
      <c r="J250" t="s">
        <v>3036</v>
      </c>
      <c r="K250">
        <v>1804.63</v>
      </c>
      <c r="L250" t="b">
        <v>0</v>
      </c>
    </row>
    <row r="251" spans="1:12" x14ac:dyDescent="0.25">
      <c r="A251" t="s">
        <v>3333</v>
      </c>
      <c r="B251" t="s">
        <v>729</v>
      </c>
      <c r="C251" t="s">
        <v>3034</v>
      </c>
      <c r="D251" s="1">
        <v>46033.780752314815</v>
      </c>
      <c r="E251">
        <v>862.29</v>
      </c>
      <c r="F251">
        <v>25.31</v>
      </c>
      <c r="G251">
        <v>836.98</v>
      </c>
      <c r="H251" t="s">
        <v>25</v>
      </c>
      <c r="I251" t="s">
        <v>3081</v>
      </c>
      <c r="J251" t="s">
        <v>3036</v>
      </c>
      <c r="K251">
        <v>862.29</v>
      </c>
      <c r="L251" t="b">
        <v>0</v>
      </c>
    </row>
    <row r="252" spans="1:12" x14ac:dyDescent="0.25">
      <c r="A252" t="s">
        <v>3334</v>
      </c>
      <c r="B252" t="s">
        <v>732</v>
      </c>
      <c r="C252" t="s">
        <v>3034</v>
      </c>
      <c r="D252" s="1">
        <v>46034.885324074072</v>
      </c>
      <c r="E252">
        <v>1951.89</v>
      </c>
      <c r="F252">
        <v>56.9</v>
      </c>
      <c r="G252">
        <v>1894.99</v>
      </c>
      <c r="H252" t="s">
        <v>25</v>
      </c>
      <c r="I252" t="s">
        <v>3058</v>
      </c>
      <c r="J252" t="s">
        <v>3036</v>
      </c>
      <c r="K252">
        <v>1951.89</v>
      </c>
      <c r="L252" t="b">
        <v>0</v>
      </c>
    </row>
    <row r="253" spans="1:12" x14ac:dyDescent="0.25">
      <c r="A253" t="s">
        <v>3335</v>
      </c>
      <c r="B253" t="s">
        <v>735</v>
      </c>
      <c r="C253" t="s">
        <v>3034</v>
      </c>
      <c r="D253" s="1">
        <v>46035.967638888891</v>
      </c>
      <c r="E253">
        <v>762.75</v>
      </c>
      <c r="F253">
        <v>22.42</v>
      </c>
      <c r="G253">
        <v>740.33</v>
      </c>
      <c r="H253" t="s">
        <v>25</v>
      </c>
      <c r="I253" t="s">
        <v>3060</v>
      </c>
      <c r="J253" t="s">
        <v>3036</v>
      </c>
      <c r="K253">
        <v>762.75</v>
      </c>
      <c r="L253" t="b">
        <v>0</v>
      </c>
    </row>
    <row r="254" spans="1:12" x14ac:dyDescent="0.25">
      <c r="A254" t="s">
        <v>3336</v>
      </c>
      <c r="B254" t="s">
        <v>738</v>
      </c>
      <c r="C254" t="s">
        <v>3034</v>
      </c>
      <c r="D254" s="1">
        <v>46037.087638888886</v>
      </c>
      <c r="E254">
        <v>407.05</v>
      </c>
      <c r="F254">
        <v>12.1</v>
      </c>
      <c r="G254">
        <v>394.95</v>
      </c>
      <c r="H254" t="s">
        <v>25</v>
      </c>
      <c r="I254" t="s">
        <v>3062</v>
      </c>
      <c r="J254" t="s">
        <v>3036</v>
      </c>
      <c r="K254">
        <v>407.05</v>
      </c>
      <c r="L254" t="b">
        <v>0</v>
      </c>
    </row>
    <row r="255" spans="1:12" x14ac:dyDescent="0.25">
      <c r="A255" t="s">
        <v>3337</v>
      </c>
      <c r="B255" t="s">
        <v>741</v>
      </c>
      <c r="C255" t="s">
        <v>3034</v>
      </c>
      <c r="D255" s="1">
        <v>46024.169861111113</v>
      </c>
      <c r="E255">
        <v>1936.57</v>
      </c>
      <c r="F255">
        <v>56.46</v>
      </c>
      <c r="G255">
        <v>1880.11</v>
      </c>
      <c r="H255" t="s">
        <v>25</v>
      </c>
      <c r="I255" t="s">
        <v>3064</v>
      </c>
      <c r="J255" t="s">
        <v>3036</v>
      </c>
      <c r="K255">
        <v>1936.57</v>
      </c>
      <c r="L255" t="b">
        <v>0</v>
      </c>
    </row>
    <row r="256" spans="1:12" x14ac:dyDescent="0.25">
      <c r="A256" t="s">
        <v>3338</v>
      </c>
      <c r="B256" t="s">
        <v>744</v>
      </c>
      <c r="C256" t="s">
        <v>3034</v>
      </c>
      <c r="D256" s="1">
        <v>46024.272418981483</v>
      </c>
      <c r="E256">
        <v>1598.11</v>
      </c>
      <c r="F256">
        <v>46.65</v>
      </c>
      <c r="G256">
        <v>1551.46</v>
      </c>
      <c r="H256" t="s">
        <v>52</v>
      </c>
      <c r="I256" t="s">
        <v>3172</v>
      </c>
      <c r="J256" t="s">
        <v>3036</v>
      </c>
      <c r="K256">
        <v>1598.11</v>
      </c>
      <c r="L256" t="b">
        <v>0</v>
      </c>
    </row>
    <row r="257" spans="1:12" x14ac:dyDescent="0.25">
      <c r="A257" t="s">
        <v>3339</v>
      </c>
      <c r="B257" t="s">
        <v>747</v>
      </c>
      <c r="C257" t="s">
        <v>3034</v>
      </c>
      <c r="D257" s="1">
        <v>46025.34584490741</v>
      </c>
      <c r="E257">
        <v>1956.36</v>
      </c>
      <c r="F257">
        <v>57.03</v>
      </c>
      <c r="G257">
        <v>1899.33</v>
      </c>
      <c r="H257" t="s">
        <v>19</v>
      </c>
      <c r="I257" t="s">
        <v>3174</v>
      </c>
      <c r="J257" t="s">
        <v>3036</v>
      </c>
      <c r="K257">
        <v>1956.36</v>
      </c>
      <c r="L257" t="b">
        <v>0</v>
      </c>
    </row>
    <row r="258" spans="1:12" x14ac:dyDescent="0.25">
      <c r="A258" t="s">
        <v>3340</v>
      </c>
      <c r="B258" t="s">
        <v>750</v>
      </c>
      <c r="C258" t="s">
        <v>3034</v>
      </c>
      <c r="D258" s="1">
        <v>46026.452037037037</v>
      </c>
      <c r="E258">
        <v>255.23</v>
      </c>
      <c r="F258">
        <v>8.07</v>
      </c>
      <c r="G258">
        <v>247.16</v>
      </c>
      <c r="H258" t="s">
        <v>25</v>
      </c>
      <c r="I258" t="s">
        <v>3042</v>
      </c>
      <c r="J258" t="s">
        <v>3036</v>
      </c>
      <c r="K258">
        <v>255.23</v>
      </c>
      <c r="L258" t="b">
        <v>0</v>
      </c>
    </row>
    <row r="259" spans="1:12" x14ac:dyDescent="0.25">
      <c r="A259" t="s">
        <v>3341</v>
      </c>
      <c r="B259" t="s">
        <v>753</v>
      </c>
      <c r="C259" t="s">
        <v>3034</v>
      </c>
      <c r="D259" s="1">
        <v>46027.510254629633</v>
      </c>
      <c r="E259">
        <v>10.210000000000001</v>
      </c>
      <c r="F259">
        <v>0.6</v>
      </c>
      <c r="G259">
        <v>9.61</v>
      </c>
      <c r="H259" t="s">
        <v>25</v>
      </c>
      <c r="I259" t="s">
        <v>3068</v>
      </c>
      <c r="J259" t="s">
        <v>3036</v>
      </c>
      <c r="K259">
        <v>10.210000000000001</v>
      </c>
      <c r="L259" t="b">
        <v>0</v>
      </c>
    </row>
    <row r="260" spans="1:12" x14ac:dyDescent="0.25">
      <c r="A260" t="s">
        <v>3342</v>
      </c>
      <c r="B260" t="s">
        <v>756</v>
      </c>
      <c r="C260" t="s">
        <v>3034</v>
      </c>
      <c r="D260" s="1">
        <v>46028.639849537038</v>
      </c>
      <c r="E260">
        <v>1391.73</v>
      </c>
      <c r="F260">
        <v>40.659999999999997</v>
      </c>
      <c r="G260">
        <v>1351.07</v>
      </c>
      <c r="H260" t="s">
        <v>25</v>
      </c>
      <c r="I260" t="s">
        <v>3046</v>
      </c>
      <c r="J260" t="s">
        <v>3036</v>
      </c>
      <c r="K260">
        <v>1391.73</v>
      </c>
      <c r="L260" t="b">
        <v>0</v>
      </c>
    </row>
    <row r="261" spans="1:12" x14ac:dyDescent="0.25">
      <c r="A261" t="s">
        <v>3343</v>
      </c>
      <c r="B261" t="s">
        <v>759</v>
      </c>
      <c r="C261" t="s">
        <v>3034</v>
      </c>
      <c r="D261" s="1">
        <v>46029.713252314818</v>
      </c>
      <c r="E261">
        <v>2389.67</v>
      </c>
      <c r="F261">
        <v>69.599999999999994</v>
      </c>
      <c r="G261">
        <v>2320.0700000000002</v>
      </c>
      <c r="H261" t="s">
        <v>25</v>
      </c>
      <c r="I261" t="s">
        <v>3048</v>
      </c>
      <c r="J261" t="s">
        <v>3036</v>
      </c>
      <c r="K261">
        <v>2389.67</v>
      </c>
      <c r="L261" t="b">
        <v>0</v>
      </c>
    </row>
    <row r="262" spans="1:12" x14ac:dyDescent="0.25">
      <c r="A262" t="s">
        <v>3344</v>
      </c>
      <c r="B262" t="s">
        <v>762</v>
      </c>
      <c r="C262" t="s">
        <v>3034</v>
      </c>
      <c r="D262" s="1">
        <v>46030.792638888888</v>
      </c>
      <c r="E262">
        <v>416.81</v>
      </c>
      <c r="F262">
        <v>12.39</v>
      </c>
      <c r="G262">
        <v>404.42</v>
      </c>
      <c r="H262" t="s">
        <v>25</v>
      </c>
      <c r="I262" t="s">
        <v>3050</v>
      </c>
      <c r="J262" t="s">
        <v>3036</v>
      </c>
      <c r="K262">
        <v>416.81</v>
      </c>
      <c r="L262" t="b">
        <v>0</v>
      </c>
    </row>
    <row r="263" spans="1:12" x14ac:dyDescent="0.25">
      <c r="A263" t="s">
        <v>3345</v>
      </c>
      <c r="B263" t="s">
        <v>765</v>
      </c>
      <c r="C263" t="s">
        <v>3034</v>
      </c>
      <c r="D263" s="1">
        <v>46031.916273148148</v>
      </c>
      <c r="E263">
        <v>1773.93</v>
      </c>
      <c r="F263">
        <v>51.74</v>
      </c>
      <c r="G263">
        <v>1722.19</v>
      </c>
      <c r="H263" t="s">
        <v>25</v>
      </c>
      <c r="I263" t="s">
        <v>3052</v>
      </c>
      <c r="J263" t="s">
        <v>3036</v>
      </c>
      <c r="K263">
        <v>1773.93</v>
      </c>
      <c r="L263" t="b">
        <v>0</v>
      </c>
    </row>
    <row r="264" spans="1:12" x14ac:dyDescent="0.25">
      <c r="A264" t="s">
        <v>3346</v>
      </c>
      <c r="B264" t="s">
        <v>768</v>
      </c>
      <c r="C264" t="s">
        <v>3034</v>
      </c>
      <c r="D264" s="1">
        <v>46033.007916666669</v>
      </c>
      <c r="E264">
        <v>2214.61</v>
      </c>
      <c r="F264">
        <v>64.52</v>
      </c>
      <c r="G264">
        <v>2150.09</v>
      </c>
      <c r="H264" t="s">
        <v>25</v>
      </c>
      <c r="I264" t="s">
        <v>3079</v>
      </c>
      <c r="J264" t="s">
        <v>3036</v>
      </c>
      <c r="K264">
        <v>2214.61</v>
      </c>
      <c r="L264" t="b">
        <v>0</v>
      </c>
    </row>
    <row r="265" spans="1:12" x14ac:dyDescent="0.25">
      <c r="A265" t="s">
        <v>3347</v>
      </c>
      <c r="B265" t="s">
        <v>771</v>
      </c>
      <c r="C265" t="s">
        <v>3034</v>
      </c>
      <c r="D265" s="1">
        <v>46034.058287037034</v>
      </c>
      <c r="E265">
        <v>119.67</v>
      </c>
      <c r="F265">
        <v>3.77</v>
      </c>
      <c r="G265">
        <v>115.9</v>
      </c>
      <c r="H265" t="s">
        <v>25</v>
      </c>
      <c r="I265" t="s">
        <v>3081</v>
      </c>
      <c r="J265" t="s">
        <v>3036</v>
      </c>
      <c r="K265">
        <v>119.67</v>
      </c>
      <c r="L265" t="b">
        <v>0</v>
      </c>
    </row>
    <row r="266" spans="1:12" x14ac:dyDescent="0.25">
      <c r="A266" t="s">
        <v>3348</v>
      </c>
      <c r="B266" t="s">
        <v>774</v>
      </c>
      <c r="C266" t="s">
        <v>3034</v>
      </c>
      <c r="D266" s="1">
        <v>46035.171388888892</v>
      </c>
      <c r="E266">
        <v>2445</v>
      </c>
      <c r="F266">
        <v>71.209999999999994</v>
      </c>
      <c r="G266">
        <v>2373.79</v>
      </c>
      <c r="H266" t="s">
        <v>52</v>
      </c>
      <c r="I266" t="s">
        <v>3102</v>
      </c>
      <c r="J266" t="s">
        <v>3036</v>
      </c>
      <c r="K266">
        <v>2445</v>
      </c>
      <c r="L266" t="b">
        <v>0</v>
      </c>
    </row>
    <row r="267" spans="1:12" x14ac:dyDescent="0.25">
      <c r="A267" t="s">
        <v>3349</v>
      </c>
      <c r="B267" t="s">
        <v>777</v>
      </c>
      <c r="C267" t="s">
        <v>3034</v>
      </c>
      <c r="D267" s="1">
        <v>46035.266087962962</v>
      </c>
      <c r="E267">
        <v>1561.2</v>
      </c>
      <c r="F267">
        <v>45.57</v>
      </c>
      <c r="G267">
        <v>1515.63</v>
      </c>
      <c r="H267" t="s">
        <v>19</v>
      </c>
      <c r="I267" t="s">
        <v>3186</v>
      </c>
      <c r="J267" t="s">
        <v>3036</v>
      </c>
      <c r="K267">
        <v>1561.2</v>
      </c>
      <c r="L267" t="b">
        <v>0</v>
      </c>
    </row>
    <row r="268" spans="1:12" x14ac:dyDescent="0.25">
      <c r="A268" t="s">
        <v>3350</v>
      </c>
      <c r="B268" t="s">
        <v>780</v>
      </c>
      <c r="C268" t="s">
        <v>3034</v>
      </c>
      <c r="D268" s="1">
        <v>46036.342916666668</v>
      </c>
      <c r="E268">
        <v>1326.62</v>
      </c>
      <c r="F268">
        <v>38.770000000000003</v>
      </c>
      <c r="G268">
        <v>1287.8499999999999</v>
      </c>
      <c r="H268" t="s">
        <v>25</v>
      </c>
      <c r="I268" t="s">
        <v>3062</v>
      </c>
      <c r="J268" t="s">
        <v>3036</v>
      </c>
      <c r="K268">
        <v>1326.62</v>
      </c>
      <c r="L268" t="b">
        <v>0</v>
      </c>
    </row>
    <row r="269" spans="1:12" x14ac:dyDescent="0.25">
      <c r="A269" t="s">
        <v>3351</v>
      </c>
      <c r="B269" t="s">
        <v>783</v>
      </c>
      <c r="C269" t="s">
        <v>3034</v>
      </c>
      <c r="D269" s="1">
        <v>46023.457395833335</v>
      </c>
      <c r="E269">
        <v>1705.01</v>
      </c>
      <c r="F269">
        <v>50.12</v>
      </c>
      <c r="G269">
        <v>1654.89</v>
      </c>
      <c r="H269" t="s">
        <v>25</v>
      </c>
      <c r="I269" t="s">
        <v>3064</v>
      </c>
      <c r="J269" t="s">
        <v>3036</v>
      </c>
      <c r="K269">
        <v>1705.01</v>
      </c>
      <c r="L269" t="b">
        <v>0</v>
      </c>
    </row>
    <row r="270" spans="1:12" x14ac:dyDescent="0.25">
      <c r="A270" t="s">
        <v>3352</v>
      </c>
      <c r="B270" t="s">
        <v>786</v>
      </c>
      <c r="C270" t="s">
        <v>3034</v>
      </c>
      <c r="D270" s="1">
        <v>46024.524444444447</v>
      </c>
      <c r="E270">
        <v>379.15</v>
      </c>
      <c r="F270">
        <v>11.3</v>
      </c>
      <c r="G270">
        <v>367.85</v>
      </c>
      <c r="H270" t="s">
        <v>25</v>
      </c>
      <c r="I270" t="s">
        <v>3038</v>
      </c>
      <c r="J270" t="s">
        <v>3036</v>
      </c>
      <c r="K270">
        <v>379.15</v>
      </c>
      <c r="L270" t="b">
        <v>0</v>
      </c>
    </row>
    <row r="271" spans="1:12" x14ac:dyDescent="0.25">
      <c r="A271" t="s">
        <v>3353</v>
      </c>
      <c r="B271" t="s">
        <v>789</v>
      </c>
      <c r="C271" t="s">
        <v>3034</v>
      </c>
      <c r="D271" s="1">
        <v>46025.6249537037</v>
      </c>
      <c r="E271">
        <v>854.41</v>
      </c>
      <c r="F271">
        <v>25.08</v>
      </c>
      <c r="G271">
        <v>829.33</v>
      </c>
      <c r="H271" t="s">
        <v>25</v>
      </c>
      <c r="I271" t="s">
        <v>3040</v>
      </c>
      <c r="J271" t="s">
        <v>3036</v>
      </c>
      <c r="K271">
        <v>854.41</v>
      </c>
      <c r="L271" t="b">
        <v>0</v>
      </c>
    </row>
    <row r="272" spans="1:12" x14ac:dyDescent="0.25">
      <c r="A272" t="s">
        <v>3354</v>
      </c>
      <c r="B272" t="s">
        <v>792</v>
      </c>
      <c r="C272" t="s">
        <v>3034</v>
      </c>
      <c r="D272" s="1">
        <v>46026.702581018515</v>
      </c>
      <c r="E272">
        <v>1448.81</v>
      </c>
      <c r="F272">
        <v>42.32</v>
      </c>
      <c r="G272">
        <v>1406.49</v>
      </c>
      <c r="H272" t="s">
        <v>25</v>
      </c>
      <c r="I272" t="s">
        <v>3042</v>
      </c>
      <c r="J272" t="s">
        <v>3036</v>
      </c>
      <c r="K272">
        <v>1448.81</v>
      </c>
      <c r="L272" t="b">
        <v>0</v>
      </c>
    </row>
    <row r="273" spans="1:12" x14ac:dyDescent="0.25">
      <c r="A273" t="s">
        <v>3355</v>
      </c>
      <c r="B273" t="s">
        <v>795</v>
      </c>
      <c r="C273" t="s">
        <v>3034</v>
      </c>
      <c r="D273" s="1">
        <v>46027.829305555555</v>
      </c>
      <c r="E273">
        <v>239.84</v>
      </c>
      <c r="F273">
        <v>7.26</v>
      </c>
      <c r="G273">
        <v>232.58</v>
      </c>
      <c r="H273" t="s">
        <v>25</v>
      </c>
      <c r="I273" t="s">
        <v>3068</v>
      </c>
      <c r="J273" t="s">
        <v>3036</v>
      </c>
      <c r="K273">
        <v>239.84</v>
      </c>
      <c r="L273" t="b">
        <v>0</v>
      </c>
    </row>
    <row r="274" spans="1:12" x14ac:dyDescent="0.25">
      <c r="A274" t="s">
        <v>3356</v>
      </c>
      <c r="B274" t="s">
        <v>798</v>
      </c>
      <c r="C274" t="s">
        <v>3034</v>
      </c>
      <c r="D274" s="1">
        <v>46028.902916666666</v>
      </c>
      <c r="E274">
        <v>2438.25</v>
      </c>
      <c r="F274">
        <v>71.010000000000005</v>
      </c>
      <c r="G274">
        <v>2367.2399999999998</v>
      </c>
      <c r="H274" t="s">
        <v>25</v>
      </c>
      <c r="I274" t="s">
        <v>3046</v>
      </c>
      <c r="J274" t="s">
        <v>3036</v>
      </c>
      <c r="K274">
        <v>2438.25</v>
      </c>
      <c r="L274" t="b">
        <v>0</v>
      </c>
    </row>
    <row r="275" spans="1:12" x14ac:dyDescent="0.25">
      <c r="A275" t="s">
        <v>3356</v>
      </c>
      <c r="B275" t="s">
        <v>798</v>
      </c>
      <c r="C275" t="s">
        <v>3034</v>
      </c>
      <c r="D275" s="1">
        <v>46028.902916666666</v>
      </c>
      <c r="E275">
        <v>2438.25</v>
      </c>
      <c r="F275">
        <v>71.010000000000005</v>
      </c>
      <c r="G275">
        <v>2367.2399999999998</v>
      </c>
      <c r="H275" t="s">
        <v>25</v>
      </c>
      <c r="I275" t="s">
        <v>3046</v>
      </c>
      <c r="J275" t="s">
        <v>3036</v>
      </c>
      <c r="K275">
        <v>2438.25</v>
      </c>
      <c r="L275" t="b">
        <v>0</v>
      </c>
    </row>
    <row r="276" spans="1:12" x14ac:dyDescent="0.25">
      <c r="A276" t="s">
        <v>3357</v>
      </c>
      <c r="B276" t="s">
        <v>801</v>
      </c>
      <c r="C276" t="s">
        <v>3034</v>
      </c>
      <c r="D276" s="1">
        <v>46030.001539351855</v>
      </c>
      <c r="E276">
        <v>902.81</v>
      </c>
      <c r="F276">
        <v>26.48</v>
      </c>
      <c r="G276">
        <v>876.33</v>
      </c>
      <c r="H276" t="s">
        <v>25</v>
      </c>
      <c r="I276" t="s">
        <v>3048</v>
      </c>
      <c r="J276" t="s">
        <v>3036</v>
      </c>
      <c r="K276">
        <v>902.81</v>
      </c>
      <c r="L276" t="b">
        <v>0</v>
      </c>
    </row>
    <row r="277" spans="1:12" x14ac:dyDescent="0.25">
      <c r="A277" t="s">
        <v>3358</v>
      </c>
      <c r="B277" t="s">
        <v>804</v>
      </c>
      <c r="C277" t="s">
        <v>3034</v>
      </c>
      <c r="D277" s="1">
        <v>46031.07640046296</v>
      </c>
      <c r="E277">
        <v>2009.92</v>
      </c>
      <c r="F277">
        <v>58.59</v>
      </c>
      <c r="G277">
        <v>1951.33</v>
      </c>
      <c r="H277" t="s">
        <v>52</v>
      </c>
      <c r="I277" t="s">
        <v>3115</v>
      </c>
      <c r="J277" t="s">
        <v>3036</v>
      </c>
      <c r="K277">
        <v>2009.92</v>
      </c>
      <c r="L277" t="b">
        <v>0</v>
      </c>
    </row>
    <row r="278" spans="1:12" x14ac:dyDescent="0.25">
      <c r="A278" t="s">
        <v>3359</v>
      </c>
      <c r="B278" t="s">
        <v>807</v>
      </c>
      <c r="C278" t="s">
        <v>3034</v>
      </c>
      <c r="D278" s="1">
        <v>46032.191631944443</v>
      </c>
      <c r="E278">
        <v>1149.1600000000001</v>
      </c>
      <c r="F278">
        <v>33.630000000000003</v>
      </c>
      <c r="G278">
        <v>1115.53</v>
      </c>
      <c r="H278" t="s">
        <v>19</v>
      </c>
      <c r="I278" t="s">
        <v>3117</v>
      </c>
      <c r="J278" t="s">
        <v>3036</v>
      </c>
      <c r="K278">
        <v>1149.1600000000001</v>
      </c>
      <c r="L278" t="b">
        <v>0</v>
      </c>
    </row>
    <row r="279" spans="1:12" x14ac:dyDescent="0.25">
      <c r="A279" t="s">
        <v>3360</v>
      </c>
      <c r="B279" t="s">
        <v>807</v>
      </c>
      <c r="C279" t="s">
        <v>3076</v>
      </c>
      <c r="D279" s="1">
        <v>46033.184687499997</v>
      </c>
      <c r="E279">
        <v>-1149.1600000000001</v>
      </c>
      <c r="F279">
        <v>0</v>
      </c>
      <c r="G279">
        <v>-1149.1600000000001</v>
      </c>
      <c r="H279" t="s">
        <v>19</v>
      </c>
      <c r="I279" t="s">
        <v>3361</v>
      </c>
      <c r="J279" t="s">
        <v>3036</v>
      </c>
      <c r="K279">
        <v>-1149.1600000000001</v>
      </c>
      <c r="L279" t="b">
        <v>0</v>
      </c>
    </row>
    <row r="280" spans="1:12" x14ac:dyDescent="0.25">
      <c r="A280" t="s">
        <v>3362</v>
      </c>
      <c r="B280" t="s">
        <v>810</v>
      </c>
      <c r="C280" t="s">
        <v>3034</v>
      </c>
      <c r="D280" s="1">
        <v>46032.262361111112</v>
      </c>
      <c r="E280">
        <v>1360.56</v>
      </c>
      <c r="F280">
        <v>39.76</v>
      </c>
      <c r="G280">
        <v>1320.8</v>
      </c>
      <c r="H280" t="s">
        <v>25</v>
      </c>
      <c r="I280" t="s">
        <v>3079</v>
      </c>
      <c r="J280" t="s">
        <v>3036</v>
      </c>
      <c r="K280">
        <v>1360.56</v>
      </c>
      <c r="L280" t="b">
        <v>0</v>
      </c>
    </row>
    <row r="281" spans="1:12" x14ac:dyDescent="0.25">
      <c r="A281" t="s">
        <v>3363</v>
      </c>
      <c r="B281" t="s">
        <v>813</v>
      </c>
      <c r="C281" t="s">
        <v>3034</v>
      </c>
      <c r="D281" s="1">
        <v>46033.380810185183</v>
      </c>
      <c r="E281">
        <v>1210.75</v>
      </c>
      <c r="F281">
        <v>35.409999999999997</v>
      </c>
      <c r="G281">
        <v>1175.3399999999999</v>
      </c>
      <c r="H281" t="s">
        <v>25</v>
      </c>
      <c r="I281" t="s">
        <v>3081</v>
      </c>
      <c r="J281" t="s">
        <v>3036</v>
      </c>
      <c r="K281">
        <v>1210.75</v>
      </c>
      <c r="L281" t="b">
        <v>0</v>
      </c>
    </row>
    <row r="282" spans="1:12" x14ac:dyDescent="0.25">
      <c r="A282" t="s">
        <v>3364</v>
      </c>
      <c r="B282" t="s">
        <v>816</v>
      </c>
      <c r="C282" t="s">
        <v>3034</v>
      </c>
      <c r="D282" s="1">
        <v>46034.472303240742</v>
      </c>
      <c r="E282">
        <v>949.56</v>
      </c>
      <c r="F282">
        <v>27.84</v>
      </c>
      <c r="G282">
        <v>921.72</v>
      </c>
      <c r="H282" t="s">
        <v>25</v>
      </c>
      <c r="I282" t="s">
        <v>3058</v>
      </c>
      <c r="J282" t="s">
        <v>3036</v>
      </c>
      <c r="K282">
        <v>949.56</v>
      </c>
      <c r="L282" t="b">
        <v>0</v>
      </c>
    </row>
    <row r="283" spans="1:12" x14ac:dyDescent="0.25">
      <c r="A283" t="s">
        <v>3365</v>
      </c>
      <c r="B283" t="s">
        <v>816</v>
      </c>
      <c r="C283" t="s">
        <v>3076</v>
      </c>
      <c r="D283" s="1">
        <v>46035.465358796297</v>
      </c>
      <c r="E283">
        <v>-474.78</v>
      </c>
      <c r="F283">
        <v>0</v>
      </c>
      <c r="G283">
        <v>-474.78</v>
      </c>
      <c r="H283" t="s">
        <v>25</v>
      </c>
      <c r="I283" t="s">
        <v>3366</v>
      </c>
      <c r="J283" t="s">
        <v>3036</v>
      </c>
      <c r="K283">
        <v>-474.78</v>
      </c>
      <c r="L283" t="b">
        <v>0</v>
      </c>
    </row>
    <row r="284" spans="1:12" x14ac:dyDescent="0.25">
      <c r="A284" t="s">
        <v>3367</v>
      </c>
      <c r="B284" t="s">
        <v>819</v>
      </c>
      <c r="C284" t="s">
        <v>3034</v>
      </c>
      <c r="D284" s="1">
        <v>46035.53266203704</v>
      </c>
      <c r="E284">
        <v>708.7</v>
      </c>
      <c r="F284">
        <v>20.85</v>
      </c>
      <c r="G284">
        <v>687.85</v>
      </c>
      <c r="H284" t="s">
        <v>25</v>
      </c>
      <c r="I284" t="s">
        <v>3060</v>
      </c>
      <c r="J284" t="s">
        <v>3036</v>
      </c>
      <c r="K284">
        <v>708.7</v>
      </c>
      <c r="L284" t="b">
        <v>0</v>
      </c>
    </row>
    <row r="285" spans="1:12" x14ac:dyDescent="0.25">
      <c r="A285" t="s">
        <v>3368</v>
      </c>
      <c r="B285" t="s">
        <v>822</v>
      </c>
      <c r="C285" t="s">
        <v>3034</v>
      </c>
      <c r="D285" s="1">
        <v>46036.625127314815</v>
      </c>
      <c r="E285">
        <v>1916.51</v>
      </c>
      <c r="F285">
        <v>55.88</v>
      </c>
      <c r="G285">
        <v>1860.63</v>
      </c>
      <c r="H285" t="s">
        <v>25</v>
      </c>
      <c r="I285" t="s">
        <v>3369</v>
      </c>
      <c r="J285" t="s">
        <v>3036</v>
      </c>
      <c r="K285">
        <v>1916.51</v>
      </c>
      <c r="L285" t="b">
        <v>0</v>
      </c>
    </row>
    <row r="286" spans="1:12" x14ac:dyDescent="0.25">
      <c r="A286" t="s">
        <v>3370</v>
      </c>
      <c r="B286" t="s">
        <v>825</v>
      </c>
      <c r="C286" t="s">
        <v>3034</v>
      </c>
      <c r="D286" s="1">
        <v>46023.714884259258</v>
      </c>
      <c r="E286">
        <v>736.22</v>
      </c>
      <c r="F286">
        <v>21.65</v>
      </c>
      <c r="G286">
        <v>714.57</v>
      </c>
      <c r="H286" t="s">
        <v>25</v>
      </c>
      <c r="I286" t="s">
        <v>3064</v>
      </c>
      <c r="J286" t="s">
        <v>3036</v>
      </c>
      <c r="K286">
        <v>736.22</v>
      </c>
      <c r="L286" t="b">
        <v>0</v>
      </c>
    </row>
    <row r="287" spans="1:12" x14ac:dyDescent="0.25">
      <c r="A287" t="s">
        <v>3371</v>
      </c>
      <c r="B287" t="s">
        <v>828</v>
      </c>
      <c r="C287" t="s">
        <v>3034</v>
      </c>
      <c r="D287" s="1">
        <v>46024.836111111108</v>
      </c>
      <c r="E287">
        <v>366.26</v>
      </c>
      <c r="F287">
        <v>10.92</v>
      </c>
      <c r="G287">
        <v>355.34</v>
      </c>
      <c r="H287" t="s">
        <v>25</v>
      </c>
      <c r="I287" t="s">
        <v>3038</v>
      </c>
      <c r="J287" t="s">
        <v>3036</v>
      </c>
      <c r="K287">
        <v>366.26</v>
      </c>
      <c r="L287" t="b">
        <v>0</v>
      </c>
    </row>
    <row r="288" spans="1:12" x14ac:dyDescent="0.25">
      <c r="A288" t="s">
        <v>3372</v>
      </c>
      <c r="B288" t="s">
        <v>831</v>
      </c>
      <c r="C288" t="s">
        <v>3034</v>
      </c>
      <c r="D288" s="1">
        <v>46025.901203703703</v>
      </c>
      <c r="E288">
        <v>1715.84</v>
      </c>
      <c r="F288">
        <v>50.06</v>
      </c>
      <c r="G288">
        <v>1665.78</v>
      </c>
      <c r="H288" t="s">
        <v>25</v>
      </c>
      <c r="I288" t="s">
        <v>3040</v>
      </c>
      <c r="J288" t="s">
        <v>3036</v>
      </c>
      <c r="K288">
        <v>1715.84</v>
      </c>
      <c r="L288" t="b">
        <v>0</v>
      </c>
    </row>
    <row r="289" spans="1:12" x14ac:dyDescent="0.25">
      <c r="A289" t="s">
        <v>3373</v>
      </c>
      <c r="B289" t="s">
        <v>834</v>
      </c>
      <c r="C289" t="s">
        <v>3034</v>
      </c>
      <c r="D289" s="1">
        <v>46027.001388888886</v>
      </c>
      <c r="E289">
        <v>897.02</v>
      </c>
      <c r="F289">
        <v>26.31</v>
      </c>
      <c r="G289">
        <v>870.71</v>
      </c>
      <c r="H289" t="s">
        <v>52</v>
      </c>
      <c r="I289" t="s">
        <v>3128</v>
      </c>
      <c r="J289" t="s">
        <v>3036</v>
      </c>
      <c r="K289">
        <v>897.02</v>
      </c>
      <c r="L289" t="b">
        <v>0</v>
      </c>
    </row>
    <row r="290" spans="1:12" x14ac:dyDescent="0.25">
      <c r="A290" t="s">
        <v>3374</v>
      </c>
      <c r="B290" t="s">
        <v>837</v>
      </c>
      <c r="C290" t="s">
        <v>3034</v>
      </c>
      <c r="D290" s="1">
        <v>46028.077048611114</v>
      </c>
      <c r="E290">
        <v>15.39</v>
      </c>
      <c r="F290">
        <v>0.75</v>
      </c>
      <c r="G290">
        <v>14.64</v>
      </c>
      <c r="H290" t="s">
        <v>19</v>
      </c>
      <c r="I290" t="s">
        <v>3130</v>
      </c>
      <c r="J290" t="s">
        <v>3036</v>
      </c>
      <c r="K290">
        <v>15.39</v>
      </c>
      <c r="L290" t="b">
        <v>0</v>
      </c>
    </row>
    <row r="291" spans="1:12" x14ac:dyDescent="0.25">
      <c r="A291" t="s">
        <v>3375</v>
      </c>
      <c r="B291" t="s">
        <v>840</v>
      </c>
      <c r="C291" t="s">
        <v>3034</v>
      </c>
      <c r="D291" s="1">
        <v>46029.204525462963</v>
      </c>
      <c r="E291">
        <v>1971.5</v>
      </c>
      <c r="F291">
        <v>57.47</v>
      </c>
      <c r="G291">
        <v>1914.03</v>
      </c>
      <c r="H291" t="s">
        <v>25</v>
      </c>
      <c r="I291" t="s">
        <v>3046</v>
      </c>
      <c r="J291" t="s">
        <v>3036</v>
      </c>
      <c r="K291">
        <v>1971.5</v>
      </c>
      <c r="L291" t="b">
        <v>0</v>
      </c>
    </row>
    <row r="292" spans="1:12" x14ac:dyDescent="0.25">
      <c r="A292" t="s">
        <v>3376</v>
      </c>
      <c r="B292" t="s">
        <v>843</v>
      </c>
      <c r="C292" t="s">
        <v>3034</v>
      </c>
      <c r="D292" s="1">
        <v>46029.269756944443</v>
      </c>
      <c r="E292">
        <v>586.64</v>
      </c>
      <c r="F292">
        <v>17.309999999999999</v>
      </c>
      <c r="G292">
        <v>569.33000000000004</v>
      </c>
      <c r="H292" t="s">
        <v>25</v>
      </c>
      <c r="I292" t="s">
        <v>3048</v>
      </c>
      <c r="J292" t="s">
        <v>3036</v>
      </c>
      <c r="K292">
        <v>586.64</v>
      </c>
      <c r="L292" t="b">
        <v>0</v>
      </c>
    </row>
    <row r="293" spans="1:12" x14ac:dyDescent="0.25">
      <c r="A293" t="s">
        <v>3377</v>
      </c>
      <c r="B293" t="s">
        <v>843</v>
      </c>
      <c r="C293" t="s">
        <v>3034</v>
      </c>
      <c r="D293" s="1">
        <v>46029.270451388889</v>
      </c>
      <c r="E293">
        <v>586.64</v>
      </c>
      <c r="F293">
        <v>17.309999999999999</v>
      </c>
      <c r="G293">
        <v>569.33000000000004</v>
      </c>
      <c r="H293" t="s">
        <v>25</v>
      </c>
      <c r="I293" t="s">
        <v>3048</v>
      </c>
      <c r="J293" t="s">
        <v>3036</v>
      </c>
      <c r="K293">
        <v>586.64</v>
      </c>
      <c r="L293" t="b">
        <v>0</v>
      </c>
    </row>
    <row r="294" spans="1:12" x14ac:dyDescent="0.25">
      <c r="A294" t="s">
        <v>3378</v>
      </c>
      <c r="B294" t="s">
        <v>846</v>
      </c>
      <c r="C294" t="s">
        <v>3034</v>
      </c>
      <c r="D294" s="1">
        <v>46030.38045138889</v>
      </c>
      <c r="E294">
        <v>870.35</v>
      </c>
      <c r="F294">
        <v>25.54</v>
      </c>
      <c r="G294">
        <v>844.81</v>
      </c>
      <c r="H294" t="s">
        <v>25</v>
      </c>
      <c r="I294" t="s">
        <v>3050</v>
      </c>
      <c r="J294" t="s">
        <v>3036</v>
      </c>
      <c r="K294">
        <v>870.35</v>
      </c>
      <c r="L294" t="b">
        <v>0</v>
      </c>
    </row>
    <row r="295" spans="1:12" x14ac:dyDescent="0.25">
      <c r="A295" t="s">
        <v>3379</v>
      </c>
      <c r="B295" t="s">
        <v>849</v>
      </c>
      <c r="C295" t="s">
        <v>3034</v>
      </c>
      <c r="D295" s="1">
        <v>46031.474687499998</v>
      </c>
      <c r="E295">
        <v>1388.97</v>
      </c>
      <c r="F295">
        <v>40.58</v>
      </c>
      <c r="G295">
        <v>1348.39</v>
      </c>
      <c r="H295" t="s">
        <v>25</v>
      </c>
      <c r="I295" t="s">
        <v>3052</v>
      </c>
      <c r="J295" t="s">
        <v>3036</v>
      </c>
      <c r="K295">
        <v>1388.97</v>
      </c>
      <c r="L295" t="b">
        <v>0</v>
      </c>
    </row>
    <row r="296" spans="1:12" x14ac:dyDescent="0.25">
      <c r="A296" t="s">
        <v>3380</v>
      </c>
      <c r="B296" t="s">
        <v>852</v>
      </c>
      <c r="C296" t="s">
        <v>3034</v>
      </c>
      <c r="D296" s="1">
        <v>46032.541597222225</v>
      </c>
      <c r="E296">
        <v>936.66</v>
      </c>
      <c r="F296">
        <v>27.46</v>
      </c>
      <c r="G296">
        <v>909.2</v>
      </c>
      <c r="H296" t="s">
        <v>25</v>
      </c>
      <c r="I296" t="s">
        <v>3079</v>
      </c>
      <c r="J296" t="s">
        <v>3036</v>
      </c>
      <c r="K296">
        <v>936.66</v>
      </c>
      <c r="L296" t="b">
        <v>0</v>
      </c>
    </row>
    <row r="297" spans="1:12" x14ac:dyDescent="0.25">
      <c r="A297" t="s">
        <v>3381</v>
      </c>
      <c r="B297" t="s">
        <v>855</v>
      </c>
      <c r="C297" t="s">
        <v>3034</v>
      </c>
      <c r="D297" s="1">
        <v>46033.647881944446</v>
      </c>
      <c r="E297">
        <v>1732.21</v>
      </c>
      <c r="F297">
        <v>50.53</v>
      </c>
      <c r="G297">
        <v>1681.68</v>
      </c>
      <c r="H297" t="s">
        <v>25</v>
      </c>
      <c r="I297" t="s">
        <v>3081</v>
      </c>
      <c r="J297" t="s">
        <v>3036</v>
      </c>
      <c r="K297">
        <v>1732.21</v>
      </c>
      <c r="L297" t="b">
        <v>0</v>
      </c>
    </row>
    <row r="298" spans="1:12" x14ac:dyDescent="0.25">
      <c r="A298" t="s">
        <v>3382</v>
      </c>
      <c r="B298" t="s">
        <v>858</v>
      </c>
      <c r="C298" t="s">
        <v>3034</v>
      </c>
      <c r="D298" s="1">
        <v>46034.737604166665</v>
      </c>
      <c r="E298">
        <v>1770.82</v>
      </c>
      <c r="F298">
        <v>51.65</v>
      </c>
      <c r="G298">
        <v>1719.17</v>
      </c>
      <c r="H298" t="s">
        <v>25</v>
      </c>
      <c r="I298" t="s">
        <v>3058</v>
      </c>
      <c r="J298" t="s">
        <v>3036</v>
      </c>
      <c r="K298">
        <v>1770.82</v>
      </c>
      <c r="L298" t="b">
        <v>0</v>
      </c>
    </row>
    <row r="299" spans="1:12" x14ac:dyDescent="0.25">
      <c r="A299" t="s">
        <v>3383</v>
      </c>
      <c r="B299" t="s">
        <v>861</v>
      </c>
      <c r="C299" t="s">
        <v>3034</v>
      </c>
      <c r="D299" s="1">
        <v>46035.848402777781</v>
      </c>
      <c r="E299">
        <v>1558.99</v>
      </c>
      <c r="F299">
        <v>45.51</v>
      </c>
      <c r="G299">
        <v>1513.48</v>
      </c>
      <c r="H299" t="s">
        <v>25</v>
      </c>
      <c r="I299" t="s">
        <v>3060</v>
      </c>
      <c r="J299" t="s">
        <v>3036</v>
      </c>
      <c r="K299">
        <v>1558.99</v>
      </c>
      <c r="L299" t="b">
        <v>0</v>
      </c>
    </row>
    <row r="300" spans="1:12" x14ac:dyDescent="0.25">
      <c r="A300" t="s">
        <v>3384</v>
      </c>
      <c r="B300" t="s">
        <v>864</v>
      </c>
      <c r="C300" t="s">
        <v>3034</v>
      </c>
      <c r="D300" s="1">
        <v>46036.910208333335</v>
      </c>
      <c r="E300">
        <v>959.99</v>
      </c>
      <c r="F300">
        <v>28.14</v>
      </c>
      <c r="G300">
        <v>931.85</v>
      </c>
      <c r="H300" t="s">
        <v>52</v>
      </c>
      <c r="I300" t="s">
        <v>3385</v>
      </c>
      <c r="J300" t="s">
        <v>3036</v>
      </c>
      <c r="K300">
        <v>959.99</v>
      </c>
      <c r="L300" t="b">
        <v>0</v>
      </c>
    </row>
    <row r="301" spans="1:12" x14ac:dyDescent="0.25">
      <c r="A301" t="s">
        <v>3386</v>
      </c>
      <c r="B301" t="s">
        <v>867</v>
      </c>
      <c r="C301" t="s">
        <v>3034</v>
      </c>
      <c r="D301" s="1">
        <v>46023.994039351855</v>
      </c>
      <c r="E301">
        <v>537.38</v>
      </c>
      <c r="F301">
        <v>15.88</v>
      </c>
      <c r="G301">
        <v>521.5</v>
      </c>
      <c r="H301" t="s">
        <v>19</v>
      </c>
      <c r="I301" t="s">
        <v>3035</v>
      </c>
      <c r="J301" t="s">
        <v>3036</v>
      </c>
      <c r="K301">
        <v>537.38</v>
      </c>
      <c r="L301" t="b">
        <v>0</v>
      </c>
    </row>
    <row r="302" spans="1:12" x14ac:dyDescent="0.25">
      <c r="A302" t="s">
        <v>3387</v>
      </c>
      <c r="B302" t="s">
        <v>870</v>
      </c>
      <c r="C302" t="s">
        <v>3034</v>
      </c>
      <c r="D302" s="1">
        <v>46025.113576388889</v>
      </c>
      <c r="E302">
        <v>1372.7</v>
      </c>
      <c r="F302">
        <v>40.11</v>
      </c>
      <c r="G302">
        <v>1332.59</v>
      </c>
      <c r="H302" t="s">
        <v>25</v>
      </c>
      <c r="I302" t="s">
        <v>3388</v>
      </c>
      <c r="J302" t="s">
        <v>3036</v>
      </c>
      <c r="K302">
        <v>1372.7</v>
      </c>
      <c r="L302" t="b">
        <v>0</v>
      </c>
    </row>
    <row r="303" spans="1:12" x14ac:dyDescent="0.25">
      <c r="A303" t="s">
        <v>3389</v>
      </c>
      <c r="B303" t="s">
        <v>873</v>
      </c>
      <c r="C303" t="s">
        <v>3034</v>
      </c>
      <c r="D303" s="1">
        <v>46026.206030092595</v>
      </c>
      <c r="E303">
        <v>782.74</v>
      </c>
      <c r="F303">
        <v>23</v>
      </c>
      <c r="G303">
        <v>759.74</v>
      </c>
      <c r="H303" t="s">
        <v>25</v>
      </c>
      <c r="I303" t="s">
        <v>3040</v>
      </c>
      <c r="J303" t="s">
        <v>3036</v>
      </c>
      <c r="K303">
        <v>782.74</v>
      </c>
      <c r="L303" t="b">
        <v>0</v>
      </c>
    </row>
    <row r="304" spans="1:12" x14ac:dyDescent="0.25">
      <c r="A304" t="s">
        <v>3390</v>
      </c>
      <c r="B304" t="s">
        <v>876</v>
      </c>
      <c r="C304" t="s">
        <v>3034</v>
      </c>
      <c r="D304" s="1">
        <v>46026.271793981483</v>
      </c>
      <c r="E304">
        <v>2256.85</v>
      </c>
      <c r="F304">
        <v>65.75</v>
      </c>
      <c r="G304">
        <v>2191.1</v>
      </c>
      <c r="H304" t="s">
        <v>25</v>
      </c>
      <c r="I304" t="s">
        <v>3042</v>
      </c>
      <c r="J304" t="s">
        <v>3036</v>
      </c>
      <c r="K304">
        <v>2256.85</v>
      </c>
      <c r="L304" t="b">
        <v>0</v>
      </c>
    </row>
    <row r="305" spans="1:12" x14ac:dyDescent="0.25">
      <c r="A305" t="s">
        <v>3391</v>
      </c>
      <c r="B305" t="s">
        <v>879</v>
      </c>
      <c r="C305" t="s">
        <v>3034</v>
      </c>
      <c r="D305" s="1">
        <v>46027.386655092596</v>
      </c>
      <c r="E305">
        <v>2248</v>
      </c>
      <c r="F305">
        <v>65.489999999999995</v>
      </c>
      <c r="G305">
        <v>2182.5100000000002</v>
      </c>
      <c r="H305" t="s">
        <v>25</v>
      </c>
      <c r="I305" t="s">
        <v>3068</v>
      </c>
      <c r="J305" t="s">
        <v>3036</v>
      </c>
      <c r="K305">
        <v>2248</v>
      </c>
      <c r="L305" t="b">
        <v>0</v>
      </c>
    </row>
    <row r="306" spans="1:12" x14ac:dyDescent="0.25">
      <c r="A306" t="s">
        <v>3392</v>
      </c>
      <c r="B306" t="s">
        <v>879</v>
      </c>
      <c r="C306" t="s">
        <v>3034</v>
      </c>
      <c r="D306" s="1">
        <v>46027.387349537035</v>
      </c>
      <c r="E306">
        <v>2248</v>
      </c>
      <c r="F306">
        <v>65.489999999999995</v>
      </c>
      <c r="G306">
        <v>2182.5100000000002</v>
      </c>
      <c r="H306" t="s">
        <v>25</v>
      </c>
      <c r="I306" t="s">
        <v>3068</v>
      </c>
      <c r="J306" t="s">
        <v>3036</v>
      </c>
      <c r="K306">
        <v>2248</v>
      </c>
      <c r="L306" t="b">
        <v>0</v>
      </c>
    </row>
    <row r="307" spans="1:12" x14ac:dyDescent="0.25">
      <c r="A307" t="s">
        <v>3393</v>
      </c>
      <c r="B307" t="s">
        <v>882</v>
      </c>
      <c r="C307" t="s">
        <v>3034</v>
      </c>
      <c r="D307" s="1">
        <v>46028.450266203705</v>
      </c>
      <c r="E307">
        <v>1855.63</v>
      </c>
      <c r="F307">
        <v>54.11</v>
      </c>
      <c r="G307">
        <v>1801.52</v>
      </c>
      <c r="H307" t="s">
        <v>25</v>
      </c>
      <c r="I307" t="s">
        <v>3046</v>
      </c>
      <c r="J307" t="s">
        <v>3036</v>
      </c>
      <c r="K307">
        <v>1855.63</v>
      </c>
      <c r="L307" t="b">
        <v>0</v>
      </c>
    </row>
    <row r="308" spans="1:12" x14ac:dyDescent="0.25">
      <c r="A308" t="s">
        <v>3394</v>
      </c>
      <c r="B308" t="s">
        <v>885</v>
      </c>
      <c r="C308" t="s">
        <v>3034</v>
      </c>
      <c r="D308" s="1">
        <v>46029.578657407408</v>
      </c>
      <c r="E308">
        <v>821.57</v>
      </c>
      <c r="F308">
        <v>24.13</v>
      </c>
      <c r="G308">
        <v>797.44</v>
      </c>
      <c r="H308" t="s">
        <v>25</v>
      </c>
      <c r="I308" t="s">
        <v>3048</v>
      </c>
      <c r="J308" t="s">
        <v>3036</v>
      </c>
      <c r="K308">
        <v>821.57</v>
      </c>
      <c r="L308" t="b">
        <v>0</v>
      </c>
    </row>
    <row r="309" spans="1:12" x14ac:dyDescent="0.25">
      <c r="A309" t="s">
        <v>3395</v>
      </c>
      <c r="B309" t="s">
        <v>888</v>
      </c>
      <c r="C309" t="s">
        <v>3034</v>
      </c>
      <c r="D309" s="1">
        <v>46030.656875000001</v>
      </c>
      <c r="E309">
        <v>1377.95</v>
      </c>
      <c r="F309">
        <v>40.26</v>
      </c>
      <c r="G309">
        <v>1337.69</v>
      </c>
      <c r="H309" t="s">
        <v>25</v>
      </c>
      <c r="I309" t="s">
        <v>3050</v>
      </c>
      <c r="J309" t="s">
        <v>3036</v>
      </c>
      <c r="K309">
        <v>1377.95</v>
      </c>
      <c r="L309" t="b">
        <v>0</v>
      </c>
    </row>
    <row r="310" spans="1:12" x14ac:dyDescent="0.25">
      <c r="A310" t="s">
        <v>3396</v>
      </c>
      <c r="B310" t="s">
        <v>891</v>
      </c>
      <c r="C310" t="s">
        <v>3034</v>
      </c>
      <c r="D310" s="1">
        <v>46031.729930555557</v>
      </c>
      <c r="E310">
        <v>1166.75</v>
      </c>
      <c r="F310">
        <v>34.14</v>
      </c>
      <c r="G310">
        <v>1132.6099999999999</v>
      </c>
      <c r="H310" t="s">
        <v>25</v>
      </c>
      <c r="I310" t="s">
        <v>3052</v>
      </c>
      <c r="J310" t="s">
        <v>3036</v>
      </c>
      <c r="K310">
        <v>1166.75</v>
      </c>
      <c r="L310" t="b">
        <v>0</v>
      </c>
    </row>
    <row r="311" spans="1:12" x14ac:dyDescent="0.25">
      <c r="A311" t="s">
        <v>3397</v>
      </c>
      <c r="B311" t="s">
        <v>894</v>
      </c>
      <c r="C311" t="s">
        <v>3034</v>
      </c>
      <c r="D311" s="1">
        <v>46032.832627314812</v>
      </c>
      <c r="E311">
        <v>263.57</v>
      </c>
      <c r="F311">
        <v>7.94</v>
      </c>
      <c r="G311">
        <v>255.63</v>
      </c>
      <c r="H311" t="s">
        <v>52</v>
      </c>
      <c r="I311" t="s">
        <v>3054</v>
      </c>
      <c r="J311" t="s">
        <v>3036</v>
      </c>
      <c r="K311">
        <v>263.57</v>
      </c>
      <c r="L311" t="b">
        <v>0</v>
      </c>
    </row>
    <row r="312" spans="1:12" x14ac:dyDescent="0.25">
      <c r="A312" t="s">
        <v>3398</v>
      </c>
      <c r="B312" t="s">
        <v>897</v>
      </c>
      <c r="C312" t="s">
        <v>3034</v>
      </c>
      <c r="D312" s="1">
        <v>46033.926087962966</v>
      </c>
      <c r="E312">
        <v>574</v>
      </c>
      <c r="F312">
        <v>16.95</v>
      </c>
      <c r="G312">
        <v>557.04999999999995</v>
      </c>
      <c r="H312" t="s">
        <v>19</v>
      </c>
      <c r="I312" t="s">
        <v>3056</v>
      </c>
      <c r="J312" t="s">
        <v>3036</v>
      </c>
      <c r="K312">
        <v>574</v>
      </c>
      <c r="L312" t="b">
        <v>0</v>
      </c>
    </row>
    <row r="313" spans="1:12" x14ac:dyDescent="0.25">
      <c r="A313" t="s">
        <v>3399</v>
      </c>
      <c r="B313" t="s">
        <v>900</v>
      </c>
      <c r="C313" t="s">
        <v>3034</v>
      </c>
      <c r="D313" s="1">
        <v>46035.037002314813</v>
      </c>
      <c r="E313">
        <v>385.78</v>
      </c>
      <c r="F313">
        <v>11.49</v>
      </c>
      <c r="G313">
        <v>374.29</v>
      </c>
      <c r="H313" t="s">
        <v>25</v>
      </c>
      <c r="I313" t="s">
        <v>3058</v>
      </c>
      <c r="J313" t="s">
        <v>3036</v>
      </c>
      <c r="K313">
        <v>385.78</v>
      </c>
      <c r="L313" t="b">
        <v>0</v>
      </c>
    </row>
    <row r="314" spans="1:12" x14ac:dyDescent="0.25">
      <c r="A314" t="s">
        <v>3400</v>
      </c>
      <c r="B314" t="s">
        <v>903</v>
      </c>
      <c r="C314" t="s">
        <v>3034</v>
      </c>
      <c r="D314" s="1">
        <v>46036.132164351853</v>
      </c>
      <c r="E314">
        <v>640.36</v>
      </c>
      <c r="F314">
        <v>18.87</v>
      </c>
      <c r="G314">
        <v>621.49</v>
      </c>
      <c r="H314" t="s">
        <v>25</v>
      </c>
      <c r="I314" t="s">
        <v>3060</v>
      </c>
      <c r="J314" t="s">
        <v>3036</v>
      </c>
      <c r="K314">
        <v>640.36</v>
      </c>
      <c r="L314" t="b">
        <v>0</v>
      </c>
    </row>
    <row r="315" spans="1:12" x14ac:dyDescent="0.25">
      <c r="A315" t="s">
        <v>3401</v>
      </c>
      <c r="B315" t="s">
        <v>906</v>
      </c>
      <c r="C315" t="s">
        <v>3034</v>
      </c>
      <c r="D315" s="1">
        <v>46037.19866898148</v>
      </c>
      <c r="E315">
        <v>1855.44</v>
      </c>
      <c r="F315">
        <v>54.11</v>
      </c>
      <c r="G315">
        <v>1801.33</v>
      </c>
      <c r="H315" t="s">
        <v>25</v>
      </c>
      <c r="I315" t="s">
        <v>3062</v>
      </c>
      <c r="J315" t="s">
        <v>3036</v>
      </c>
      <c r="K315">
        <v>1855.44</v>
      </c>
      <c r="L315" t="b">
        <v>0</v>
      </c>
    </row>
    <row r="316" spans="1:12" x14ac:dyDescent="0.25">
      <c r="A316" t="s">
        <v>3402</v>
      </c>
      <c r="B316" t="s">
        <v>909</v>
      </c>
      <c r="C316" t="s">
        <v>3034</v>
      </c>
      <c r="D316" s="1">
        <v>46023.280277777776</v>
      </c>
      <c r="E316">
        <v>2282.7800000000002</v>
      </c>
      <c r="F316">
        <v>66.5</v>
      </c>
      <c r="G316">
        <v>2216.2800000000002</v>
      </c>
      <c r="H316" t="s">
        <v>25</v>
      </c>
      <c r="I316" t="s">
        <v>3064</v>
      </c>
      <c r="J316" t="s">
        <v>3036</v>
      </c>
      <c r="K316">
        <v>2282.7800000000002</v>
      </c>
      <c r="L316" t="b">
        <v>0</v>
      </c>
    </row>
    <row r="317" spans="1:12" x14ac:dyDescent="0.25">
      <c r="A317" t="s">
        <v>3403</v>
      </c>
      <c r="B317" t="s">
        <v>909</v>
      </c>
      <c r="C317" t="s">
        <v>3076</v>
      </c>
      <c r="D317" s="1">
        <v>46024.273333333331</v>
      </c>
      <c r="E317">
        <v>-2282.7800000000002</v>
      </c>
      <c r="F317">
        <v>0</v>
      </c>
      <c r="G317">
        <v>-2282.7800000000002</v>
      </c>
      <c r="H317" t="s">
        <v>25</v>
      </c>
      <c r="I317" t="s">
        <v>3404</v>
      </c>
      <c r="J317" t="s">
        <v>3036</v>
      </c>
      <c r="K317">
        <v>-2282.7800000000002</v>
      </c>
      <c r="L317" t="b">
        <v>0</v>
      </c>
    </row>
    <row r="318" spans="1:12" x14ac:dyDescent="0.25">
      <c r="A318" t="s">
        <v>3405</v>
      </c>
      <c r="B318" t="s">
        <v>912</v>
      </c>
      <c r="C318" t="s">
        <v>3034</v>
      </c>
      <c r="D318" s="1">
        <v>46024.373819444445</v>
      </c>
      <c r="E318">
        <v>1518.35</v>
      </c>
      <c r="F318">
        <v>44.33</v>
      </c>
      <c r="G318">
        <v>1474.02</v>
      </c>
      <c r="H318" t="s">
        <v>25</v>
      </c>
      <c r="I318" t="s">
        <v>3038</v>
      </c>
      <c r="J318" t="s">
        <v>3036</v>
      </c>
      <c r="K318">
        <v>1518.35</v>
      </c>
      <c r="L318" t="b">
        <v>0</v>
      </c>
    </row>
    <row r="319" spans="1:12" x14ac:dyDescent="0.25">
      <c r="A319" t="s">
        <v>3406</v>
      </c>
      <c r="B319" t="s">
        <v>915</v>
      </c>
      <c r="C319" t="s">
        <v>3034</v>
      </c>
      <c r="D319" s="1">
        <v>46025.466365740744</v>
      </c>
      <c r="E319">
        <v>719.23</v>
      </c>
      <c r="F319">
        <v>21.16</v>
      </c>
      <c r="G319">
        <v>698.07</v>
      </c>
      <c r="H319" t="s">
        <v>25</v>
      </c>
      <c r="I319" t="s">
        <v>3040</v>
      </c>
      <c r="J319" t="s">
        <v>3036</v>
      </c>
      <c r="K319">
        <v>719.23</v>
      </c>
      <c r="L319" t="b">
        <v>0</v>
      </c>
    </row>
    <row r="320" spans="1:12" x14ac:dyDescent="0.25">
      <c r="A320" t="s">
        <v>3407</v>
      </c>
      <c r="B320" t="s">
        <v>918</v>
      </c>
      <c r="C320" t="s">
        <v>3034</v>
      </c>
      <c r="D320" s="1">
        <v>46026.554456018515</v>
      </c>
      <c r="E320">
        <v>701.11</v>
      </c>
      <c r="F320">
        <v>20.63</v>
      </c>
      <c r="G320">
        <v>680.48</v>
      </c>
      <c r="H320" t="s">
        <v>25</v>
      </c>
      <c r="I320" t="s">
        <v>3042</v>
      </c>
      <c r="J320" t="s">
        <v>3036</v>
      </c>
      <c r="K320">
        <v>701.11</v>
      </c>
      <c r="L320" t="b">
        <v>0</v>
      </c>
    </row>
    <row r="321" spans="1:12" x14ac:dyDescent="0.25">
      <c r="A321" t="s">
        <v>3408</v>
      </c>
      <c r="B321" t="s">
        <v>921</v>
      </c>
      <c r="C321" t="s">
        <v>3034</v>
      </c>
      <c r="D321" s="1">
        <v>46027.656655092593</v>
      </c>
      <c r="E321">
        <v>1865.59</v>
      </c>
      <c r="F321">
        <v>54.4</v>
      </c>
      <c r="G321">
        <v>1811.19</v>
      </c>
      <c r="H321" t="s">
        <v>25</v>
      </c>
      <c r="I321" t="s">
        <v>3068</v>
      </c>
      <c r="J321" t="s">
        <v>3036</v>
      </c>
      <c r="K321">
        <v>1865.59</v>
      </c>
      <c r="L321" t="b">
        <v>0</v>
      </c>
    </row>
    <row r="322" spans="1:12" x14ac:dyDescent="0.25">
      <c r="A322" t="s">
        <v>3409</v>
      </c>
      <c r="B322" t="s">
        <v>924</v>
      </c>
      <c r="C322" t="s">
        <v>3034</v>
      </c>
      <c r="D322" s="1">
        <v>46028.738171296296</v>
      </c>
      <c r="E322">
        <v>1508.09</v>
      </c>
      <c r="F322">
        <v>44.03</v>
      </c>
      <c r="G322">
        <v>1464.06</v>
      </c>
      <c r="H322" t="s">
        <v>52</v>
      </c>
      <c r="I322" t="s">
        <v>3070</v>
      </c>
      <c r="J322" t="s">
        <v>3036</v>
      </c>
      <c r="K322">
        <v>1508.09</v>
      </c>
      <c r="L322" t="b">
        <v>0</v>
      </c>
    </row>
    <row r="323" spans="1:12" x14ac:dyDescent="0.25">
      <c r="A323" t="s">
        <v>3410</v>
      </c>
      <c r="B323" t="s">
        <v>927</v>
      </c>
      <c r="C323" t="s">
        <v>3034</v>
      </c>
      <c r="D323" s="1">
        <v>46029.863240740742</v>
      </c>
      <c r="E323">
        <v>1259.0899999999999</v>
      </c>
      <c r="F323">
        <v>36.81</v>
      </c>
      <c r="G323">
        <v>1222.28</v>
      </c>
      <c r="H323" t="s">
        <v>19</v>
      </c>
      <c r="I323" t="s">
        <v>3072</v>
      </c>
      <c r="J323" t="s">
        <v>3036</v>
      </c>
      <c r="K323">
        <v>1259.0899999999999</v>
      </c>
      <c r="L323" t="b">
        <v>0</v>
      </c>
    </row>
    <row r="324" spans="1:12" x14ac:dyDescent="0.25">
      <c r="A324" t="s">
        <v>3410</v>
      </c>
      <c r="B324" t="s">
        <v>927</v>
      </c>
      <c r="C324" t="s">
        <v>3034</v>
      </c>
      <c r="D324" s="1">
        <v>46029.863240740742</v>
      </c>
      <c r="E324">
        <v>1259.0899999999999</v>
      </c>
      <c r="F324">
        <v>36.81</v>
      </c>
      <c r="G324">
        <v>1222.28</v>
      </c>
      <c r="H324" t="s">
        <v>19</v>
      </c>
      <c r="I324" t="s">
        <v>3072</v>
      </c>
      <c r="J324" t="s">
        <v>3036</v>
      </c>
      <c r="K324">
        <v>1259.0899999999999</v>
      </c>
      <c r="L324" t="b">
        <v>0</v>
      </c>
    </row>
    <row r="325" spans="1:12" x14ac:dyDescent="0.25">
      <c r="A325" t="s">
        <v>3411</v>
      </c>
      <c r="B325" t="s">
        <v>930</v>
      </c>
      <c r="C325" t="s">
        <v>3034</v>
      </c>
      <c r="D325" s="1">
        <v>46030.956608796296</v>
      </c>
      <c r="E325">
        <v>2178.96</v>
      </c>
      <c r="F325">
        <v>63.49</v>
      </c>
      <c r="G325">
        <v>2115.4699999999998</v>
      </c>
      <c r="H325" t="s">
        <v>25</v>
      </c>
      <c r="I325" t="s">
        <v>3050</v>
      </c>
      <c r="J325" t="s">
        <v>3036</v>
      </c>
      <c r="K325">
        <v>2178.96</v>
      </c>
      <c r="L325" t="b">
        <v>0</v>
      </c>
    </row>
    <row r="326" spans="1:12" x14ac:dyDescent="0.25">
      <c r="A326" t="s">
        <v>3412</v>
      </c>
      <c r="B326" t="s">
        <v>933</v>
      </c>
      <c r="C326" t="s">
        <v>3034</v>
      </c>
      <c r="D326" s="1">
        <v>46032.035196759258</v>
      </c>
      <c r="E326">
        <v>2325.39</v>
      </c>
      <c r="F326">
        <v>67.739999999999995</v>
      </c>
      <c r="G326">
        <v>2257.65</v>
      </c>
      <c r="H326" t="s">
        <v>25</v>
      </c>
      <c r="I326" t="s">
        <v>3052</v>
      </c>
      <c r="J326" t="s">
        <v>3036</v>
      </c>
      <c r="K326">
        <v>2325.39</v>
      </c>
      <c r="L326" t="b">
        <v>0</v>
      </c>
    </row>
    <row r="327" spans="1:12" x14ac:dyDescent="0.25">
      <c r="A327" t="s">
        <v>3412</v>
      </c>
      <c r="B327" t="s">
        <v>933</v>
      </c>
      <c r="C327" t="s">
        <v>3034</v>
      </c>
      <c r="D327" s="1">
        <v>46032.035196759258</v>
      </c>
      <c r="E327">
        <v>2325.39</v>
      </c>
      <c r="F327">
        <v>67.739999999999995</v>
      </c>
      <c r="G327">
        <v>2257.65</v>
      </c>
      <c r="H327" t="s">
        <v>25</v>
      </c>
      <c r="I327" t="s">
        <v>3052</v>
      </c>
      <c r="J327" t="s">
        <v>3036</v>
      </c>
      <c r="K327">
        <v>2325.39</v>
      </c>
      <c r="L327" t="b">
        <v>0</v>
      </c>
    </row>
    <row r="328" spans="1:12" x14ac:dyDescent="0.25">
      <c r="A328" t="s">
        <v>3413</v>
      </c>
      <c r="B328" t="s">
        <v>936</v>
      </c>
      <c r="C328" t="s">
        <v>3034</v>
      </c>
      <c r="D328" s="1">
        <v>46033.125567129631</v>
      </c>
      <c r="E328">
        <v>7.53</v>
      </c>
      <c r="F328">
        <v>0.52</v>
      </c>
      <c r="G328">
        <v>7.01</v>
      </c>
      <c r="H328" t="s">
        <v>25</v>
      </c>
      <c r="I328" t="s">
        <v>3414</v>
      </c>
      <c r="J328" t="s">
        <v>3036</v>
      </c>
      <c r="K328">
        <v>7.53</v>
      </c>
      <c r="L328" t="b">
        <v>0</v>
      </c>
    </row>
    <row r="329" spans="1:12" x14ac:dyDescent="0.25">
      <c r="A329" t="s">
        <v>3415</v>
      </c>
      <c r="B329" t="s">
        <v>939</v>
      </c>
      <c r="C329" t="s">
        <v>3034</v>
      </c>
      <c r="D329" s="1">
        <v>46034.217395833337</v>
      </c>
      <c r="E329">
        <v>1952.91</v>
      </c>
      <c r="F329">
        <v>56.93</v>
      </c>
      <c r="G329">
        <v>1895.98</v>
      </c>
      <c r="H329" t="s">
        <v>25</v>
      </c>
      <c r="I329" t="s">
        <v>3081</v>
      </c>
      <c r="J329" t="s">
        <v>3036</v>
      </c>
      <c r="K329">
        <v>1952.91</v>
      </c>
      <c r="L329" t="b">
        <v>0</v>
      </c>
    </row>
    <row r="330" spans="1:12" x14ac:dyDescent="0.25">
      <c r="A330" t="s">
        <v>3416</v>
      </c>
      <c r="B330" t="s">
        <v>942</v>
      </c>
      <c r="C330" t="s">
        <v>3034</v>
      </c>
      <c r="D330" s="1">
        <v>46034.294039351851</v>
      </c>
      <c r="E330">
        <v>2013.2</v>
      </c>
      <c r="F330">
        <v>58.68</v>
      </c>
      <c r="G330">
        <v>1954.52</v>
      </c>
      <c r="H330" t="s">
        <v>25</v>
      </c>
      <c r="I330" t="s">
        <v>3058</v>
      </c>
      <c r="J330" t="s">
        <v>3036</v>
      </c>
      <c r="K330">
        <v>2013.2</v>
      </c>
      <c r="L330" t="b">
        <v>0</v>
      </c>
    </row>
    <row r="331" spans="1:12" x14ac:dyDescent="0.25">
      <c r="A331" t="s">
        <v>3417</v>
      </c>
      <c r="B331" t="s">
        <v>945</v>
      </c>
      <c r="C331" t="s">
        <v>3034</v>
      </c>
      <c r="D331" s="1">
        <v>46035.401388888888</v>
      </c>
      <c r="E331">
        <v>2323.16</v>
      </c>
      <c r="F331">
        <v>67.67</v>
      </c>
      <c r="G331">
        <v>2255.4899999999998</v>
      </c>
      <c r="H331" t="s">
        <v>25</v>
      </c>
      <c r="I331" t="s">
        <v>3060</v>
      </c>
      <c r="J331" t="s">
        <v>3036</v>
      </c>
      <c r="K331">
        <v>2323.16</v>
      </c>
      <c r="L331" t="b">
        <v>0</v>
      </c>
    </row>
    <row r="332" spans="1:12" x14ac:dyDescent="0.25">
      <c r="A332" t="s">
        <v>3418</v>
      </c>
      <c r="B332" t="s">
        <v>948</v>
      </c>
      <c r="C332" t="s">
        <v>3034</v>
      </c>
      <c r="D332" s="1">
        <v>46036.496944444443</v>
      </c>
      <c r="E332">
        <v>1433.41</v>
      </c>
      <c r="F332">
        <v>41.87</v>
      </c>
      <c r="G332">
        <v>1391.54</v>
      </c>
      <c r="H332" t="s">
        <v>25</v>
      </c>
      <c r="I332" t="s">
        <v>3062</v>
      </c>
      <c r="J332" t="s">
        <v>3036</v>
      </c>
      <c r="K332">
        <v>1433.41</v>
      </c>
      <c r="L332" t="b">
        <v>0</v>
      </c>
    </row>
    <row r="333" spans="1:12" x14ac:dyDescent="0.25">
      <c r="A333" t="s">
        <v>3419</v>
      </c>
      <c r="B333" t="s">
        <v>951</v>
      </c>
      <c r="C333" t="s">
        <v>3034</v>
      </c>
      <c r="D333" s="1">
        <v>46023.573078703703</v>
      </c>
      <c r="E333">
        <v>262.83999999999997</v>
      </c>
      <c r="F333">
        <v>7.92</v>
      </c>
      <c r="G333">
        <v>254.92</v>
      </c>
      <c r="H333" t="s">
        <v>25</v>
      </c>
      <c r="I333" t="s">
        <v>3064</v>
      </c>
      <c r="J333" t="s">
        <v>3036</v>
      </c>
      <c r="K333">
        <v>262.83999999999997</v>
      </c>
      <c r="L333" t="b">
        <v>0</v>
      </c>
    </row>
    <row r="334" spans="1:12" x14ac:dyDescent="0.25">
      <c r="A334" t="s">
        <v>3420</v>
      </c>
      <c r="B334" t="s">
        <v>954</v>
      </c>
      <c r="C334" t="s">
        <v>3034</v>
      </c>
      <c r="D334" s="1">
        <v>46024.676921296297</v>
      </c>
      <c r="E334">
        <v>1000.11</v>
      </c>
      <c r="F334">
        <v>29.3</v>
      </c>
      <c r="G334">
        <v>970.81</v>
      </c>
      <c r="H334" t="s">
        <v>52</v>
      </c>
      <c r="I334" t="s">
        <v>3172</v>
      </c>
      <c r="J334" t="s">
        <v>3036</v>
      </c>
      <c r="K334">
        <v>1000.11</v>
      </c>
      <c r="L334" t="b">
        <v>0</v>
      </c>
    </row>
    <row r="335" spans="1:12" x14ac:dyDescent="0.25">
      <c r="A335" t="s">
        <v>3421</v>
      </c>
      <c r="B335" t="s">
        <v>957</v>
      </c>
      <c r="C335" t="s">
        <v>3034</v>
      </c>
      <c r="D335" s="1">
        <v>46025.742893518516</v>
      </c>
      <c r="E335">
        <v>1122.82</v>
      </c>
      <c r="F335">
        <v>32.86</v>
      </c>
      <c r="G335">
        <v>1089.96</v>
      </c>
      <c r="H335" t="s">
        <v>19</v>
      </c>
      <c r="I335" t="s">
        <v>3174</v>
      </c>
      <c r="J335" t="s">
        <v>3036</v>
      </c>
      <c r="K335">
        <v>1122.82</v>
      </c>
      <c r="L335" t="b">
        <v>0</v>
      </c>
    </row>
    <row r="336" spans="1:12" x14ac:dyDescent="0.25">
      <c r="A336" t="s">
        <v>3422</v>
      </c>
      <c r="B336" t="s">
        <v>960</v>
      </c>
      <c r="C336" t="s">
        <v>3034</v>
      </c>
      <c r="D336" s="1">
        <v>46026.857291666667</v>
      </c>
      <c r="E336">
        <v>786.97</v>
      </c>
      <c r="F336">
        <v>23.12</v>
      </c>
      <c r="G336">
        <v>763.85</v>
      </c>
      <c r="H336" t="s">
        <v>25</v>
      </c>
      <c r="I336" t="s">
        <v>3042</v>
      </c>
      <c r="J336" t="s">
        <v>3036</v>
      </c>
      <c r="K336">
        <v>786.97</v>
      </c>
      <c r="L336" t="b">
        <v>0</v>
      </c>
    </row>
    <row r="337" spans="1:12" x14ac:dyDescent="0.25">
      <c r="A337" t="s">
        <v>3423</v>
      </c>
      <c r="B337" t="s">
        <v>963</v>
      </c>
      <c r="C337" t="s">
        <v>3034</v>
      </c>
      <c r="D337" s="1">
        <v>46027.933078703703</v>
      </c>
      <c r="E337">
        <v>1774.51</v>
      </c>
      <c r="F337">
        <v>51.76</v>
      </c>
      <c r="G337">
        <v>1722.75</v>
      </c>
      <c r="H337" t="s">
        <v>25</v>
      </c>
      <c r="I337" t="s">
        <v>3068</v>
      </c>
      <c r="J337" t="s">
        <v>3036</v>
      </c>
      <c r="K337">
        <v>1774.51</v>
      </c>
      <c r="L337" t="b">
        <v>0</v>
      </c>
    </row>
    <row r="338" spans="1:12" x14ac:dyDescent="0.25">
      <c r="A338" t="s">
        <v>3424</v>
      </c>
      <c r="B338" t="s">
        <v>966</v>
      </c>
      <c r="C338" t="s">
        <v>3034</v>
      </c>
      <c r="D338" s="1">
        <v>46029.040439814817</v>
      </c>
      <c r="E338">
        <v>1851.28</v>
      </c>
      <c r="F338">
        <v>53.99</v>
      </c>
      <c r="G338">
        <v>1797.29</v>
      </c>
      <c r="H338" t="s">
        <v>25</v>
      </c>
      <c r="I338" t="s">
        <v>3046</v>
      </c>
      <c r="J338" t="s">
        <v>3036</v>
      </c>
      <c r="K338">
        <v>1851.28</v>
      </c>
      <c r="L338" t="b">
        <v>0</v>
      </c>
    </row>
    <row r="339" spans="1:12" x14ac:dyDescent="0.25">
      <c r="A339" t="s">
        <v>3425</v>
      </c>
      <c r="B339" t="s">
        <v>969</v>
      </c>
      <c r="C339" t="s">
        <v>3034</v>
      </c>
      <c r="D339" s="1">
        <v>46030.130937499998</v>
      </c>
      <c r="E339">
        <v>2499.6</v>
      </c>
      <c r="F339">
        <v>72.790000000000006</v>
      </c>
      <c r="G339">
        <v>2426.81</v>
      </c>
      <c r="H339" t="s">
        <v>25</v>
      </c>
      <c r="I339" t="s">
        <v>3048</v>
      </c>
      <c r="J339" t="s">
        <v>3036</v>
      </c>
      <c r="K339">
        <v>2499.6</v>
      </c>
      <c r="L339" t="b">
        <v>0</v>
      </c>
    </row>
    <row r="340" spans="1:12" x14ac:dyDescent="0.25">
      <c r="A340" t="s">
        <v>3426</v>
      </c>
      <c r="B340" t="s">
        <v>972</v>
      </c>
      <c r="C340" t="s">
        <v>3034</v>
      </c>
      <c r="D340" s="1">
        <v>46031.216249999998</v>
      </c>
      <c r="E340">
        <v>546.1</v>
      </c>
      <c r="F340">
        <v>16.14</v>
      </c>
      <c r="G340">
        <v>529.96</v>
      </c>
      <c r="H340" t="s">
        <v>25</v>
      </c>
      <c r="I340" t="s">
        <v>3427</v>
      </c>
      <c r="J340" t="s">
        <v>3036</v>
      </c>
      <c r="K340">
        <v>546.1</v>
      </c>
      <c r="L340" t="b">
        <v>0</v>
      </c>
    </row>
    <row r="341" spans="1:12" x14ac:dyDescent="0.25">
      <c r="A341" t="s">
        <v>3428</v>
      </c>
      <c r="B341" t="s">
        <v>975</v>
      </c>
      <c r="C341" t="s">
        <v>3034</v>
      </c>
      <c r="D341" s="1">
        <v>46031.327326388891</v>
      </c>
      <c r="E341">
        <v>2347.63</v>
      </c>
      <c r="F341">
        <v>68.38</v>
      </c>
      <c r="G341">
        <v>2279.25</v>
      </c>
      <c r="H341" t="s">
        <v>25</v>
      </c>
      <c r="I341" t="s">
        <v>3052</v>
      </c>
      <c r="J341" t="s">
        <v>3036</v>
      </c>
      <c r="K341">
        <v>2347.63</v>
      </c>
      <c r="L341" t="b">
        <v>0</v>
      </c>
    </row>
    <row r="342" spans="1:12" x14ac:dyDescent="0.25">
      <c r="A342" t="s">
        <v>3429</v>
      </c>
      <c r="B342" t="s">
        <v>978</v>
      </c>
      <c r="C342" t="s">
        <v>3034</v>
      </c>
      <c r="D342" s="1">
        <v>46032.404594907406</v>
      </c>
      <c r="E342">
        <v>1255.42</v>
      </c>
      <c r="F342">
        <v>36.71</v>
      </c>
      <c r="G342">
        <v>1218.71</v>
      </c>
      <c r="H342" t="s">
        <v>25</v>
      </c>
      <c r="I342" t="s">
        <v>3079</v>
      </c>
      <c r="J342" t="s">
        <v>3036</v>
      </c>
      <c r="K342">
        <v>1255.42</v>
      </c>
      <c r="L342" t="b">
        <v>0</v>
      </c>
    </row>
    <row r="343" spans="1:12" x14ac:dyDescent="0.25">
      <c r="A343" t="s">
        <v>3430</v>
      </c>
      <c r="B343" t="s">
        <v>981</v>
      </c>
      <c r="C343" t="s">
        <v>3034</v>
      </c>
      <c r="D343" s="1">
        <v>46033.506493055553</v>
      </c>
      <c r="E343">
        <v>553.92999999999995</v>
      </c>
      <c r="F343">
        <v>16.36</v>
      </c>
      <c r="G343">
        <v>537.57000000000005</v>
      </c>
      <c r="H343" t="s">
        <v>25</v>
      </c>
      <c r="I343" t="s">
        <v>3081</v>
      </c>
      <c r="J343" t="s">
        <v>3036</v>
      </c>
      <c r="K343">
        <v>553.92999999999995</v>
      </c>
      <c r="L343" t="b">
        <v>0</v>
      </c>
    </row>
    <row r="344" spans="1:12" x14ac:dyDescent="0.25">
      <c r="A344" t="s">
        <v>3431</v>
      </c>
      <c r="B344" t="s">
        <v>984</v>
      </c>
      <c r="C344" t="s">
        <v>3034</v>
      </c>
      <c r="D344" s="1">
        <v>46034.577789351853</v>
      </c>
      <c r="E344">
        <v>1160.74</v>
      </c>
      <c r="F344">
        <v>33.96</v>
      </c>
      <c r="G344">
        <v>1126.78</v>
      </c>
      <c r="H344" t="s">
        <v>52</v>
      </c>
      <c r="I344" t="s">
        <v>3102</v>
      </c>
      <c r="J344" t="s">
        <v>3036</v>
      </c>
      <c r="K344">
        <v>1160.74</v>
      </c>
      <c r="L344" t="b">
        <v>0</v>
      </c>
    </row>
    <row r="345" spans="1:12" x14ac:dyDescent="0.25">
      <c r="A345" t="s">
        <v>3432</v>
      </c>
      <c r="B345" t="s">
        <v>987</v>
      </c>
      <c r="C345" t="s">
        <v>3034</v>
      </c>
      <c r="D345" s="1">
        <v>46035.676562499997</v>
      </c>
      <c r="E345">
        <v>760.18</v>
      </c>
      <c r="F345">
        <v>22.35</v>
      </c>
      <c r="G345">
        <v>737.83</v>
      </c>
      <c r="H345" t="s">
        <v>19</v>
      </c>
      <c r="I345" t="s">
        <v>3186</v>
      </c>
      <c r="J345" t="s">
        <v>3036</v>
      </c>
      <c r="K345">
        <v>760.18</v>
      </c>
      <c r="L345" t="b">
        <v>0</v>
      </c>
    </row>
    <row r="346" spans="1:12" x14ac:dyDescent="0.25">
      <c r="A346" t="s">
        <v>3433</v>
      </c>
      <c r="B346" t="s">
        <v>990</v>
      </c>
      <c r="C346" t="s">
        <v>3034</v>
      </c>
      <c r="D346" s="1">
        <v>46036.790543981479</v>
      </c>
      <c r="E346">
        <v>1000.52</v>
      </c>
      <c r="F346">
        <v>29.32</v>
      </c>
      <c r="G346">
        <v>971.2</v>
      </c>
      <c r="H346" t="s">
        <v>25</v>
      </c>
      <c r="I346" t="s">
        <v>3062</v>
      </c>
      <c r="J346" t="s">
        <v>3036</v>
      </c>
      <c r="K346">
        <v>1000.52</v>
      </c>
      <c r="L346" t="b">
        <v>0</v>
      </c>
    </row>
    <row r="347" spans="1:12" x14ac:dyDescent="0.25">
      <c r="A347" t="s">
        <v>3434</v>
      </c>
      <c r="B347" t="s">
        <v>993</v>
      </c>
      <c r="C347" t="s">
        <v>3034</v>
      </c>
      <c r="D347" s="1">
        <v>46023.881215277775</v>
      </c>
      <c r="E347">
        <v>1784.64</v>
      </c>
      <c r="F347">
        <v>52.05</v>
      </c>
      <c r="G347">
        <v>1732.59</v>
      </c>
      <c r="H347" t="s">
        <v>25</v>
      </c>
      <c r="I347" t="s">
        <v>3064</v>
      </c>
      <c r="J347" t="s">
        <v>3036</v>
      </c>
      <c r="K347">
        <v>1784.64</v>
      </c>
      <c r="L347" t="b">
        <v>0</v>
      </c>
    </row>
    <row r="348" spans="1:12" x14ac:dyDescent="0.25">
      <c r="A348" t="s">
        <v>3435</v>
      </c>
      <c r="B348" t="s">
        <v>996</v>
      </c>
      <c r="C348" t="s">
        <v>3034</v>
      </c>
      <c r="D348" s="1">
        <v>46024.954108796293</v>
      </c>
      <c r="E348">
        <v>422.05</v>
      </c>
      <c r="F348">
        <v>12.54</v>
      </c>
      <c r="G348">
        <v>409.51</v>
      </c>
      <c r="H348" t="s">
        <v>25</v>
      </c>
      <c r="I348" t="s">
        <v>3038</v>
      </c>
      <c r="J348" t="s">
        <v>3036</v>
      </c>
      <c r="K348">
        <v>422.05</v>
      </c>
      <c r="L348" t="b">
        <v>0</v>
      </c>
    </row>
    <row r="349" spans="1:12" x14ac:dyDescent="0.25">
      <c r="A349" t="s">
        <v>3436</v>
      </c>
      <c r="B349" t="s">
        <v>999</v>
      </c>
      <c r="C349" t="s">
        <v>3034</v>
      </c>
      <c r="D349" s="1">
        <v>46026.052002314813</v>
      </c>
      <c r="E349">
        <v>569.9</v>
      </c>
      <c r="F349">
        <v>16.829999999999998</v>
      </c>
      <c r="G349">
        <v>553.07000000000005</v>
      </c>
      <c r="H349" t="s">
        <v>25</v>
      </c>
      <c r="I349" t="s">
        <v>3040</v>
      </c>
      <c r="J349" t="s">
        <v>3036</v>
      </c>
      <c r="K349">
        <v>569.9</v>
      </c>
      <c r="L349" t="b">
        <v>0</v>
      </c>
    </row>
    <row r="350" spans="1:12" x14ac:dyDescent="0.25">
      <c r="A350" t="s">
        <v>3437</v>
      </c>
      <c r="B350" t="s">
        <v>1002</v>
      </c>
      <c r="C350" t="s">
        <v>3034</v>
      </c>
      <c r="D350" s="1">
        <v>46027.116516203707</v>
      </c>
      <c r="E350">
        <v>36.31</v>
      </c>
      <c r="F350">
        <v>1.35</v>
      </c>
      <c r="G350">
        <v>34.96</v>
      </c>
      <c r="H350" t="s">
        <v>25</v>
      </c>
      <c r="I350" t="s">
        <v>3042</v>
      </c>
      <c r="J350" t="s">
        <v>3036</v>
      </c>
      <c r="K350">
        <v>36.31</v>
      </c>
      <c r="L350" t="b">
        <v>0</v>
      </c>
    </row>
    <row r="351" spans="1:12" x14ac:dyDescent="0.25">
      <c r="A351" t="s">
        <v>3438</v>
      </c>
      <c r="B351" t="s">
        <v>1005</v>
      </c>
      <c r="C351" t="s">
        <v>3034</v>
      </c>
      <c r="D351" s="1">
        <v>46028.217847222222</v>
      </c>
      <c r="E351">
        <v>2139.86</v>
      </c>
      <c r="F351">
        <v>62.36</v>
      </c>
      <c r="G351">
        <v>2077.5</v>
      </c>
      <c r="H351" t="s">
        <v>25</v>
      </c>
      <c r="I351" t="s">
        <v>3068</v>
      </c>
      <c r="J351" t="s">
        <v>3036</v>
      </c>
      <c r="K351">
        <v>2139.86</v>
      </c>
      <c r="L351" t="b">
        <v>0</v>
      </c>
    </row>
    <row r="352" spans="1:12" x14ac:dyDescent="0.25">
      <c r="A352" t="s">
        <v>3439</v>
      </c>
      <c r="B352" t="s">
        <v>1008</v>
      </c>
      <c r="C352" t="s">
        <v>3034</v>
      </c>
      <c r="D352" s="1">
        <v>46028.337500000001</v>
      </c>
      <c r="E352">
        <v>837.2</v>
      </c>
      <c r="F352">
        <v>24.58</v>
      </c>
      <c r="G352">
        <v>812.62</v>
      </c>
      <c r="H352" t="s">
        <v>25</v>
      </c>
      <c r="I352" t="s">
        <v>3046</v>
      </c>
      <c r="J352" t="s">
        <v>3036</v>
      </c>
      <c r="K352">
        <v>837.2</v>
      </c>
      <c r="L352" t="b">
        <v>0</v>
      </c>
    </row>
    <row r="353" spans="1:12" x14ac:dyDescent="0.25">
      <c r="A353" t="s">
        <v>3440</v>
      </c>
      <c r="B353" t="s">
        <v>1011</v>
      </c>
      <c r="C353" t="s">
        <v>3034</v>
      </c>
      <c r="D353" s="1">
        <v>46029.412326388891</v>
      </c>
      <c r="E353">
        <v>509.77</v>
      </c>
      <c r="F353">
        <v>15.08</v>
      </c>
      <c r="G353">
        <v>494.69</v>
      </c>
      <c r="H353" t="s">
        <v>25</v>
      </c>
      <c r="I353" t="s">
        <v>3048</v>
      </c>
      <c r="J353" t="s">
        <v>3036</v>
      </c>
      <c r="K353">
        <v>509.77</v>
      </c>
      <c r="L353" t="b">
        <v>0</v>
      </c>
    </row>
    <row r="354" spans="1:12" x14ac:dyDescent="0.25">
      <c r="A354" t="s">
        <v>3441</v>
      </c>
      <c r="B354" t="s">
        <v>1014</v>
      </c>
      <c r="C354" t="s">
        <v>3034</v>
      </c>
      <c r="D354" s="1">
        <v>46030.495000000003</v>
      </c>
      <c r="E354">
        <v>333.41</v>
      </c>
      <c r="F354">
        <v>9.9700000000000006</v>
      </c>
      <c r="G354">
        <v>323.44</v>
      </c>
      <c r="H354" t="s">
        <v>52</v>
      </c>
      <c r="I354" t="s">
        <v>3115</v>
      </c>
      <c r="J354" t="s">
        <v>3036</v>
      </c>
      <c r="K354">
        <v>333.41</v>
      </c>
      <c r="L354" t="b">
        <v>0</v>
      </c>
    </row>
    <row r="355" spans="1:12" x14ac:dyDescent="0.25">
      <c r="A355" t="s">
        <v>3442</v>
      </c>
      <c r="B355" t="s">
        <v>1017</v>
      </c>
      <c r="C355" t="s">
        <v>3034</v>
      </c>
      <c r="D355" s="1">
        <v>46031.59171296296</v>
      </c>
      <c r="E355">
        <v>2439.62</v>
      </c>
      <c r="F355">
        <v>71.05</v>
      </c>
      <c r="G355">
        <v>2368.5700000000002</v>
      </c>
      <c r="H355" t="s">
        <v>19</v>
      </c>
      <c r="I355" t="s">
        <v>3443</v>
      </c>
      <c r="J355" t="s">
        <v>3036</v>
      </c>
      <c r="K355">
        <v>2439.62</v>
      </c>
      <c r="L355" t="b">
        <v>0</v>
      </c>
    </row>
    <row r="356" spans="1:12" x14ac:dyDescent="0.25">
      <c r="A356" t="s">
        <v>3444</v>
      </c>
      <c r="B356" t="s">
        <v>1020</v>
      </c>
      <c r="C356" t="s">
        <v>3034</v>
      </c>
      <c r="D356" s="1">
        <v>46032.693668981483</v>
      </c>
      <c r="E356">
        <v>793.48</v>
      </c>
      <c r="F356">
        <v>23.31</v>
      </c>
      <c r="G356">
        <v>770.17</v>
      </c>
      <c r="H356" t="s">
        <v>25</v>
      </c>
      <c r="I356" t="s">
        <v>3079</v>
      </c>
      <c r="J356" t="s">
        <v>3036</v>
      </c>
      <c r="K356">
        <v>793.48</v>
      </c>
      <c r="L356" t="b">
        <v>0</v>
      </c>
    </row>
    <row r="357" spans="1:12" x14ac:dyDescent="0.25">
      <c r="A357" t="s">
        <v>3445</v>
      </c>
      <c r="B357" t="s">
        <v>1023</v>
      </c>
      <c r="C357" t="s">
        <v>3034</v>
      </c>
      <c r="D357" s="1">
        <v>46033.761145833334</v>
      </c>
      <c r="E357">
        <v>31.31</v>
      </c>
      <c r="F357">
        <v>1.21</v>
      </c>
      <c r="G357">
        <v>30.1</v>
      </c>
      <c r="H357" t="s">
        <v>25</v>
      </c>
      <c r="I357" t="s">
        <v>3081</v>
      </c>
      <c r="J357" t="s">
        <v>3036</v>
      </c>
      <c r="K357">
        <v>31.31</v>
      </c>
      <c r="L357" t="b">
        <v>0</v>
      </c>
    </row>
    <row r="358" spans="1:12" x14ac:dyDescent="0.25">
      <c r="A358" t="s">
        <v>3446</v>
      </c>
      <c r="B358" t="s">
        <v>1026</v>
      </c>
      <c r="C358" t="s">
        <v>3034</v>
      </c>
      <c r="D358" s="1">
        <v>46034.860682870371</v>
      </c>
      <c r="E358">
        <v>2480.39</v>
      </c>
      <c r="F358">
        <v>72.23</v>
      </c>
      <c r="G358">
        <v>2408.16</v>
      </c>
      <c r="H358" t="s">
        <v>25</v>
      </c>
      <c r="I358" t="s">
        <v>3058</v>
      </c>
      <c r="J358" t="s">
        <v>3036</v>
      </c>
      <c r="K358">
        <v>2480.39</v>
      </c>
      <c r="L358" t="b">
        <v>0</v>
      </c>
    </row>
    <row r="359" spans="1:12" x14ac:dyDescent="0.25">
      <c r="A359" t="s">
        <v>3447</v>
      </c>
      <c r="B359" t="s">
        <v>1032</v>
      </c>
      <c r="C359" t="s">
        <v>3034</v>
      </c>
      <c r="D359" s="1">
        <v>46037.060520833336</v>
      </c>
      <c r="E359">
        <v>529.86</v>
      </c>
      <c r="F359">
        <v>15.67</v>
      </c>
      <c r="G359">
        <v>514.19000000000005</v>
      </c>
      <c r="H359" t="s">
        <v>25</v>
      </c>
      <c r="I359" t="s">
        <v>3062</v>
      </c>
      <c r="J359" t="s">
        <v>3036</v>
      </c>
      <c r="K359">
        <v>529.86</v>
      </c>
      <c r="L359" t="b">
        <v>0</v>
      </c>
    </row>
    <row r="360" spans="1:12" x14ac:dyDescent="0.25">
      <c r="A360" t="s">
        <v>3448</v>
      </c>
      <c r="B360" t="s">
        <v>1035</v>
      </c>
      <c r="C360" t="s">
        <v>3034</v>
      </c>
      <c r="D360" s="1">
        <v>46024.15519675926</v>
      </c>
      <c r="E360">
        <v>211.3</v>
      </c>
      <c r="F360">
        <v>6.43</v>
      </c>
      <c r="G360">
        <v>204.87</v>
      </c>
      <c r="H360" t="s">
        <v>25</v>
      </c>
      <c r="I360" t="s">
        <v>3064</v>
      </c>
      <c r="J360" t="s">
        <v>3036</v>
      </c>
      <c r="K360">
        <v>211.3</v>
      </c>
      <c r="L360" t="b">
        <v>0</v>
      </c>
    </row>
    <row r="361" spans="1:12" x14ac:dyDescent="0.25">
      <c r="A361" t="s">
        <v>3449</v>
      </c>
      <c r="B361" t="s">
        <v>1038</v>
      </c>
      <c r="C361" t="s">
        <v>3034</v>
      </c>
      <c r="D361" s="1">
        <v>46024.246134259258</v>
      </c>
      <c r="E361">
        <v>1658.46</v>
      </c>
      <c r="F361">
        <v>48.4</v>
      </c>
      <c r="G361">
        <v>1610.06</v>
      </c>
      <c r="H361" t="s">
        <v>25</v>
      </c>
      <c r="I361" t="s">
        <v>3038</v>
      </c>
      <c r="J361" t="s">
        <v>3036</v>
      </c>
      <c r="K361">
        <v>1658.46</v>
      </c>
      <c r="L361" t="b">
        <v>0</v>
      </c>
    </row>
    <row r="362" spans="1:12" x14ac:dyDescent="0.25">
      <c r="A362" t="s">
        <v>3450</v>
      </c>
      <c r="B362" t="s">
        <v>1041</v>
      </c>
      <c r="C362" t="s">
        <v>3034</v>
      </c>
      <c r="D362" s="1">
        <v>46025.312777777777</v>
      </c>
      <c r="E362">
        <v>1884.4</v>
      </c>
      <c r="F362">
        <v>54.95</v>
      </c>
      <c r="G362">
        <v>1829.45</v>
      </c>
      <c r="H362" t="s">
        <v>25</v>
      </c>
      <c r="I362" t="s">
        <v>3040</v>
      </c>
      <c r="J362" t="s">
        <v>3036</v>
      </c>
      <c r="K362">
        <v>1884.4</v>
      </c>
      <c r="L362" t="b">
        <v>0</v>
      </c>
    </row>
    <row r="363" spans="1:12" x14ac:dyDescent="0.25">
      <c r="A363" t="s">
        <v>3451</v>
      </c>
      <c r="B363" t="s">
        <v>1044</v>
      </c>
      <c r="C363" t="s">
        <v>3034</v>
      </c>
      <c r="D363" s="1">
        <v>46026.399976851855</v>
      </c>
      <c r="E363">
        <v>2051.5500000000002</v>
      </c>
      <c r="F363">
        <v>59.79</v>
      </c>
      <c r="G363">
        <v>1991.76</v>
      </c>
      <c r="H363" t="s">
        <v>52</v>
      </c>
      <c r="I363" t="s">
        <v>3128</v>
      </c>
      <c r="J363" t="s">
        <v>3036</v>
      </c>
      <c r="K363">
        <v>2051.5500000000002</v>
      </c>
      <c r="L363" t="b">
        <v>0</v>
      </c>
    </row>
    <row r="364" spans="1:12" x14ac:dyDescent="0.25">
      <c r="A364" t="s">
        <v>3452</v>
      </c>
      <c r="B364" t="s">
        <v>1047</v>
      </c>
      <c r="C364" t="s">
        <v>3034</v>
      </c>
      <c r="D364" s="1">
        <v>46027.503692129627</v>
      </c>
      <c r="E364">
        <v>100.91</v>
      </c>
      <c r="F364">
        <v>3.23</v>
      </c>
      <c r="G364">
        <v>97.68</v>
      </c>
      <c r="H364" t="s">
        <v>19</v>
      </c>
      <c r="I364" t="s">
        <v>3453</v>
      </c>
      <c r="J364" t="s">
        <v>3036</v>
      </c>
      <c r="K364">
        <v>100.91</v>
      </c>
      <c r="L364" t="b">
        <v>0</v>
      </c>
    </row>
    <row r="365" spans="1:12" x14ac:dyDescent="0.25">
      <c r="A365" t="s">
        <v>3454</v>
      </c>
      <c r="B365" t="s">
        <v>1050</v>
      </c>
      <c r="C365" t="s">
        <v>3034</v>
      </c>
      <c r="D365" s="1">
        <v>46028.595625000002</v>
      </c>
      <c r="E365">
        <v>165.67</v>
      </c>
      <c r="F365">
        <v>5.0999999999999996</v>
      </c>
      <c r="G365">
        <v>160.57</v>
      </c>
      <c r="H365" t="s">
        <v>25</v>
      </c>
      <c r="I365" t="s">
        <v>3046</v>
      </c>
      <c r="J365" t="s">
        <v>3036</v>
      </c>
      <c r="K365">
        <v>165.67</v>
      </c>
      <c r="L365" t="b">
        <v>0</v>
      </c>
    </row>
    <row r="366" spans="1:12" x14ac:dyDescent="0.25">
      <c r="A366" t="s">
        <v>3455</v>
      </c>
      <c r="B366" t="s">
        <v>1053</v>
      </c>
      <c r="C366" t="s">
        <v>3034</v>
      </c>
      <c r="D366" s="1">
        <v>46029.704594907409</v>
      </c>
      <c r="E366">
        <v>1425.43</v>
      </c>
      <c r="F366">
        <v>41.64</v>
      </c>
      <c r="G366">
        <v>1383.79</v>
      </c>
      <c r="H366" t="s">
        <v>25</v>
      </c>
      <c r="I366" t="s">
        <v>3048</v>
      </c>
      <c r="J366" t="s">
        <v>3036</v>
      </c>
      <c r="K366">
        <v>1425.43</v>
      </c>
      <c r="L366" t="b">
        <v>0</v>
      </c>
    </row>
    <row r="367" spans="1:12" x14ac:dyDescent="0.25">
      <c r="A367" t="s">
        <v>3456</v>
      </c>
      <c r="B367" t="s">
        <v>1056</v>
      </c>
      <c r="C367" t="s">
        <v>3034</v>
      </c>
      <c r="D367" s="1">
        <v>46030.802766203706</v>
      </c>
      <c r="E367">
        <v>841.15</v>
      </c>
      <c r="F367">
        <v>24.69</v>
      </c>
      <c r="G367">
        <v>816.46</v>
      </c>
      <c r="H367" t="s">
        <v>25</v>
      </c>
      <c r="I367" t="s">
        <v>3050</v>
      </c>
      <c r="J367" t="s">
        <v>3036</v>
      </c>
      <c r="K367">
        <v>841.15</v>
      </c>
      <c r="L367" t="b">
        <v>0</v>
      </c>
    </row>
    <row r="368" spans="1:12" x14ac:dyDescent="0.25">
      <c r="A368" t="s">
        <v>3457</v>
      </c>
      <c r="B368" t="s">
        <v>1059</v>
      </c>
      <c r="C368" t="s">
        <v>3034</v>
      </c>
      <c r="D368" s="1">
        <v>46031.883599537039</v>
      </c>
      <c r="E368">
        <v>2098.44</v>
      </c>
      <c r="F368">
        <v>61.15</v>
      </c>
      <c r="G368">
        <v>2037.29</v>
      </c>
      <c r="H368" t="s">
        <v>25</v>
      </c>
      <c r="I368" t="s">
        <v>3052</v>
      </c>
      <c r="J368" t="s">
        <v>3036</v>
      </c>
      <c r="K368">
        <v>2098.44</v>
      </c>
      <c r="L368" t="b">
        <v>0</v>
      </c>
    </row>
    <row r="369" spans="1:12" x14ac:dyDescent="0.25">
      <c r="A369" t="s">
        <v>3458</v>
      </c>
      <c r="B369" t="s">
        <v>1062</v>
      </c>
      <c r="C369" t="s">
        <v>3034</v>
      </c>
      <c r="D369" s="1">
        <v>46032.980995370373</v>
      </c>
      <c r="E369">
        <v>614.94000000000005</v>
      </c>
      <c r="F369">
        <v>18.13</v>
      </c>
      <c r="G369">
        <v>596.80999999999995</v>
      </c>
      <c r="H369" t="s">
        <v>25</v>
      </c>
      <c r="I369" t="s">
        <v>3079</v>
      </c>
      <c r="J369" t="s">
        <v>3036</v>
      </c>
      <c r="K369">
        <v>614.94000000000005</v>
      </c>
      <c r="L369" t="b">
        <v>0</v>
      </c>
    </row>
    <row r="370" spans="1:12" x14ac:dyDescent="0.25">
      <c r="A370" t="s">
        <v>3459</v>
      </c>
      <c r="B370" t="s">
        <v>1065</v>
      </c>
      <c r="C370" t="s">
        <v>3034</v>
      </c>
      <c r="D370" s="1">
        <v>46034.064120370371</v>
      </c>
      <c r="E370">
        <v>745.64</v>
      </c>
      <c r="F370">
        <v>21.92</v>
      </c>
      <c r="G370">
        <v>723.72</v>
      </c>
      <c r="H370" t="s">
        <v>25</v>
      </c>
      <c r="I370" t="s">
        <v>3081</v>
      </c>
      <c r="J370" t="s">
        <v>3036</v>
      </c>
      <c r="K370">
        <v>745.64</v>
      </c>
      <c r="L370" t="b">
        <v>0</v>
      </c>
    </row>
    <row r="371" spans="1:12" x14ac:dyDescent="0.25">
      <c r="A371" t="s">
        <v>3460</v>
      </c>
      <c r="B371" t="s">
        <v>1068</v>
      </c>
      <c r="C371" t="s">
        <v>3034</v>
      </c>
      <c r="D371" s="1">
        <v>46035.145011574074</v>
      </c>
      <c r="E371">
        <v>514.30999999999995</v>
      </c>
      <c r="F371">
        <v>15.58</v>
      </c>
      <c r="G371">
        <v>498.73</v>
      </c>
      <c r="H371" t="s">
        <v>25</v>
      </c>
      <c r="I371" t="s">
        <v>3058</v>
      </c>
      <c r="J371" t="s">
        <v>3036</v>
      </c>
      <c r="K371">
        <v>514.30999999999995</v>
      </c>
      <c r="L371" t="b">
        <v>0</v>
      </c>
    </row>
    <row r="372" spans="1:12" x14ac:dyDescent="0.25">
      <c r="A372" t="s">
        <v>3461</v>
      </c>
      <c r="B372" t="s">
        <v>1071</v>
      </c>
      <c r="C372" t="s">
        <v>3034</v>
      </c>
      <c r="D372" s="1">
        <v>46035.25677083333</v>
      </c>
      <c r="E372">
        <v>1913.19</v>
      </c>
      <c r="F372">
        <v>55.78</v>
      </c>
      <c r="G372">
        <v>1857.41</v>
      </c>
      <c r="H372" t="s">
        <v>25</v>
      </c>
      <c r="I372" t="s">
        <v>3060</v>
      </c>
      <c r="J372" t="s">
        <v>3036</v>
      </c>
      <c r="K372">
        <v>1913.19</v>
      </c>
      <c r="L372" t="b">
        <v>0</v>
      </c>
    </row>
    <row r="373" spans="1:12" x14ac:dyDescent="0.25">
      <c r="A373" t="s">
        <v>3462</v>
      </c>
      <c r="B373" t="s">
        <v>1074</v>
      </c>
      <c r="C373" t="s">
        <v>3034</v>
      </c>
      <c r="D373" s="1">
        <v>46036.330763888887</v>
      </c>
      <c r="E373">
        <v>2107.5100000000002</v>
      </c>
      <c r="F373">
        <v>61.42</v>
      </c>
      <c r="G373">
        <v>2046.09</v>
      </c>
      <c r="H373" t="s">
        <v>52</v>
      </c>
      <c r="I373" t="s">
        <v>3140</v>
      </c>
      <c r="J373" t="s">
        <v>3036</v>
      </c>
      <c r="K373">
        <v>2107.5100000000002</v>
      </c>
      <c r="L373" t="b">
        <v>0</v>
      </c>
    </row>
    <row r="374" spans="1:12" x14ac:dyDescent="0.25">
      <c r="A374" t="s">
        <v>3463</v>
      </c>
      <c r="B374" t="s">
        <v>1074</v>
      </c>
      <c r="C374" t="s">
        <v>3076</v>
      </c>
      <c r="D374" s="1">
        <v>46037.323819444442</v>
      </c>
      <c r="E374">
        <v>-2107.5100000000002</v>
      </c>
      <c r="F374">
        <v>0</v>
      </c>
      <c r="G374">
        <v>-2107.5100000000002</v>
      </c>
      <c r="H374" t="s">
        <v>52</v>
      </c>
      <c r="I374" t="s">
        <v>3464</v>
      </c>
      <c r="J374" t="s">
        <v>3036</v>
      </c>
      <c r="K374">
        <v>-2107.5100000000002</v>
      </c>
      <c r="L374" t="b">
        <v>0</v>
      </c>
    </row>
    <row r="375" spans="1:12" x14ac:dyDescent="0.25">
      <c r="A375" t="s">
        <v>3465</v>
      </c>
      <c r="B375" t="s">
        <v>1077</v>
      </c>
      <c r="C375" t="s">
        <v>3034</v>
      </c>
      <c r="D375" s="1">
        <v>46023.41028935185</v>
      </c>
      <c r="E375">
        <v>2406.64</v>
      </c>
      <c r="F375">
        <v>70.09</v>
      </c>
      <c r="G375">
        <v>2336.5500000000002</v>
      </c>
      <c r="H375" t="s">
        <v>19</v>
      </c>
      <c r="I375" t="s">
        <v>3466</v>
      </c>
      <c r="J375" t="s">
        <v>3036</v>
      </c>
      <c r="K375">
        <v>2406.64</v>
      </c>
      <c r="L375" t="b">
        <v>0</v>
      </c>
    </row>
    <row r="376" spans="1:12" x14ac:dyDescent="0.25">
      <c r="A376" t="s">
        <v>3467</v>
      </c>
      <c r="B376" t="s">
        <v>1080</v>
      </c>
      <c r="C376" t="s">
        <v>3034</v>
      </c>
      <c r="D376" s="1">
        <v>46024.511203703703</v>
      </c>
      <c r="E376">
        <v>2119.7199999999998</v>
      </c>
      <c r="F376">
        <v>61.77</v>
      </c>
      <c r="G376">
        <v>2057.9499999999998</v>
      </c>
      <c r="H376" t="s">
        <v>25</v>
      </c>
      <c r="I376" t="s">
        <v>3468</v>
      </c>
      <c r="J376" t="s">
        <v>3036</v>
      </c>
      <c r="K376">
        <v>2119.7199999999998</v>
      </c>
      <c r="L376" t="b">
        <v>0</v>
      </c>
    </row>
    <row r="377" spans="1:12" x14ac:dyDescent="0.25">
      <c r="A377" t="s">
        <v>3469</v>
      </c>
      <c r="B377" t="s">
        <v>1083</v>
      </c>
      <c r="C377" t="s">
        <v>3034</v>
      </c>
      <c r="D377" s="1">
        <v>46025.631793981483</v>
      </c>
      <c r="E377">
        <v>874.64</v>
      </c>
      <c r="F377">
        <v>25.66</v>
      </c>
      <c r="G377">
        <v>848.98</v>
      </c>
      <c r="H377" t="s">
        <v>25</v>
      </c>
      <c r="I377" t="s">
        <v>3470</v>
      </c>
      <c r="J377" t="s">
        <v>3036</v>
      </c>
      <c r="K377">
        <v>874.64</v>
      </c>
      <c r="L377" t="b">
        <v>0</v>
      </c>
    </row>
    <row r="378" spans="1:12" x14ac:dyDescent="0.25">
      <c r="A378" t="s">
        <v>3471</v>
      </c>
      <c r="B378" t="s">
        <v>1086</v>
      </c>
      <c r="C378" t="s">
        <v>3034</v>
      </c>
      <c r="D378" s="1">
        <v>46026.690185185187</v>
      </c>
      <c r="E378">
        <v>513.54999999999995</v>
      </c>
      <c r="F378">
        <v>15.19</v>
      </c>
      <c r="G378">
        <v>498.36</v>
      </c>
      <c r="H378" t="s">
        <v>25</v>
      </c>
      <c r="I378" t="s">
        <v>3472</v>
      </c>
      <c r="J378" t="s">
        <v>3036</v>
      </c>
      <c r="K378">
        <v>513.54999999999995</v>
      </c>
      <c r="L378" t="b">
        <v>0</v>
      </c>
    </row>
    <row r="379" spans="1:12" x14ac:dyDescent="0.25">
      <c r="A379" t="s">
        <v>3473</v>
      </c>
      <c r="B379" t="s">
        <v>1089</v>
      </c>
      <c r="C379" t="s">
        <v>3034</v>
      </c>
      <c r="D379" s="1">
        <v>46027.807187500002</v>
      </c>
      <c r="E379">
        <v>2481.96</v>
      </c>
      <c r="F379">
        <v>72.28</v>
      </c>
      <c r="G379">
        <v>2409.6799999999998</v>
      </c>
      <c r="H379" t="s">
        <v>25</v>
      </c>
      <c r="I379" t="s">
        <v>3474</v>
      </c>
      <c r="J379" t="s">
        <v>3036</v>
      </c>
      <c r="K379">
        <v>2481.96</v>
      </c>
      <c r="L379" t="b">
        <v>0</v>
      </c>
    </row>
    <row r="380" spans="1:12" x14ac:dyDescent="0.25">
      <c r="A380" t="s">
        <v>3475</v>
      </c>
      <c r="B380" t="s">
        <v>1092</v>
      </c>
      <c r="C380" t="s">
        <v>3034</v>
      </c>
      <c r="D380" s="1">
        <v>46028.884155092594</v>
      </c>
      <c r="E380">
        <v>351.15</v>
      </c>
      <c r="F380">
        <v>10.48</v>
      </c>
      <c r="G380">
        <v>340.67</v>
      </c>
      <c r="H380" t="s">
        <v>25</v>
      </c>
      <c r="I380" t="s">
        <v>3476</v>
      </c>
      <c r="J380" t="s">
        <v>3036</v>
      </c>
      <c r="K380">
        <v>351.15</v>
      </c>
      <c r="L380" t="b">
        <v>0</v>
      </c>
    </row>
    <row r="381" spans="1:12" x14ac:dyDescent="0.25">
      <c r="A381" t="s">
        <v>3477</v>
      </c>
      <c r="B381" t="s">
        <v>1095</v>
      </c>
      <c r="C381" t="s">
        <v>3034</v>
      </c>
      <c r="D381" s="1">
        <v>46029.973761574074</v>
      </c>
      <c r="E381">
        <v>1680.45</v>
      </c>
      <c r="F381">
        <v>49.03</v>
      </c>
      <c r="G381">
        <v>1631.42</v>
      </c>
      <c r="H381" t="s">
        <v>25</v>
      </c>
      <c r="I381" t="s">
        <v>3478</v>
      </c>
      <c r="J381" t="s">
        <v>3036</v>
      </c>
      <c r="K381">
        <v>1680.45</v>
      </c>
      <c r="L381" t="b">
        <v>0</v>
      </c>
    </row>
    <row r="382" spans="1:12" x14ac:dyDescent="0.25">
      <c r="A382" t="s">
        <v>3479</v>
      </c>
      <c r="B382" t="s">
        <v>1098</v>
      </c>
      <c r="C382" t="s">
        <v>3034</v>
      </c>
      <c r="D382" s="1">
        <v>46031.082592592589</v>
      </c>
      <c r="E382">
        <v>1514.28</v>
      </c>
      <c r="F382">
        <v>44.21</v>
      </c>
      <c r="G382">
        <v>1470.07</v>
      </c>
      <c r="H382" t="s">
        <v>25</v>
      </c>
      <c r="I382" t="s">
        <v>3480</v>
      </c>
      <c r="J382" t="s">
        <v>3036</v>
      </c>
      <c r="K382">
        <v>1514.28</v>
      </c>
      <c r="L382" t="b">
        <v>0</v>
      </c>
    </row>
    <row r="383" spans="1:12" x14ac:dyDescent="0.25">
      <c r="A383" t="s">
        <v>3481</v>
      </c>
      <c r="B383" t="s">
        <v>1101</v>
      </c>
      <c r="C383" t="s">
        <v>3034</v>
      </c>
      <c r="D383" s="1">
        <v>46032.154641203706</v>
      </c>
      <c r="E383">
        <v>536.98</v>
      </c>
      <c r="F383">
        <v>15.87</v>
      </c>
      <c r="G383">
        <v>521.11</v>
      </c>
      <c r="H383" t="s">
        <v>25</v>
      </c>
      <c r="I383" t="s">
        <v>3482</v>
      </c>
      <c r="J383" t="s">
        <v>3036</v>
      </c>
      <c r="K383">
        <v>536.98</v>
      </c>
      <c r="L383" t="b">
        <v>0</v>
      </c>
    </row>
    <row r="384" spans="1:12" x14ac:dyDescent="0.25">
      <c r="A384" t="s">
        <v>3483</v>
      </c>
      <c r="B384" t="s">
        <v>1104</v>
      </c>
      <c r="C384" t="s">
        <v>3034</v>
      </c>
      <c r="D384" s="1">
        <v>46032.241712962961</v>
      </c>
      <c r="E384">
        <v>2425.8200000000002</v>
      </c>
      <c r="F384">
        <v>70.650000000000006</v>
      </c>
      <c r="G384">
        <v>2355.17</v>
      </c>
      <c r="H384" t="s">
        <v>52</v>
      </c>
      <c r="I384" t="s">
        <v>3484</v>
      </c>
      <c r="J384" t="s">
        <v>3036</v>
      </c>
      <c r="K384">
        <v>2425.8200000000002</v>
      </c>
      <c r="L384" t="b">
        <v>0</v>
      </c>
    </row>
    <row r="385" spans="1:12" x14ac:dyDescent="0.25">
      <c r="A385" t="s">
        <v>3485</v>
      </c>
      <c r="B385" t="s">
        <v>1107</v>
      </c>
      <c r="C385" t="s">
        <v>3034</v>
      </c>
      <c r="D385" s="1">
        <v>46033.35359953704</v>
      </c>
      <c r="E385">
        <v>858.24</v>
      </c>
      <c r="F385">
        <v>25.19</v>
      </c>
      <c r="G385">
        <v>833.05</v>
      </c>
      <c r="H385" t="s">
        <v>19</v>
      </c>
      <c r="I385" t="s">
        <v>3486</v>
      </c>
      <c r="J385" t="s">
        <v>3036</v>
      </c>
      <c r="K385">
        <v>858.24</v>
      </c>
      <c r="L385" t="b">
        <v>0</v>
      </c>
    </row>
    <row r="386" spans="1:12" x14ac:dyDescent="0.25">
      <c r="A386" t="s">
        <v>3487</v>
      </c>
      <c r="B386" t="s">
        <v>1110</v>
      </c>
      <c r="C386" t="s">
        <v>3034</v>
      </c>
      <c r="D386" s="1">
        <v>46034.420810185184</v>
      </c>
      <c r="E386">
        <v>1046.23</v>
      </c>
      <c r="F386">
        <v>30.64</v>
      </c>
      <c r="G386">
        <v>1015.59</v>
      </c>
      <c r="H386" t="s">
        <v>25</v>
      </c>
      <c r="I386" t="s">
        <v>3488</v>
      </c>
      <c r="J386" t="s">
        <v>3036</v>
      </c>
      <c r="K386">
        <v>1046.23</v>
      </c>
      <c r="L386" t="b">
        <v>0</v>
      </c>
    </row>
    <row r="387" spans="1:12" x14ac:dyDescent="0.25">
      <c r="A387" t="s">
        <v>3489</v>
      </c>
      <c r="B387" t="s">
        <v>1113</v>
      </c>
      <c r="C387" t="s">
        <v>3034</v>
      </c>
      <c r="D387" s="1">
        <v>46035.533576388887</v>
      </c>
      <c r="E387">
        <v>71.31</v>
      </c>
      <c r="F387">
        <v>2.37</v>
      </c>
      <c r="G387">
        <v>68.94</v>
      </c>
      <c r="H387" t="s">
        <v>25</v>
      </c>
      <c r="I387" t="s">
        <v>3490</v>
      </c>
      <c r="J387" t="s">
        <v>3036</v>
      </c>
      <c r="K387">
        <v>71.31</v>
      </c>
      <c r="L387" t="b">
        <v>0</v>
      </c>
    </row>
    <row r="388" spans="1:12" x14ac:dyDescent="0.25">
      <c r="A388" t="s">
        <v>3491</v>
      </c>
      <c r="B388" t="s">
        <v>1116</v>
      </c>
      <c r="C388" t="s">
        <v>3034</v>
      </c>
      <c r="D388" s="1">
        <v>46036.622800925928</v>
      </c>
      <c r="E388">
        <v>221.4</v>
      </c>
      <c r="F388">
        <v>6.72</v>
      </c>
      <c r="G388">
        <v>214.68</v>
      </c>
      <c r="H388" t="s">
        <v>25</v>
      </c>
      <c r="I388" t="s">
        <v>3492</v>
      </c>
      <c r="J388" t="s">
        <v>3036</v>
      </c>
      <c r="K388">
        <v>221.4</v>
      </c>
      <c r="L388" t="b">
        <v>0</v>
      </c>
    </row>
    <row r="389" spans="1:12" x14ac:dyDescent="0.25">
      <c r="A389" t="s">
        <v>3493</v>
      </c>
      <c r="B389" t="s">
        <v>1119</v>
      </c>
      <c r="C389" t="s">
        <v>3034</v>
      </c>
      <c r="D389" s="1">
        <v>46023.726712962962</v>
      </c>
      <c r="E389">
        <v>1852.59</v>
      </c>
      <c r="F389">
        <v>54.03</v>
      </c>
      <c r="G389">
        <v>1798.56</v>
      </c>
      <c r="H389" t="s">
        <v>25</v>
      </c>
      <c r="I389" t="s">
        <v>3494</v>
      </c>
      <c r="J389" t="s">
        <v>3036</v>
      </c>
      <c r="K389">
        <v>1852.59</v>
      </c>
      <c r="L389" t="b">
        <v>0</v>
      </c>
    </row>
    <row r="390" spans="1:12" x14ac:dyDescent="0.25">
      <c r="A390" t="s">
        <v>3495</v>
      </c>
      <c r="B390" t="s">
        <v>1122</v>
      </c>
      <c r="C390" t="s">
        <v>3034</v>
      </c>
      <c r="D390" s="1">
        <v>46024.791539351849</v>
      </c>
      <c r="E390">
        <v>307.02999999999997</v>
      </c>
      <c r="F390">
        <v>9.1999999999999993</v>
      </c>
      <c r="G390">
        <v>297.83</v>
      </c>
      <c r="H390" t="s">
        <v>25</v>
      </c>
      <c r="I390" t="s">
        <v>3468</v>
      </c>
      <c r="J390" t="s">
        <v>3036</v>
      </c>
      <c r="K390">
        <v>307.02999999999997</v>
      </c>
      <c r="L390" t="b">
        <v>0</v>
      </c>
    </row>
    <row r="391" spans="1:12" x14ac:dyDescent="0.25">
      <c r="A391" t="s">
        <v>3496</v>
      </c>
      <c r="B391" t="s">
        <v>1125</v>
      </c>
      <c r="C391" t="s">
        <v>3034</v>
      </c>
      <c r="D391" s="1">
        <v>46025.908900462964</v>
      </c>
      <c r="E391">
        <v>1279.97</v>
      </c>
      <c r="F391">
        <v>37.42</v>
      </c>
      <c r="G391">
        <v>1242.55</v>
      </c>
      <c r="H391" t="s">
        <v>25</v>
      </c>
      <c r="I391" t="s">
        <v>3470</v>
      </c>
      <c r="J391" t="s">
        <v>3036</v>
      </c>
      <c r="K391">
        <v>1279.97</v>
      </c>
      <c r="L391" t="b">
        <v>0</v>
      </c>
    </row>
    <row r="392" spans="1:12" x14ac:dyDescent="0.25">
      <c r="A392" t="s">
        <v>3497</v>
      </c>
      <c r="B392" t="s">
        <v>1125</v>
      </c>
      <c r="C392" t="s">
        <v>3076</v>
      </c>
      <c r="D392" s="1">
        <v>46026.901956018519</v>
      </c>
      <c r="E392">
        <v>-639.99</v>
      </c>
      <c r="F392">
        <v>0</v>
      </c>
      <c r="G392">
        <v>-639.99</v>
      </c>
      <c r="H392" t="s">
        <v>25</v>
      </c>
      <c r="I392" t="s">
        <v>3498</v>
      </c>
      <c r="J392" t="s">
        <v>3036</v>
      </c>
      <c r="K392">
        <v>-639.99</v>
      </c>
      <c r="L392" t="b">
        <v>0</v>
      </c>
    </row>
    <row r="393" spans="1:12" x14ac:dyDescent="0.25">
      <c r="A393" t="s">
        <v>3499</v>
      </c>
      <c r="B393" t="s">
        <v>1128</v>
      </c>
      <c r="C393" t="s">
        <v>3034</v>
      </c>
      <c r="D393" s="1">
        <v>46027.001701388886</v>
      </c>
      <c r="E393">
        <v>1354.32</v>
      </c>
      <c r="F393">
        <v>39.58</v>
      </c>
      <c r="G393">
        <v>1314.74</v>
      </c>
      <c r="H393" t="s">
        <v>25</v>
      </c>
      <c r="I393" t="s">
        <v>3472</v>
      </c>
      <c r="J393" t="s">
        <v>3036</v>
      </c>
      <c r="K393">
        <v>1354.32</v>
      </c>
      <c r="L393" t="b">
        <v>0</v>
      </c>
    </row>
    <row r="394" spans="1:12" x14ac:dyDescent="0.25">
      <c r="A394" t="s">
        <v>3500</v>
      </c>
      <c r="B394" t="s">
        <v>1131</v>
      </c>
      <c r="C394" t="s">
        <v>3034</v>
      </c>
      <c r="D394" s="1">
        <v>46028.059166666666</v>
      </c>
      <c r="E394">
        <v>1064.79</v>
      </c>
      <c r="F394">
        <v>31.18</v>
      </c>
      <c r="G394">
        <v>1033.6099999999999</v>
      </c>
      <c r="H394" t="s">
        <v>25</v>
      </c>
      <c r="I394" t="s">
        <v>3474</v>
      </c>
      <c r="J394" t="s">
        <v>3036</v>
      </c>
      <c r="K394">
        <v>1064.79</v>
      </c>
      <c r="L394" t="b">
        <v>0</v>
      </c>
    </row>
    <row r="395" spans="1:12" x14ac:dyDescent="0.25">
      <c r="A395" t="s">
        <v>3501</v>
      </c>
      <c r="B395" t="s">
        <v>1134</v>
      </c>
      <c r="C395" t="s">
        <v>3034</v>
      </c>
      <c r="D395" s="1">
        <v>46029.164687500001</v>
      </c>
      <c r="E395">
        <v>347.85</v>
      </c>
      <c r="F395">
        <v>10.39</v>
      </c>
      <c r="G395">
        <v>337.46</v>
      </c>
      <c r="H395" t="s">
        <v>52</v>
      </c>
      <c r="I395" t="s">
        <v>3502</v>
      </c>
      <c r="J395" t="s">
        <v>3036</v>
      </c>
      <c r="K395">
        <v>347.85</v>
      </c>
      <c r="L395" t="b">
        <v>0</v>
      </c>
    </row>
    <row r="396" spans="1:12" x14ac:dyDescent="0.25">
      <c r="A396" t="s">
        <v>3503</v>
      </c>
      <c r="B396" t="s">
        <v>1137</v>
      </c>
      <c r="C396" t="s">
        <v>3034</v>
      </c>
      <c r="D396" s="1">
        <v>46029.273738425924</v>
      </c>
      <c r="E396">
        <v>236</v>
      </c>
      <c r="F396">
        <v>7.14</v>
      </c>
      <c r="G396">
        <v>228.86</v>
      </c>
      <c r="H396" t="s">
        <v>19</v>
      </c>
      <c r="I396" t="s">
        <v>3504</v>
      </c>
      <c r="J396" t="s">
        <v>3036</v>
      </c>
      <c r="K396">
        <v>236</v>
      </c>
      <c r="L396" t="b">
        <v>0</v>
      </c>
    </row>
    <row r="397" spans="1:12" x14ac:dyDescent="0.25">
      <c r="A397" t="s">
        <v>3505</v>
      </c>
      <c r="B397" t="s">
        <v>1140</v>
      </c>
      <c r="C397" t="s">
        <v>3034</v>
      </c>
      <c r="D397" s="1">
        <v>46030.350972222222</v>
      </c>
      <c r="E397">
        <v>1615.31</v>
      </c>
      <c r="F397">
        <v>47.14</v>
      </c>
      <c r="G397">
        <v>1568.17</v>
      </c>
      <c r="H397" t="s">
        <v>25</v>
      </c>
      <c r="I397" t="s">
        <v>3480</v>
      </c>
      <c r="J397" t="s">
        <v>3036</v>
      </c>
      <c r="K397">
        <v>1615.31</v>
      </c>
      <c r="L397" t="b">
        <v>0</v>
      </c>
    </row>
    <row r="398" spans="1:12" x14ac:dyDescent="0.25">
      <c r="A398" t="s">
        <v>3506</v>
      </c>
      <c r="B398" t="s">
        <v>1143</v>
      </c>
      <c r="C398" t="s">
        <v>3034</v>
      </c>
      <c r="D398" s="1">
        <v>46031.427048611113</v>
      </c>
      <c r="E398">
        <v>2307.9</v>
      </c>
      <c r="F398">
        <v>67.23</v>
      </c>
      <c r="G398">
        <v>2240.67</v>
      </c>
      <c r="H398" t="s">
        <v>25</v>
      </c>
      <c r="I398" t="s">
        <v>3482</v>
      </c>
      <c r="J398" t="s">
        <v>3036</v>
      </c>
      <c r="K398">
        <v>2307.9</v>
      </c>
      <c r="L398" t="b">
        <v>0</v>
      </c>
    </row>
    <row r="399" spans="1:12" x14ac:dyDescent="0.25">
      <c r="A399" t="s">
        <v>3507</v>
      </c>
      <c r="B399" t="s">
        <v>1146</v>
      </c>
      <c r="C399" t="s">
        <v>3034</v>
      </c>
      <c r="D399" s="1">
        <v>46032.522569444445</v>
      </c>
      <c r="E399">
        <v>1852.64</v>
      </c>
      <c r="F399">
        <v>54.03</v>
      </c>
      <c r="G399">
        <v>1798.61</v>
      </c>
      <c r="H399" t="s">
        <v>25</v>
      </c>
      <c r="I399" t="s">
        <v>3508</v>
      </c>
      <c r="J399" t="s">
        <v>3036</v>
      </c>
      <c r="K399">
        <v>1852.64</v>
      </c>
      <c r="L399" t="b">
        <v>0</v>
      </c>
    </row>
    <row r="400" spans="1:12" x14ac:dyDescent="0.25">
      <c r="A400" t="s">
        <v>3509</v>
      </c>
      <c r="B400" t="s">
        <v>1149</v>
      </c>
      <c r="C400" t="s">
        <v>3034</v>
      </c>
      <c r="D400" s="1">
        <v>46033.608414351853</v>
      </c>
      <c r="E400">
        <v>1994.5</v>
      </c>
      <c r="F400">
        <v>58.14</v>
      </c>
      <c r="G400">
        <v>1936.36</v>
      </c>
      <c r="H400" t="s">
        <v>25</v>
      </c>
      <c r="I400" t="s">
        <v>3510</v>
      </c>
      <c r="J400" t="s">
        <v>3036</v>
      </c>
      <c r="K400">
        <v>1994.5</v>
      </c>
      <c r="L400" t="b">
        <v>0</v>
      </c>
    </row>
    <row r="401" spans="1:12" x14ac:dyDescent="0.25">
      <c r="A401" t="s">
        <v>3511</v>
      </c>
      <c r="B401" t="s">
        <v>1152</v>
      </c>
      <c r="C401" t="s">
        <v>3034</v>
      </c>
      <c r="D401" s="1">
        <v>46034.708437499998</v>
      </c>
      <c r="E401">
        <v>1197.72</v>
      </c>
      <c r="F401">
        <v>35.03</v>
      </c>
      <c r="G401">
        <v>1162.69</v>
      </c>
      <c r="H401" t="s">
        <v>25</v>
      </c>
      <c r="I401" t="s">
        <v>3512</v>
      </c>
      <c r="J401" t="s">
        <v>3036</v>
      </c>
      <c r="K401">
        <v>1197.72</v>
      </c>
      <c r="L401" t="b">
        <v>0</v>
      </c>
    </row>
    <row r="402" spans="1:12" x14ac:dyDescent="0.25">
      <c r="A402" t="s">
        <v>3513</v>
      </c>
      <c r="B402" t="s">
        <v>1155</v>
      </c>
      <c r="C402" t="s">
        <v>3034</v>
      </c>
      <c r="D402" s="1">
        <v>46035.810740740744</v>
      </c>
      <c r="E402">
        <v>1794.02</v>
      </c>
      <c r="F402">
        <v>52.33</v>
      </c>
      <c r="G402">
        <v>1741.69</v>
      </c>
      <c r="H402" t="s">
        <v>25</v>
      </c>
      <c r="I402" t="s">
        <v>3490</v>
      </c>
      <c r="J402" t="s">
        <v>3036</v>
      </c>
      <c r="K402">
        <v>1794.02</v>
      </c>
      <c r="L402" t="b">
        <v>0</v>
      </c>
    </row>
    <row r="403" spans="1:12" x14ac:dyDescent="0.25">
      <c r="A403" t="s">
        <v>3514</v>
      </c>
      <c r="B403" t="s">
        <v>1158</v>
      </c>
      <c r="C403" t="s">
        <v>3034</v>
      </c>
      <c r="D403" s="1">
        <v>46036.890324074076</v>
      </c>
      <c r="E403">
        <v>2300.46</v>
      </c>
      <c r="F403">
        <v>67.010000000000005</v>
      </c>
      <c r="G403">
        <v>2233.4499999999998</v>
      </c>
      <c r="H403" t="s">
        <v>52</v>
      </c>
      <c r="I403" t="s">
        <v>3515</v>
      </c>
      <c r="J403" t="s">
        <v>3036</v>
      </c>
      <c r="K403">
        <v>2300.46</v>
      </c>
      <c r="L403" t="b">
        <v>0</v>
      </c>
    </row>
    <row r="404" spans="1:12" x14ac:dyDescent="0.25">
      <c r="A404" t="s">
        <v>3516</v>
      </c>
      <c r="B404" t="s">
        <v>1161</v>
      </c>
      <c r="C404" t="s">
        <v>3034</v>
      </c>
      <c r="D404" s="1">
        <v>46023.986250000002</v>
      </c>
      <c r="E404">
        <v>771.88</v>
      </c>
      <c r="F404">
        <v>22.68</v>
      </c>
      <c r="G404">
        <v>749.2</v>
      </c>
      <c r="H404" t="s">
        <v>25</v>
      </c>
      <c r="I404" t="s">
        <v>3494</v>
      </c>
      <c r="J404" t="s">
        <v>3036</v>
      </c>
      <c r="K404">
        <v>771.88</v>
      </c>
      <c r="L404" t="b">
        <v>0</v>
      </c>
    </row>
    <row r="405" spans="1:12" x14ac:dyDescent="0.25">
      <c r="A405" t="s">
        <v>3517</v>
      </c>
      <c r="B405" t="s">
        <v>1164</v>
      </c>
      <c r="C405" t="s">
        <v>3034</v>
      </c>
      <c r="D405" s="1">
        <v>46025.070057870369</v>
      </c>
      <c r="E405">
        <v>69.66</v>
      </c>
      <c r="F405">
        <v>2.3199999999999998</v>
      </c>
      <c r="G405">
        <v>67.34</v>
      </c>
      <c r="H405" t="s">
        <v>52</v>
      </c>
      <c r="I405" t="s">
        <v>3518</v>
      </c>
      <c r="J405" t="s">
        <v>3036</v>
      </c>
      <c r="K405">
        <v>69.66</v>
      </c>
      <c r="L405" t="b">
        <v>0</v>
      </c>
    </row>
    <row r="406" spans="1:12" x14ac:dyDescent="0.25">
      <c r="A406" t="s">
        <v>3519</v>
      </c>
      <c r="B406" t="s">
        <v>1167</v>
      </c>
      <c r="C406" t="s">
        <v>3034</v>
      </c>
      <c r="D406" s="1">
        <v>46026.185104166667</v>
      </c>
      <c r="E406">
        <v>837.41</v>
      </c>
      <c r="F406">
        <v>24.58</v>
      </c>
      <c r="G406">
        <v>812.83</v>
      </c>
      <c r="H406" t="s">
        <v>19</v>
      </c>
      <c r="I406" t="s">
        <v>3520</v>
      </c>
      <c r="J406" t="s">
        <v>3036</v>
      </c>
      <c r="K406">
        <v>837.41</v>
      </c>
      <c r="L406" t="b">
        <v>0</v>
      </c>
    </row>
    <row r="407" spans="1:12" x14ac:dyDescent="0.25">
      <c r="A407" t="s">
        <v>3521</v>
      </c>
      <c r="B407" t="s">
        <v>1170</v>
      </c>
      <c r="C407" t="s">
        <v>3034</v>
      </c>
      <c r="D407" s="1">
        <v>46026.283009259256</v>
      </c>
      <c r="E407">
        <v>1695.16</v>
      </c>
      <c r="F407">
        <v>49.46</v>
      </c>
      <c r="G407">
        <v>1645.7</v>
      </c>
      <c r="H407" t="s">
        <v>25</v>
      </c>
      <c r="I407" t="s">
        <v>3472</v>
      </c>
      <c r="J407" t="s">
        <v>3036</v>
      </c>
      <c r="K407">
        <v>1695.16</v>
      </c>
      <c r="L407" t="b">
        <v>0</v>
      </c>
    </row>
    <row r="408" spans="1:12" x14ac:dyDescent="0.25">
      <c r="A408" t="s">
        <v>3522</v>
      </c>
      <c r="B408" t="s">
        <v>1170</v>
      </c>
      <c r="C408" t="s">
        <v>3076</v>
      </c>
      <c r="D408" s="1">
        <v>46027.276064814818</v>
      </c>
      <c r="E408">
        <v>-847.58</v>
      </c>
      <c r="F408">
        <v>0</v>
      </c>
      <c r="G408">
        <v>-847.58</v>
      </c>
      <c r="H408" t="s">
        <v>25</v>
      </c>
      <c r="I408" t="s">
        <v>3523</v>
      </c>
      <c r="J408" t="s">
        <v>3036</v>
      </c>
      <c r="K408">
        <v>-847.58</v>
      </c>
      <c r="L408" t="b">
        <v>0</v>
      </c>
    </row>
    <row r="409" spans="1:12" x14ac:dyDescent="0.25">
      <c r="A409" t="s">
        <v>3524</v>
      </c>
      <c r="B409" t="s">
        <v>1173</v>
      </c>
      <c r="C409" t="s">
        <v>3034</v>
      </c>
      <c r="D409" s="1">
        <v>46027.372094907405</v>
      </c>
      <c r="E409">
        <v>2305.9</v>
      </c>
      <c r="F409">
        <v>67.17</v>
      </c>
      <c r="G409">
        <v>2238.73</v>
      </c>
      <c r="H409" t="s">
        <v>25</v>
      </c>
      <c r="I409" t="s">
        <v>3474</v>
      </c>
      <c r="J409" t="s">
        <v>3036</v>
      </c>
      <c r="K409">
        <v>2305.9</v>
      </c>
      <c r="L409" t="b">
        <v>0</v>
      </c>
    </row>
    <row r="410" spans="1:12" x14ac:dyDescent="0.25">
      <c r="A410" t="s">
        <v>3525</v>
      </c>
      <c r="B410" t="s">
        <v>1176</v>
      </c>
      <c r="C410" t="s">
        <v>3034</v>
      </c>
      <c r="D410" s="1">
        <v>46028.441736111112</v>
      </c>
      <c r="E410">
        <v>2390.87</v>
      </c>
      <c r="F410">
        <v>69.64</v>
      </c>
      <c r="G410">
        <v>2321.23</v>
      </c>
      <c r="H410" t="s">
        <v>25</v>
      </c>
      <c r="I410" t="s">
        <v>3476</v>
      </c>
      <c r="J410" t="s">
        <v>3036</v>
      </c>
      <c r="K410">
        <v>2390.87</v>
      </c>
      <c r="L410" t="b">
        <v>0</v>
      </c>
    </row>
    <row r="411" spans="1:12" x14ac:dyDescent="0.25">
      <c r="A411" t="s">
        <v>3526</v>
      </c>
      <c r="B411" t="s">
        <v>1179</v>
      </c>
      <c r="C411" t="s">
        <v>3034</v>
      </c>
      <c r="D411" s="1">
        <v>46029.540567129632</v>
      </c>
      <c r="E411">
        <v>1039.07</v>
      </c>
      <c r="F411">
        <v>30.43</v>
      </c>
      <c r="G411">
        <v>1008.64</v>
      </c>
      <c r="H411" t="s">
        <v>25</v>
      </c>
      <c r="I411" t="s">
        <v>3478</v>
      </c>
      <c r="J411" t="s">
        <v>3036</v>
      </c>
      <c r="K411">
        <v>1039.07</v>
      </c>
      <c r="L411" t="b">
        <v>0</v>
      </c>
    </row>
    <row r="412" spans="1:12" x14ac:dyDescent="0.25">
      <c r="A412" t="s">
        <v>3527</v>
      </c>
      <c r="B412" t="s">
        <v>1182</v>
      </c>
      <c r="C412" t="s">
        <v>3034</v>
      </c>
      <c r="D412" s="1">
        <v>46030.644699074073</v>
      </c>
      <c r="E412">
        <v>276.97000000000003</v>
      </c>
      <c r="F412">
        <v>8.33</v>
      </c>
      <c r="G412">
        <v>268.64</v>
      </c>
      <c r="H412" t="s">
        <v>25</v>
      </c>
      <c r="I412" t="s">
        <v>3480</v>
      </c>
      <c r="J412" t="s">
        <v>3036</v>
      </c>
      <c r="K412">
        <v>276.97000000000003</v>
      </c>
      <c r="L412" t="b">
        <v>0</v>
      </c>
    </row>
    <row r="413" spans="1:12" x14ac:dyDescent="0.25">
      <c r="A413" t="s">
        <v>3528</v>
      </c>
      <c r="B413" t="s">
        <v>1185</v>
      </c>
      <c r="C413" t="s">
        <v>3034</v>
      </c>
      <c r="D413" s="1">
        <v>46031.709780092591</v>
      </c>
      <c r="E413">
        <v>2373.16</v>
      </c>
      <c r="F413">
        <v>69.12</v>
      </c>
      <c r="G413">
        <v>2304.04</v>
      </c>
      <c r="H413" t="s">
        <v>25</v>
      </c>
      <c r="I413" t="s">
        <v>3482</v>
      </c>
      <c r="J413" t="s">
        <v>3036</v>
      </c>
      <c r="K413">
        <v>2373.16</v>
      </c>
      <c r="L413" t="b">
        <v>0</v>
      </c>
    </row>
    <row r="414" spans="1:12" x14ac:dyDescent="0.25">
      <c r="A414" t="s">
        <v>3529</v>
      </c>
      <c r="B414" t="s">
        <v>1188</v>
      </c>
      <c r="C414" t="s">
        <v>3034</v>
      </c>
      <c r="D414" s="1">
        <v>46032.823784722219</v>
      </c>
      <c r="E414">
        <v>1141.77</v>
      </c>
      <c r="F414">
        <v>33.409999999999997</v>
      </c>
      <c r="G414">
        <v>1108.3599999999999</v>
      </c>
      <c r="H414" t="s">
        <v>25</v>
      </c>
      <c r="I414" t="s">
        <v>3530</v>
      </c>
      <c r="J414" t="s">
        <v>3036</v>
      </c>
      <c r="K414">
        <v>1141.77</v>
      </c>
      <c r="L414" t="b">
        <v>0</v>
      </c>
    </row>
    <row r="415" spans="1:12" x14ac:dyDescent="0.25">
      <c r="A415" t="s">
        <v>3531</v>
      </c>
      <c r="B415" t="s">
        <v>1191</v>
      </c>
      <c r="C415" t="s">
        <v>3034</v>
      </c>
      <c r="D415" s="1">
        <v>46033.909571759257</v>
      </c>
      <c r="E415">
        <v>1995.24</v>
      </c>
      <c r="F415">
        <v>58.16</v>
      </c>
      <c r="G415">
        <v>1937.08</v>
      </c>
      <c r="H415" t="s">
        <v>25</v>
      </c>
      <c r="I415" t="s">
        <v>3510</v>
      </c>
      <c r="J415" t="s">
        <v>3036</v>
      </c>
      <c r="K415">
        <v>1995.24</v>
      </c>
      <c r="L415" t="b">
        <v>0</v>
      </c>
    </row>
    <row r="416" spans="1:12" x14ac:dyDescent="0.25">
      <c r="A416" t="s">
        <v>3532</v>
      </c>
      <c r="B416" t="s">
        <v>1194</v>
      </c>
      <c r="C416" t="s">
        <v>3034</v>
      </c>
      <c r="D416" s="1">
        <v>46034.982175925928</v>
      </c>
      <c r="E416">
        <v>533.07000000000005</v>
      </c>
      <c r="F416">
        <v>15.76</v>
      </c>
      <c r="G416">
        <v>517.30999999999995</v>
      </c>
      <c r="H416" t="s">
        <v>52</v>
      </c>
      <c r="I416" t="s">
        <v>3533</v>
      </c>
      <c r="J416" t="s">
        <v>3036</v>
      </c>
      <c r="K416">
        <v>533.07000000000005</v>
      </c>
      <c r="L416" t="b">
        <v>0</v>
      </c>
    </row>
    <row r="417" spans="1:12" x14ac:dyDescent="0.25">
      <c r="A417" t="s">
        <v>3534</v>
      </c>
      <c r="B417" t="s">
        <v>1197</v>
      </c>
      <c r="C417" t="s">
        <v>3034</v>
      </c>
      <c r="D417" s="1">
        <v>46036.077719907407</v>
      </c>
      <c r="E417">
        <v>805.73</v>
      </c>
      <c r="F417">
        <v>23.67</v>
      </c>
      <c r="G417">
        <v>782.06</v>
      </c>
      <c r="H417" t="s">
        <v>19</v>
      </c>
      <c r="I417" t="s">
        <v>3535</v>
      </c>
      <c r="J417" t="s">
        <v>3036</v>
      </c>
      <c r="K417">
        <v>805.73</v>
      </c>
      <c r="L417" t="b">
        <v>0</v>
      </c>
    </row>
    <row r="418" spans="1:12" x14ac:dyDescent="0.25">
      <c r="A418" t="s">
        <v>3536</v>
      </c>
      <c r="B418" t="s">
        <v>1200</v>
      </c>
      <c r="C418" t="s">
        <v>3034</v>
      </c>
      <c r="D418" s="1">
        <v>46037.200358796297</v>
      </c>
      <c r="E418">
        <v>1488.85</v>
      </c>
      <c r="F418">
        <v>43.48</v>
      </c>
      <c r="G418">
        <v>1445.37</v>
      </c>
      <c r="H418" t="s">
        <v>25</v>
      </c>
      <c r="I418" t="s">
        <v>3492</v>
      </c>
      <c r="J418" t="s">
        <v>3036</v>
      </c>
      <c r="K418">
        <v>1488.85</v>
      </c>
      <c r="L418" t="b">
        <v>0</v>
      </c>
    </row>
    <row r="419" spans="1:12" x14ac:dyDescent="0.25">
      <c r="A419" t="s">
        <v>3537</v>
      </c>
      <c r="B419" t="s">
        <v>1203</v>
      </c>
      <c r="C419" t="s">
        <v>3034</v>
      </c>
      <c r="D419" s="1">
        <v>46023.269236111111</v>
      </c>
      <c r="E419">
        <v>498.35</v>
      </c>
      <c r="F419">
        <v>14.75</v>
      </c>
      <c r="G419">
        <v>483.6</v>
      </c>
      <c r="H419" t="s">
        <v>25</v>
      </c>
      <c r="I419" t="s">
        <v>3494</v>
      </c>
      <c r="J419" t="s">
        <v>3036</v>
      </c>
      <c r="K419">
        <v>498.35</v>
      </c>
      <c r="L419" t="b">
        <v>0</v>
      </c>
    </row>
    <row r="420" spans="1:12" x14ac:dyDescent="0.25">
      <c r="A420" t="s">
        <v>3538</v>
      </c>
      <c r="B420" t="s">
        <v>1206</v>
      </c>
      <c r="C420" t="s">
        <v>3034</v>
      </c>
      <c r="D420" s="1">
        <v>46024.364664351851</v>
      </c>
      <c r="E420">
        <v>1055.67</v>
      </c>
      <c r="F420">
        <v>30.91</v>
      </c>
      <c r="G420">
        <v>1024.76</v>
      </c>
      <c r="H420" t="s">
        <v>25</v>
      </c>
      <c r="I420" t="s">
        <v>3468</v>
      </c>
      <c r="J420" t="s">
        <v>3036</v>
      </c>
      <c r="K420">
        <v>1055.67</v>
      </c>
      <c r="L420" t="b">
        <v>0</v>
      </c>
    </row>
    <row r="421" spans="1:12" x14ac:dyDescent="0.25">
      <c r="A421" t="s">
        <v>3539</v>
      </c>
      <c r="B421" t="s">
        <v>1209</v>
      </c>
      <c r="C421" t="s">
        <v>3034</v>
      </c>
      <c r="D421" s="1">
        <v>46025.455694444441</v>
      </c>
      <c r="E421">
        <v>2364.77</v>
      </c>
      <c r="F421">
        <v>68.88</v>
      </c>
      <c r="G421">
        <v>2295.89</v>
      </c>
      <c r="H421" t="s">
        <v>25</v>
      </c>
      <c r="I421" t="s">
        <v>3470</v>
      </c>
      <c r="J421" t="s">
        <v>3036</v>
      </c>
      <c r="K421">
        <v>2364.77</v>
      </c>
      <c r="L421" t="b">
        <v>0</v>
      </c>
    </row>
    <row r="422" spans="1:12" x14ac:dyDescent="0.25">
      <c r="A422" t="s">
        <v>3540</v>
      </c>
      <c r="B422" t="s">
        <v>1212</v>
      </c>
      <c r="C422" t="s">
        <v>3034</v>
      </c>
      <c r="D422" s="1">
        <v>46026.532696759263</v>
      </c>
      <c r="E422">
        <v>1056.45</v>
      </c>
      <c r="F422">
        <v>30.94</v>
      </c>
      <c r="G422">
        <v>1025.51</v>
      </c>
      <c r="H422" t="s">
        <v>25</v>
      </c>
      <c r="I422" t="s">
        <v>3472</v>
      </c>
      <c r="J422" t="s">
        <v>3036</v>
      </c>
      <c r="K422">
        <v>1056.45</v>
      </c>
      <c r="L422" t="b">
        <v>0</v>
      </c>
    </row>
    <row r="423" spans="1:12" x14ac:dyDescent="0.25">
      <c r="A423" t="s">
        <v>3541</v>
      </c>
      <c r="B423" t="s">
        <v>1215</v>
      </c>
      <c r="C423" t="s">
        <v>3034</v>
      </c>
      <c r="D423" s="1">
        <v>46027.663981481484</v>
      </c>
      <c r="E423">
        <v>20.72</v>
      </c>
      <c r="F423">
        <v>0.9</v>
      </c>
      <c r="G423">
        <v>19.82</v>
      </c>
      <c r="H423" t="s">
        <v>25</v>
      </c>
      <c r="I423" t="s">
        <v>3474</v>
      </c>
      <c r="J423" t="s">
        <v>3036</v>
      </c>
      <c r="K423">
        <v>20.72</v>
      </c>
      <c r="L423" t="b">
        <v>0</v>
      </c>
    </row>
    <row r="424" spans="1:12" x14ac:dyDescent="0.25">
      <c r="A424" t="s">
        <v>3542</v>
      </c>
      <c r="B424" t="s">
        <v>1218</v>
      </c>
      <c r="C424" t="s">
        <v>3034</v>
      </c>
      <c r="D424" s="1">
        <v>46028.728668981479</v>
      </c>
      <c r="E424">
        <v>1134.6099999999999</v>
      </c>
      <c r="F424">
        <v>33.200000000000003</v>
      </c>
      <c r="G424">
        <v>1101.4100000000001</v>
      </c>
      <c r="H424" t="s">
        <v>25</v>
      </c>
      <c r="I424" t="s">
        <v>3476</v>
      </c>
      <c r="J424" t="s">
        <v>3036</v>
      </c>
      <c r="K424">
        <v>1134.6099999999999</v>
      </c>
      <c r="L424" t="b">
        <v>0</v>
      </c>
    </row>
    <row r="425" spans="1:12" x14ac:dyDescent="0.25">
      <c r="A425" t="s">
        <v>3543</v>
      </c>
      <c r="B425" t="s">
        <v>1221</v>
      </c>
      <c r="C425" t="s">
        <v>3034</v>
      </c>
      <c r="D425" s="1">
        <v>46029.838796296295</v>
      </c>
      <c r="E425">
        <v>1377.91</v>
      </c>
      <c r="F425">
        <v>40.26</v>
      </c>
      <c r="G425">
        <v>1337.65</v>
      </c>
      <c r="H425" t="s">
        <v>25</v>
      </c>
      <c r="I425" t="s">
        <v>3478</v>
      </c>
      <c r="J425" t="s">
        <v>3036</v>
      </c>
      <c r="K425">
        <v>1377.91</v>
      </c>
      <c r="L425" t="b">
        <v>0</v>
      </c>
    </row>
    <row r="426" spans="1:12" x14ac:dyDescent="0.25">
      <c r="A426" t="s">
        <v>3544</v>
      </c>
      <c r="B426" t="s">
        <v>1224</v>
      </c>
      <c r="C426" t="s">
        <v>3034</v>
      </c>
      <c r="D426" s="1">
        <v>46030.931250000001</v>
      </c>
      <c r="E426">
        <v>84.97</v>
      </c>
      <c r="F426">
        <v>2.76</v>
      </c>
      <c r="G426">
        <v>82.21</v>
      </c>
      <c r="H426" t="s">
        <v>52</v>
      </c>
      <c r="I426" t="s">
        <v>3545</v>
      </c>
      <c r="J426" t="s">
        <v>3036</v>
      </c>
      <c r="K426">
        <v>84.97</v>
      </c>
      <c r="L426" t="b">
        <v>0</v>
      </c>
    </row>
    <row r="427" spans="1:12" x14ac:dyDescent="0.25">
      <c r="A427" t="s">
        <v>3546</v>
      </c>
      <c r="B427" t="s">
        <v>1224</v>
      </c>
      <c r="C427" t="s">
        <v>3076</v>
      </c>
      <c r="D427" s="1">
        <v>46031.924305555556</v>
      </c>
      <c r="E427">
        <v>-42.49</v>
      </c>
      <c r="F427">
        <v>0</v>
      </c>
      <c r="G427">
        <v>-42.49</v>
      </c>
      <c r="H427" t="s">
        <v>52</v>
      </c>
      <c r="I427" t="s">
        <v>3547</v>
      </c>
      <c r="J427" t="s">
        <v>3036</v>
      </c>
      <c r="K427">
        <v>-42.49</v>
      </c>
      <c r="L427" t="b">
        <v>0</v>
      </c>
    </row>
    <row r="428" spans="1:12" x14ac:dyDescent="0.25">
      <c r="A428" t="s">
        <v>3548</v>
      </c>
      <c r="B428" t="s">
        <v>1227</v>
      </c>
      <c r="C428" t="s">
        <v>3034</v>
      </c>
      <c r="D428" s="1">
        <v>46032.015370370369</v>
      </c>
      <c r="E428">
        <v>842.79</v>
      </c>
      <c r="F428">
        <v>24.74</v>
      </c>
      <c r="G428">
        <v>818.05</v>
      </c>
      <c r="H428" t="s">
        <v>19</v>
      </c>
      <c r="I428" t="s">
        <v>3549</v>
      </c>
      <c r="J428" t="s">
        <v>3036</v>
      </c>
      <c r="K428">
        <v>842.79</v>
      </c>
      <c r="L428" t="b">
        <v>0</v>
      </c>
    </row>
    <row r="429" spans="1:12" x14ac:dyDescent="0.25">
      <c r="A429" t="s">
        <v>3550</v>
      </c>
      <c r="B429" t="s">
        <v>1230</v>
      </c>
      <c r="C429" t="s">
        <v>3034</v>
      </c>
      <c r="D429" s="1">
        <v>46033.098657407405</v>
      </c>
      <c r="E429">
        <v>1265.6099999999999</v>
      </c>
      <c r="F429">
        <v>37</v>
      </c>
      <c r="G429">
        <v>1228.6099999999999</v>
      </c>
      <c r="H429" t="s">
        <v>25</v>
      </c>
      <c r="I429" t="s">
        <v>3530</v>
      </c>
      <c r="J429" t="s">
        <v>3036</v>
      </c>
      <c r="K429">
        <v>1265.6099999999999</v>
      </c>
      <c r="L429" t="b">
        <v>0</v>
      </c>
    </row>
    <row r="430" spans="1:12" x14ac:dyDescent="0.25">
      <c r="A430" t="s">
        <v>3551</v>
      </c>
      <c r="B430" t="s">
        <v>1233</v>
      </c>
      <c r="C430" t="s">
        <v>3034</v>
      </c>
      <c r="D430" s="1">
        <v>46034.193356481483</v>
      </c>
      <c r="E430">
        <v>908.71</v>
      </c>
      <c r="F430">
        <v>26.65</v>
      </c>
      <c r="G430">
        <v>882.06</v>
      </c>
      <c r="H430" t="s">
        <v>25</v>
      </c>
      <c r="I430" t="s">
        <v>3510</v>
      </c>
      <c r="J430" t="s">
        <v>3036</v>
      </c>
      <c r="K430">
        <v>908.71</v>
      </c>
      <c r="L430" t="b">
        <v>0</v>
      </c>
    </row>
    <row r="431" spans="1:12" x14ac:dyDescent="0.25">
      <c r="A431" t="s">
        <v>3552</v>
      </c>
      <c r="B431" t="s">
        <v>1236</v>
      </c>
      <c r="C431" t="s">
        <v>3034</v>
      </c>
      <c r="D431" s="1">
        <v>46034.281134259261</v>
      </c>
      <c r="E431">
        <v>2174.16</v>
      </c>
      <c r="F431">
        <v>63.35</v>
      </c>
      <c r="G431">
        <v>2110.81</v>
      </c>
      <c r="H431" t="s">
        <v>25</v>
      </c>
      <c r="I431" t="s">
        <v>3553</v>
      </c>
      <c r="J431" t="s">
        <v>3036</v>
      </c>
      <c r="K431">
        <v>2174.16</v>
      </c>
      <c r="L431" t="b">
        <v>0</v>
      </c>
    </row>
    <row r="432" spans="1:12" x14ac:dyDescent="0.25">
      <c r="A432" t="s">
        <v>3554</v>
      </c>
      <c r="B432" t="s">
        <v>1239</v>
      </c>
      <c r="C432" t="s">
        <v>3034</v>
      </c>
      <c r="D432" s="1">
        <v>46035.369293981479</v>
      </c>
      <c r="E432">
        <v>768.12</v>
      </c>
      <c r="F432">
        <v>22.58</v>
      </c>
      <c r="G432">
        <v>745.54</v>
      </c>
      <c r="H432" t="s">
        <v>25</v>
      </c>
      <c r="I432" t="s">
        <v>3490</v>
      </c>
      <c r="J432" t="s">
        <v>3036</v>
      </c>
      <c r="K432">
        <v>768.12</v>
      </c>
      <c r="L432" t="b">
        <v>0</v>
      </c>
    </row>
    <row r="433" spans="1:12" x14ac:dyDescent="0.25">
      <c r="A433" t="s">
        <v>3555</v>
      </c>
      <c r="B433" t="s">
        <v>1242</v>
      </c>
      <c r="C433" t="s">
        <v>3034</v>
      </c>
      <c r="D433" s="1">
        <v>46036.458020833335</v>
      </c>
      <c r="E433">
        <v>48.65</v>
      </c>
      <c r="F433">
        <v>1.71</v>
      </c>
      <c r="G433">
        <v>46.94</v>
      </c>
      <c r="H433" t="s">
        <v>25</v>
      </c>
      <c r="I433" t="s">
        <v>3492</v>
      </c>
      <c r="J433" t="s">
        <v>3036</v>
      </c>
      <c r="K433">
        <v>48.65</v>
      </c>
      <c r="L433" t="b">
        <v>0</v>
      </c>
    </row>
    <row r="434" spans="1:12" x14ac:dyDescent="0.25">
      <c r="A434" t="s">
        <v>3556</v>
      </c>
      <c r="B434" t="s">
        <v>1245</v>
      </c>
      <c r="C434" t="s">
        <v>3034</v>
      </c>
      <c r="D434" s="1">
        <v>46023.54210648148</v>
      </c>
      <c r="E434">
        <v>1830.48</v>
      </c>
      <c r="F434">
        <v>53.38</v>
      </c>
      <c r="G434">
        <v>1777.1</v>
      </c>
      <c r="H434" t="s">
        <v>25</v>
      </c>
      <c r="I434" t="s">
        <v>3557</v>
      </c>
      <c r="J434" t="s">
        <v>3036</v>
      </c>
      <c r="K434">
        <v>1830.48</v>
      </c>
      <c r="L434" t="b">
        <v>0</v>
      </c>
    </row>
    <row r="435" spans="1:12" x14ac:dyDescent="0.25">
      <c r="A435" t="s">
        <v>3558</v>
      </c>
      <c r="B435" t="s">
        <v>1248</v>
      </c>
      <c r="C435" t="s">
        <v>3034</v>
      </c>
      <c r="D435" s="1">
        <v>46024.63144675926</v>
      </c>
      <c r="E435">
        <v>2431.4299999999998</v>
      </c>
      <c r="F435">
        <v>70.81</v>
      </c>
      <c r="G435">
        <v>2360.62</v>
      </c>
      <c r="H435" t="s">
        <v>25</v>
      </c>
      <c r="I435" t="s">
        <v>3468</v>
      </c>
      <c r="J435" t="s">
        <v>3036</v>
      </c>
      <c r="K435">
        <v>2431.4299999999998</v>
      </c>
      <c r="L435" t="b">
        <v>0</v>
      </c>
    </row>
    <row r="436" spans="1:12" x14ac:dyDescent="0.25">
      <c r="A436" t="s">
        <v>3559</v>
      </c>
      <c r="B436" t="s">
        <v>1251</v>
      </c>
      <c r="C436" t="s">
        <v>3034</v>
      </c>
      <c r="D436" s="1">
        <v>46025.740127314813</v>
      </c>
      <c r="E436">
        <v>317.68</v>
      </c>
      <c r="F436">
        <v>9.51</v>
      </c>
      <c r="G436">
        <v>308.17</v>
      </c>
      <c r="H436" t="s">
        <v>25</v>
      </c>
      <c r="I436" t="s">
        <v>3470</v>
      </c>
      <c r="J436" t="s">
        <v>3036</v>
      </c>
      <c r="K436">
        <v>317.68</v>
      </c>
      <c r="L436" t="b">
        <v>0</v>
      </c>
    </row>
    <row r="437" spans="1:12" x14ac:dyDescent="0.25">
      <c r="A437" t="s">
        <v>3560</v>
      </c>
      <c r="B437" t="s">
        <v>1254</v>
      </c>
      <c r="C437" t="s">
        <v>3034</v>
      </c>
      <c r="D437" s="1">
        <v>46026.821909722225</v>
      </c>
      <c r="E437">
        <v>611.23</v>
      </c>
      <c r="F437">
        <v>18.03</v>
      </c>
      <c r="G437">
        <v>593.20000000000005</v>
      </c>
      <c r="H437" t="s">
        <v>52</v>
      </c>
      <c r="I437" t="s">
        <v>3561</v>
      </c>
      <c r="J437" t="s">
        <v>3036</v>
      </c>
      <c r="K437">
        <v>611.23</v>
      </c>
      <c r="L437" t="b">
        <v>0</v>
      </c>
    </row>
    <row r="438" spans="1:12" x14ac:dyDescent="0.25">
      <c r="A438" t="s">
        <v>3562</v>
      </c>
      <c r="B438" t="s">
        <v>1257</v>
      </c>
      <c r="C438" t="s">
        <v>3034</v>
      </c>
      <c r="D438" s="1">
        <v>46027.935601851852</v>
      </c>
      <c r="E438">
        <v>805.49</v>
      </c>
      <c r="F438">
        <v>23.66</v>
      </c>
      <c r="G438">
        <v>781.83</v>
      </c>
      <c r="H438" t="s">
        <v>19</v>
      </c>
      <c r="I438" t="s">
        <v>3563</v>
      </c>
      <c r="J438" t="s">
        <v>3036</v>
      </c>
      <c r="K438">
        <v>805.49</v>
      </c>
      <c r="L438" t="b">
        <v>0</v>
      </c>
    </row>
    <row r="439" spans="1:12" x14ac:dyDescent="0.25">
      <c r="A439" t="s">
        <v>3564</v>
      </c>
      <c r="B439" t="s">
        <v>1260</v>
      </c>
      <c r="C439" t="s">
        <v>3034</v>
      </c>
      <c r="D439" s="1">
        <v>46029.039351851854</v>
      </c>
      <c r="E439">
        <v>773.75</v>
      </c>
      <c r="F439">
        <v>22.74</v>
      </c>
      <c r="G439">
        <v>751.01</v>
      </c>
      <c r="H439" t="s">
        <v>25</v>
      </c>
      <c r="I439" t="s">
        <v>3476</v>
      </c>
      <c r="J439" t="s">
        <v>3036</v>
      </c>
      <c r="K439">
        <v>773.75</v>
      </c>
      <c r="L439" t="b">
        <v>0</v>
      </c>
    </row>
    <row r="440" spans="1:12" x14ac:dyDescent="0.25">
      <c r="A440" t="s">
        <v>3565</v>
      </c>
      <c r="B440" t="s">
        <v>1263</v>
      </c>
      <c r="C440" t="s">
        <v>3034</v>
      </c>
      <c r="D440" s="1">
        <v>46030.108020833337</v>
      </c>
      <c r="E440">
        <v>1027.02</v>
      </c>
      <c r="F440">
        <v>30.08</v>
      </c>
      <c r="G440">
        <v>996.94</v>
      </c>
      <c r="H440" t="s">
        <v>25</v>
      </c>
      <c r="I440" t="s">
        <v>3478</v>
      </c>
      <c r="J440" t="s">
        <v>3036</v>
      </c>
      <c r="K440">
        <v>1027.02</v>
      </c>
      <c r="L440" t="b">
        <v>0</v>
      </c>
    </row>
    <row r="441" spans="1:12" x14ac:dyDescent="0.25">
      <c r="A441" t="s">
        <v>3566</v>
      </c>
      <c r="B441" t="s">
        <v>1266</v>
      </c>
      <c r="C441" t="s">
        <v>3034</v>
      </c>
      <c r="D441" s="1">
        <v>46031.192094907405</v>
      </c>
      <c r="E441">
        <v>454.34</v>
      </c>
      <c r="F441">
        <v>13.48</v>
      </c>
      <c r="G441">
        <v>440.86</v>
      </c>
      <c r="H441" t="s">
        <v>25</v>
      </c>
      <c r="I441" t="s">
        <v>3480</v>
      </c>
      <c r="J441" t="s">
        <v>3036</v>
      </c>
      <c r="K441">
        <v>454.34</v>
      </c>
      <c r="L441" t="b">
        <v>0</v>
      </c>
    </row>
    <row r="442" spans="1:12" x14ac:dyDescent="0.25">
      <c r="A442" t="s">
        <v>3567</v>
      </c>
      <c r="B442" t="s">
        <v>1266</v>
      </c>
      <c r="C442" t="s">
        <v>3034</v>
      </c>
      <c r="D442" s="1">
        <v>46031.192789351851</v>
      </c>
      <c r="E442">
        <v>454.34</v>
      </c>
      <c r="F442">
        <v>13.48</v>
      </c>
      <c r="G442">
        <v>440.86</v>
      </c>
      <c r="H442" t="s">
        <v>25</v>
      </c>
      <c r="I442" t="s">
        <v>3480</v>
      </c>
      <c r="J442" t="s">
        <v>3036</v>
      </c>
      <c r="K442">
        <v>454.34</v>
      </c>
      <c r="L442" t="b">
        <v>0</v>
      </c>
    </row>
    <row r="443" spans="1:12" x14ac:dyDescent="0.25">
      <c r="A443" t="s">
        <v>3568</v>
      </c>
      <c r="B443" t="s">
        <v>1269</v>
      </c>
      <c r="C443" t="s">
        <v>3034</v>
      </c>
      <c r="D443" s="1">
        <v>46031.274224537039</v>
      </c>
      <c r="E443">
        <v>1572.78</v>
      </c>
      <c r="F443">
        <v>45.91</v>
      </c>
      <c r="G443">
        <v>1526.87</v>
      </c>
      <c r="H443" t="s">
        <v>52</v>
      </c>
      <c r="I443" t="s">
        <v>3569</v>
      </c>
      <c r="J443" t="s">
        <v>3036</v>
      </c>
      <c r="K443">
        <v>1572.78</v>
      </c>
      <c r="L443" t="b">
        <v>0</v>
      </c>
    </row>
    <row r="444" spans="1:12" x14ac:dyDescent="0.25">
      <c r="A444" t="s">
        <v>3570</v>
      </c>
      <c r="B444" t="s">
        <v>1272</v>
      </c>
      <c r="C444" t="s">
        <v>3034</v>
      </c>
      <c r="D444" s="1">
        <v>46032.374398148146</v>
      </c>
      <c r="E444">
        <v>157.30000000000001</v>
      </c>
      <c r="F444">
        <v>4.8600000000000003</v>
      </c>
      <c r="G444">
        <v>152.44</v>
      </c>
      <c r="H444" t="s">
        <v>52</v>
      </c>
      <c r="I444" t="s">
        <v>3571</v>
      </c>
      <c r="J444" t="s">
        <v>3036</v>
      </c>
      <c r="K444">
        <v>157.30000000000001</v>
      </c>
      <c r="L444" t="b">
        <v>0</v>
      </c>
    </row>
    <row r="445" spans="1:12" x14ac:dyDescent="0.25">
      <c r="A445" t="s">
        <v>3572</v>
      </c>
      <c r="B445" t="s">
        <v>1275</v>
      </c>
      <c r="C445" t="s">
        <v>3034</v>
      </c>
      <c r="D445" s="1">
        <v>46033.489652777775</v>
      </c>
      <c r="E445">
        <v>1890.06</v>
      </c>
      <c r="F445">
        <v>55.11</v>
      </c>
      <c r="G445">
        <v>1834.95</v>
      </c>
      <c r="H445" t="s">
        <v>25</v>
      </c>
      <c r="I445" t="s">
        <v>3510</v>
      </c>
      <c r="J445" t="s">
        <v>3036</v>
      </c>
      <c r="K445">
        <v>1890.06</v>
      </c>
      <c r="L445" t="b">
        <v>0</v>
      </c>
    </row>
    <row r="446" spans="1:12" x14ac:dyDescent="0.25">
      <c r="A446" t="s">
        <v>3573</v>
      </c>
      <c r="B446" t="s">
        <v>1278</v>
      </c>
      <c r="C446" t="s">
        <v>3034</v>
      </c>
      <c r="D446" s="1">
        <v>46034.549120370371</v>
      </c>
      <c r="E446">
        <v>2138.48</v>
      </c>
      <c r="F446">
        <v>62.32</v>
      </c>
      <c r="G446">
        <v>2076.16</v>
      </c>
      <c r="H446" t="s">
        <v>25</v>
      </c>
      <c r="I446" t="s">
        <v>3553</v>
      </c>
      <c r="J446" t="s">
        <v>3036</v>
      </c>
      <c r="K446">
        <v>2138.48</v>
      </c>
      <c r="L446" t="b">
        <v>0</v>
      </c>
    </row>
    <row r="447" spans="1:12" x14ac:dyDescent="0.25">
      <c r="A447" t="s">
        <v>3574</v>
      </c>
      <c r="B447" t="s">
        <v>1281</v>
      </c>
      <c r="C447" t="s">
        <v>3034</v>
      </c>
      <c r="D447" s="1">
        <v>46035.649606481478</v>
      </c>
      <c r="E447">
        <v>1578.53</v>
      </c>
      <c r="F447">
        <v>46.08</v>
      </c>
      <c r="G447">
        <v>1532.45</v>
      </c>
      <c r="H447" t="s">
        <v>25</v>
      </c>
      <c r="I447" t="s">
        <v>3490</v>
      </c>
      <c r="J447" t="s">
        <v>3036</v>
      </c>
      <c r="K447">
        <v>1578.53</v>
      </c>
      <c r="L447" t="b">
        <v>0</v>
      </c>
    </row>
    <row r="448" spans="1:12" x14ac:dyDescent="0.25">
      <c r="A448" t="s">
        <v>3575</v>
      </c>
      <c r="B448" t="s">
        <v>1284</v>
      </c>
      <c r="C448" t="s">
        <v>3034</v>
      </c>
      <c r="D448" s="1">
        <v>46036.747708333336</v>
      </c>
      <c r="E448">
        <v>937.27</v>
      </c>
      <c r="F448">
        <v>27.48</v>
      </c>
      <c r="G448">
        <v>909.79</v>
      </c>
      <c r="H448" t="s">
        <v>52</v>
      </c>
      <c r="I448" t="s">
        <v>3576</v>
      </c>
      <c r="J448" t="s">
        <v>3036</v>
      </c>
      <c r="K448">
        <v>937.27</v>
      </c>
      <c r="L448" t="b">
        <v>0</v>
      </c>
    </row>
    <row r="449" spans="1:12" x14ac:dyDescent="0.25">
      <c r="A449" t="s">
        <v>3577</v>
      </c>
      <c r="B449" t="s">
        <v>1287</v>
      </c>
      <c r="C449" t="s">
        <v>3034</v>
      </c>
      <c r="D449" s="1">
        <v>46023.829618055555</v>
      </c>
      <c r="E449">
        <v>595.5</v>
      </c>
      <c r="F449">
        <v>17.57</v>
      </c>
      <c r="G449">
        <v>577.92999999999995</v>
      </c>
      <c r="H449" t="s">
        <v>19</v>
      </c>
      <c r="I449" t="s">
        <v>3466</v>
      </c>
      <c r="J449" t="s">
        <v>3036</v>
      </c>
      <c r="K449">
        <v>595.5</v>
      </c>
      <c r="L449" t="b">
        <v>0</v>
      </c>
    </row>
    <row r="450" spans="1:12" x14ac:dyDescent="0.25">
      <c r="A450" t="s">
        <v>3578</v>
      </c>
      <c r="B450" t="s">
        <v>1290</v>
      </c>
      <c r="C450" t="s">
        <v>3034</v>
      </c>
      <c r="D450" s="1">
        <v>46024.93545138889</v>
      </c>
      <c r="E450">
        <v>1002.7</v>
      </c>
      <c r="F450">
        <v>29.38</v>
      </c>
      <c r="G450">
        <v>973.32</v>
      </c>
      <c r="H450" t="s">
        <v>25</v>
      </c>
      <c r="I450" t="s">
        <v>3468</v>
      </c>
      <c r="J450" t="s">
        <v>3036</v>
      </c>
      <c r="K450">
        <v>1002.7</v>
      </c>
      <c r="L450" t="b">
        <v>0</v>
      </c>
    </row>
    <row r="451" spans="1:12" x14ac:dyDescent="0.25">
      <c r="A451" t="s">
        <v>3579</v>
      </c>
      <c r="B451" t="s">
        <v>1293</v>
      </c>
      <c r="C451" t="s">
        <v>3034</v>
      </c>
      <c r="D451" s="1">
        <v>46026.021874999999</v>
      </c>
      <c r="E451">
        <v>395.55</v>
      </c>
      <c r="F451">
        <v>11.77</v>
      </c>
      <c r="G451">
        <v>383.78</v>
      </c>
      <c r="H451" t="s">
        <v>25</v>
      </c>
      <c r="I451" t="s">
        <v>3470</v>
      </c>
      <c r="J451" t="s">
        <v>3036</v>
      </c>
      <c r="K451">
        <v>395.55</v>
      </c>
      <c r="L451" t="b">
        <v>0</v>
      </c>
    </row>
    <row r="452" spans="1:12" x14ac:dyDescent="0.25">
      <c r="A452" t="s">
        <v>3580</v>
      </c>
      <c r="B452" t="s">
        <v>1296</v>
      </c>
      <c r="C452" t="s">
        <v>3034</v>
      </c>
      <c r="D452" s="1">
        <v>46027.101550925923</v>
      </c>
      <c r="E452">
        <v>1404.64</v>
      </c>
      <c r="F452">
        <v>41.03</v>
      </c>
      <c r="G452">
        <v>1363.61</v>
      </c>
      <c r="H452" t="s">
        <v>25</v>
      </c>
      <c r="I452" t="s">
        <v>3472</v>
      </c>
      <c r="J452" t="s">
        <v>3036</v>
      </c>
      <c r="K452">
        <v>1404.64</v>
      </c>
      <c r="L452" t="b">
        <v>0</v>
      </c>
    </row>
    <row r="453" spans="1:12" x14ac:dyDescent="0.25">
      <c r="A453" t="s">
        <v>3581</v>
      </c>
      <c r="B453" t="s">
        <v>1299</v>
      </c>
      <c r="C453" t="s">
        <v>3034</v>
      </c>
      <c r="D453" s="1">
        <v>46028.207384259258</v>
      </c>
      <c r="E453">
        <v>2033.45</v>
      </c>
      <c r="F453">
        <v>59.27</v>
      </c>
      <c r="G453">
        <v>1974.18</v>
      </c>
      <c r="H453" t="s">
        <v>25</v>
      </c>
      <c r="I453" t="s">
        <v>3582</v>
      </c>
      <c r="J453" t="s">
        <v>3036</v>
      </c>
      <c r="K453">
        <v>2033.45</v>
      </c>
      <c r="L453" t="b">
        <v>0</v>
      </c>
    </row>
    <row r="454" spans="1:12" x14ac:dyDescent="0.25">
      <c r="A454" t="s">
        <v>3583</v>
      </c>
      <c r="B454" t="s">
        <v>1302</v>
      </c>
      <c r="C454" t="s">
        <v>3034</v>
      </c>
      <c r="D454" s="1">
        <v>46028.300787037035</v>
      </c>
      <c r="E454">
        <v>1717.99</v>
      </c>
      <c r="F454">
        <v>50.12</v>
      </c>
      <c r="G454">
        <v>1667.87</v>
      </c>
      <c r="H454" t="s">
        <v>52</v>
      </c>
      <c r="I454" t="s">
        <v>3584</v>
      </c>
      <c r="J454" t="s">
        <v>3036</v>
      </c>
      <c r="K454">
        <v>1717.99</v>
      </c>
      <c r="L454" t="b">
        <v>0</v>
      </c>
    </row>
    <row r="455" spans="1:12" x14ac:dyDescent="0.25">
      <c r="A455" t="s">
        <v>3585</v>
      </c>
      <c r="B455" t="s">
        <v>1305</v>
      </c>
      <c r="C455" t="s">
        <v>3034</v>
      </c>
      <c r="D455" s="1">
        <v>46029.386284722219</v>
      </c>
      <c r="E455">
        <v>1222.3699999999999</v>
      </c>
      <c r="F455">
        <v>35.75</v>
      </c>
      <c r="G455">
        <v>1186.6199999999999</v>
      </c>
      <c r="H455" t="s">
        <v>25</v>
      </c>
      <c r="I455" t="s">
        <v>3478</v>
      </c>
      <c r="J455" t="s">
        <v>3036</v>
      </c>
      <c r="K455">
        <v>1222.3699999999999</v>
      </c>
      <c r="L455" t="b">
        <v>0</v>
      </c>
    </row>
    <row r="456" spans="1:12" x14ac:dyDescent="0.25">
      <c r="A456" t="s">
        <v>3586</v>
      </c>
      <c r="B456" t="s">
        <v>1308</v>
      </c>
      <c r="C456" t="s">
        <v>3034</v>
      </c>
      <c r="D456" s="1">
        <v>46030.504965277774</v>
      </c>
      <c r="E456">
        <v>921.96</v>
      </c>
      <c r="F456">
        <v>27.04</v>
      </c>
      <c r="G456">
        <v>894.92</v>
      </c>
      <c r="H456" t="s">
        <v>25</v>
      </c>
      <c r="I456" t="s">
        <v>3480</v>
      </c>
      <c r="J456" t="s">
        <v>3036</v>
      </c>
      <c r="K456">
        <v>921.96</v>
      </c>
      <c r="L456" t="b">
        <v>0</v>
      </c>
    </row>
    <row r="457" spans="1:12" x14ac:dyDescent="0.25">
      <c r="A457" t="s">
        <v>3587</v>
      </c>
      <c r="B457" t="s">
        <v>1311</v>
      </c>
      <c r="C457" t="s">
        <v>3034</v>
      </c>
      <c r="D457" s="1">
        <v>46031.556527777779</v>
      </c>
      <c r="E457">
        <v>1991.44</v>
      </c>
      <c r="F457">
        <v>58.05</v>
      </c>
      <c r="G457">
        <v>1933.39</v>
      </c>
      <c r="H457" t="s">
        <v>25</v>
      </c>
      <c r="I457" t="s">
        <v>3482</v>
      </c>
      <c r="J457" t="s">
        <v>3036</v>
      </c>
      <c r="K457">
        <v>1991.44</v>
      </c>
      <c r="L457" t="b">
        <v>0</v>
      </c>
    </row>
    <row r="458" spans="1:12" x14ac:dyDescent="0.25">
      <c r="A458" t="s">
        <v>3588</v>
      </c>
      <c r="B458" t="s">
        <v>1314</v>
      </c>
      <c r="C458" t="s">
        <v>3034</v>
      </c>
      <c r="D458" s="1">
        <v>46032.676921296297</v>
      </c>
      <c r="E458">
        <v>1821.97</v>
      </c>
      <c r="F458">
        <v>53.14</v>
      </c>
      <c r="G458">
        <v>1768.83</v>
      </c>
      <c r="H458" t="s">
        <v>52</v>
      </c>
      <c r="I458" t="s">
        <v>3484</v>
      </c>
      <c r="J458" t="s">
        <v>3036</v>
      </c>
      <c r="K458">
        <v>1821.97</v>
      </c>
      <c r="L458" t="b">
        <v>0</v>
      </c>
    </row>
    <row r="459" spans="1:12" x14ac:dyDescent="0.25">
      <c r="A459" t="s">
        <v>3589</v>
      </c>
      <c r="B459" t="s">
        <v>1317</v>
      </c>
      <c r="C459" t="s">
        <v>3034</v>
      </c>
      <c r="D459" s="1">
        <v>46033.774155092593</v>
      </c>
      <c r="E459">
        <v>1218.07</v>
      </c>
      <c r="F459">
        <v>35.619999999999997</v>
      </c>
      <c r="G459">
        <v>1182.45</v>
      </c>
      <c r="H459" t="s">
        <v>19</v>
      </c>
      <c r="I459" t="s">
        <v>3486</v>
      </c>
      <c r="J459" t="s">
        <v>3036</v>
      </c>
      <c r="K459">
        <v>1218.07</v>
      </c>
      <c r="L459" t="b">
        <v>0</v>
      </c>
    </row>
    <row r="460" spans="1:12" x14ac:dyDescent="0.25">
      <c r="A460" t="s">
        <v>3590</v>
      </c>
      <c r="B460" t="s">
        <v>1317</v>
      </c>
      <c r="C460" t="s">
        <v>3076</v>
      </c>
      <c r="D460" s="1">
        <v>46034.767210648148</v>
      </c>
      <c r="E460">
        <v>-609.04</v>
      </c>
      <c r="F460">
        <v>0</v>
      </c>
      <c r="G460">
        <v>-609.04</v>
      </c>
      <c r="H460" t="s">
        <v>19</v>
      </c>
      <c r="I460" t="s">
        <v>3591</v>
      </c>
      <c r="J460" t="s">
        <v>3036</v>
      </c>
      <c r="K460">
        <v>-609.04</v>
      </c>
      <c r="L460" t="b">
        <v>0</v>
      </c>
    </row>
    <row r="461" spans="1:12" x14ac:dyDescent="0.25">
      <c r="A461" t="s">
        <v>3592</v>
      </c>
      <c r="B461" t="s">
        <v>1320</v>
      </c>
      <c r="C461" t="s">
        <v>3034</v>
      </c>
      <c r="D461" s="1">
        <v>46034.869826388887</v>
      </c>
      <c r="E461">
        <v>19.22</v>
      </c>
      <c r="F461">
        <v>0.86</v>
      </c>
      <c r="G461">
        <v>18.36</v>
      </c>
      <c r="H461" t="s">
        <v>25</v>
      </c>
      <c r="I461" t="s">
        <v>3553</v>
      </c>
      <c r="J461" t="s">
        <v>3036</v>
      </c>
      <c r="K461">
        <v>19.22</v>
      </c>
      <c r="L461" t="b">
        <v>0</v>
      </c>
    </row>
    <row r="462" spans="1:12" x14ac:dyDescent="0.25">
      <c r="A462" t="s">
        <v>3593</v>
      </c>
      <c r="B462" t="s">
        <v>1323</v>
      </c>
      <c r="C462" t="s">
        <v>3034</v>
      </c>
      <c r="D462" s="1">
        <v>46035.957731481481</v>
      </c>
      <c r="E462">
        <v>566.23</v>
      </c>
      <c r="F462">
        <v>16.72</v>
      </c>
      <c r="G462">
        <v>549.51</v>
      </c>
      <c r="H462" t="s">
        <v>25</v>
      </c>
      <c r="I462" t="s">
        <v>3490</v>
      </c>
      <c r="J462" t="s">
        <v>3036</v>
      </c>
      <c r="K462">
        <v>566.23</v>
      </c>
      <c r="L462" t="b">
        <v>0</v>
      </c>
    </row>
    <row r="463" spans="1:12" x14ac:dyDescent="0.25">
      <c r="A463" t="s">
        <v>3594</v>
      </c>
      <c r="B463" t="s">
        <v>1326</v>
      </c>
      <c r="C463" t="s">
        <v>3034</v>
      </c>
      <c r="D463" s="1">
        <v>46037.051608796297</v>
      </c>
      <c r="E463">
        <v>1576.75</v>
      </c>
      <c r="F463">
        <v>46.03</v>
      </c>
      <c r="G463">
        <v>1530.72</v>
      </c>
      <c r="H463" t="s">
        <v>25</v>
      </c>
      <c r="I463" t="s">
        <v>3492</v>
      </c>
      <c r="J463" t="s">
        <v>3036</v>
      </c>
      <c r="K463">
        <v>1576.75</v>
      </c>
      <c r="L463" t="b">
        <v>0</v>
      </c>
    </row>
    <row r="464" spans="1:12" x14ac:dyDescent="0.25">
      <c r="A464" t="s">
        <v>3595</v>
      </c>
      <c r="B464" t="s">
        <v>1329</v>
      </c>
      <c r="C464" t="s">
        <v>3034</v>
      </c>
      <c r="D464" s="1">
        <v>46024.146805555552</v>
      </c>
      <c r="E464">
        <v>1642.79</v>
      </c>
      <c r="F464">
        <v>47.94</v>
      </c>
      <c r="G464">
        <v>1594.85</v>
      </c>
      <c r="H464" t="s">
        <v>25</v>
      </c>
      <c r="I464" t="s">
        <v>3494</v>
      </c>
      <c r="J464" t="s">
        <v>3036</v>
      </c>
      <c r="K464">
        <v>1642.79</v>
      </c>
      <c r="L464" t="b">
        <v>0</v>
      </c>
    </row>
    <row r="465" spans="1:12" x14ac:dyDescent="0.25">
      <c r="A465" t="s">
        <v>3596</v>
      </c>
      <c r="B465" t="s">
        <v>1332</v>
      </c>
      <c r="C465" t="s">
        <v>3034</v>
      </c>
      <c r="D465" s="1">
        <v>46025.211261574077</v>
      </c>
      <c r="E465">
        <v>1600.98</v>
      </c>
      <c r="F465">
        <v>46.73</v>
      </c>
      <c r="G465">
        <v>1554.25</v>
      </c>
      <c r="H465" t="s">
        <v>25</v>
      </c>
      <c r="I465" t="s">
        <v>3468</v>
      </c>
      <c r="J465" t="s">
        <v>3036</v>
      </c>
      <c r="K465">
        <v>1600.98</v>
      </c>
      <c r="L465" t="b">
        <v>0</v>
      </c>
    </row>
    <row r="466" spans="1:12" x14ac:dyDescent="0.25">
      <c r="A466" t="s">
        <v>3597</v>
      </c>
      <c r="B466" t="s">
        <v>1335</v>
      </c>
      <c r="C466" t="s">
        <v>3034</v>
      </c>
      <c r="D466" s="1">
        <v>46025.319004629629</v>
      </c>
      <c r="E466">
        <v>1925.14</v>
      </c>
      <c r="F466">
        <v>56.13</v>
      </c>
      <c r="G466">
        <v>1869.01</v>
      </c>
      <c r="H466" t="s">
        <v>25</v>
      </c>
      <c r="I466" t="s">
        <v>3470</v>
      </c>
      <c r="J466" t="s">
        <v>3036</v>
      </c>
      <c r="K466">
        <v>1925.14</v>
      </c>
      <c r="L466" t="b">
        <v>0</v>
      </c>
    </row>
    <row r="467" spans="1:12" x14ac:dyDescent="0.25">
      <c r="A467" t="s">
        <v>3598</v>
      </c>
      <c r="B467" t="s">
        <v>1338</v>
      </c>
      <c r="C467" t="s">
        <v>3034</v>
      </c>
      <c r="D467" s="1">
        <v>46026.397002314814</v>
      </c>
      <c r="E467">
        <v>2374.63</v>
      </c>
      <c r="F467">
        <v>69.16</v>
      </c>
      <c r="G467">
        <v>2305.4699999999998</v>
      </c>
      <c r="H467" t="s">
        <v>25</v>
      </c>
      <c r="I467" t="s">
        <v>3472</v>
      </c>
      <c r="J467" t="s">
        <v>3036</v>
      </c>
      <c r="K467">
        <v>2374.63</v>
      </c>
      <c r="L467" t="b">
        <v>0</v>
      </c>
    </row>
    <row r="468" spans="1:12" x14ac:dyDescent="0.25">
      <c r="A468" t="s">
        <v>3599</v>
      </c>
      <c r="B468" t="s">
        <v>1341</v>
      </c>
      <c r="C468" t="s">
        <v>3034</v>
      </c>
      <c r="D468" s="1">
        <v>46027.49628472222</v>
      </c>
      <c r="E468">
        <v>822.81</v>
      </c>
      <c r="F468">
        <v>24.16</v>
      </c>
      <c r="G468">
        <v>798.65</v>
      </c>
      <c r="H468" t="s">
        <v>25</v>
      </c>
      <c r="I468" t="s">
        <v>3474</v>
      </c>
      <c r="J468" t="s">
        <v>3036</v>
      </c>
      <c r="K468">
        <v>822.81</v>
      </c>
      <c r="L468" t="b">
        <v>0</v>
      </c>
    </row>
    <row r="469" spans="1:12" x14ac:dyDescent="0.25">
      <c r="A469" t="s">
        <v>3600</v>
      </c>
      <c r="B469" t="s">
        <v>1341</v>
      </c>
      <c r="C469" t="s">
        <v>3076</v>
      </c>
      <c r="D469" s="1">
        <v>46028.489340277774</v>
      </c>
      <c r="E469">
        <v>-822.81</v>
      </c>
      <c r="F469">
        <v>0</v>
      </c>
      <c r="G469">
        <v>-822.81</v>
      </c>
      <c r="H469" t="s">
        <v>25</v>
      </c>
      <c r="I469" t="s">
        <v>3601</v>
      </c>
      <c r="J469" t="s">
        <v>3036</v>
      </c>
      <c r="K469">
        <v>-822.81</v>
      </c>
      <c r="L469" t="b">
        <v>0</v>
      </c>
    </row>
    <row r="470" spans="1:12" x14ac:dyDescent="0.25">
      <c r="A470" t="s">
        <v>3602</v>
      </c>
      <c r="B470" t="s">
        <v>1344</v>
      </c>
      <c r="C470" t="s">
        <v>3034</v>
      </c>
      <c r="D470" s="1">
        <v>46028.592766203707</v>
      </c>
      <c r="E470">
        <v>1814.6</v>
      </c>
      <c r="F470">
        <v>52.92</v>
      </c>
      <c r="G470">
        <v>1761.68</v>
      </c>
      <c r="H470" t="s">
        <v>52</v>
      </c>
      <c r="I470" t="s">
        <v>3502</v>
      </c>
      <c r="J470" t="s">
        <v>3036</v>
      </c>
      <c r="K470">
        <v>1814.6</v>
      </c>
      <c r="L470" t="b">
        <v>0</v>
      </c>
    </row>
    <row r="471" spans="1:12" x14ac:dyDescent="0.25">
      <c r="A471" t="s">
        <v>3603</v>
      </c>
      <c r="B471" t="s">
        <v>1347</v>
      </c>
      <c r="C471" t="s">
        <v>3034</v>
      </c>
      <c r="D471" s="1">
        <v>46029.684259259258</v>
      </c>
      <c r="E471">
        <v>1656.51</v>
      </c>
      <c r="F471">
        <v>48.34</v>
      </c>
      <c r="G471">
        <v>1608.17</v>
      </c>
      <c r="H471" t="s">
        <v>19</v>
      </c>
      <c r="I471" t="s">
        <v>3504</v>
      </c>
      <c r="J471" t="s">
        <v>3036</v>
      </c>
      <c r="K471">
        <v>1656.51</v>
      </c>
      <c r="L471" t="b">
        <v>0</v>
      </c>
    </row>
    <row r="472" spans="1:12" x14ac:dyDescent="0.25">
      <c r="A472" t="s">
        <v>3604</v>
      </c>
      <c r="B472" t="s">
        <v>1350</v>
      </c>
      <c r="C472" t="s">
        <v>3034</v>
      </c>
      <c r="D472" s="1">
        <v>46030.764884259261</v>
      </c>
      <c r="E472">
        <v>1449.6</v>
      </c>
      <c r="F472">
        <v>42.34</v>
      </c>
      <c r="G472">
        <v>1407.26</v>
      </c>
      <c r="H472" t="s">
        <v>25</v>
      </c>
      <c r="I472" t="s">
        <v>3480</v>
      </c>
      <c r="J472" t="s">
        <v>3036</v>
      </c>
      <c r="K472">
        <v>1449.6</v>
      </c>
      <c r="L472" t="b">
        <v>0</v>
      </c>
    </row>
    <row r="473" spans="1:12" x14ac:dyDescent="0.25">
      <c r="A473" t="s">
        <v>3605</v>
      </c>
      <c r="B473" t="s">
        <v>1353</v>
      </c>
      <c r="C473" t="s">
        <v>3034</v>
      </c>
      <c r="D473" s="1">
        <v>46031.845625000002</v>
      </c>
      <c r="E473">
        <v>574.20000000000005</v>
      </c>
      <c r="F473">
        <v>16.95</v>
      </c>
      <c r="G473">
        <v>557.25</v>
      </c>
      <c r="H473" t="s">
        <v>25</v>
      </c>
      <c r="I473" t="s">
        <v>3482</v>
      </c>
      <c r="J473" t="s">
        <v>3036</v>
      </c>
      <c r="K473">
        <v>574.20000000000005</v>
      </c>
      <c r="L473" t="b">
        <v>0</v>
      </c>
    </row>
    <row r="474" spans="1:12" x14ac:dyDescent="0.25">
      <c r="A474" t="s">
        <v>3606</v>
      </c>
      <c r="B474" t="s">
        <v>1356</v>
      </c>
      <c r="C474" t="s">
        <v>3034</v>
      </c>
      <c r="D474" s="1">
        <v>46032.960879629631</v>
      </c>
      <c r="E474">
        <v>808.18</v>
      </c>
      <c r="F474">
        <v>24.11</v>
      </c>
      <c r="G474">
        <v>784.07</v>
      </c>
      <c r="H474" t="s">
        <v>25</v>
      </c>
      <c r="I474" t="s">
        <v>3530</v>
      </c>
      <c r="J474" t="s">
        <v>3036</v>
      </c>
      <c r="K474">
        <v>808.18</v>
      </c>
      <c r="L474" t="b">
        <v>0</v>
      </c>
    </row>
    <row r="475" spans="1:12" x14ac:dyDescent="0.25">
      <c r="A475" t="s">
        <v>3607</v>
      </c>
      <c r="B475" t="s">
        <v>1359</v>
      </c>
      <c r="C475" t="s">
        <v>3034</v>
      </c>
      <c r="D475" s="1">
        <v>46034.063090277778</v>
      </c>
      <c r="E475">
        <v>884.84</v>
      </c>
      <c r="F475">
        <v>25.96</v>
      </c>
      <c r="G475">
        <v>858.88</v>
      </c>
      <c r="H475" t="s">
        <v>25</v>
      </c>
      <c r="I475" t="s">
        <v>3510</v>
      </c>
      <c r="J475" t="s">
        <v>3036</v>
      </c>
      <c r="K475">
        <v>884.84</v>
      </c>
      <c r="L475" t="b">
        <v>0</v>
      </c>
    </row>
    <row r="476" spans="1:12" x14ac:dyDescent="0.25">
      <c r="A476" t="s">
        <v>3608</v>
      </c>
      <c r="B476" t="s">
        <v>1359</v>
      </c>
      <c r="C476" t="s">
        <v>3076</v>
      </c>
      <c r="D476" s="1">
        <v>46035.056145833332</v>
      </c>
      <c r="E476">
        <v>-442.42</v>
      </c>
      <c r="F476">
        <v>0</v>
      </c>
      <c r="G476">
        <v>-442.42</v>
      </c>
      <c r="H476" t="s">
        <v>25</v>
      </c>
      <c r="I476" t="s">
        <v>3609</v>
      </c>
      <c r="J476" t="s">
        <v>3036</v>
      </c>
      <c r="K476">
        <v>-442.42</v>
      </c>
      <c r="L476" t="b">
        <v>0</v>
      </c>
    </row>
    <row r="477" spans="1:12" x14ac:dyDescent="0.25">
      <c r="A477" t="s">
        <v>3610</v>
      </c>
      <c r="B477" t="s">
        <v>1362</v>
      </c>
      <c r="C477" t="s">
        <v>3034</v>
      </c>
      <c r="D477" s="1">
        <v>46035.124722222223</v>
      </c>
      <c r="E477">
        <v>1112.8599999999999</v>
      </c>
      <c r="F477">
        <v>32.57</v>
      </c>
      <c r="G477">
        <v>1080.29</v>
      </c>
      <c r="H477" t="s">
        <v>25</v>
      </c>
      <c r="I477" t="s">
        <v>3553</v>
      </c>
      <c r="J477" t="s">
        <v>3036</v>
      </c>
      <c r="K477">
        <v>1112.8599999999999</v>
      </c>
      <c r="L477" t="b">
        <v>0</v>
      </c>
    </row>
    <row r="478" spans="1:12" x14ac:dyDescent="0.25">
      <c r="A478" t="s">
        <v>3611</v>
      </c>
      <c r="B478" t="s">
        <v>1365</v>
      </c>
      <c r="C478" t="s">
        <v>3034</v>
      </c>
      <c r="D478" s="1">
        <v>46036.210046296299</v>
      </c>
      <c r="E478">
        <v>556.37</v>
      </c>
      <c r="F478">
        <v>16.43</v>
      </c>
      <c r="G478">
        <v>539.94000000000005</v>
      </c>
      <c r="H478" t="s">
        <v>25</v>
      </c>
      <c r="I478" t="s">
        <v>3490</v>
      </c>
      <c r="J478" t="s">
        <v>3036</v>
      </c>
      <c r="K478">
        <v>556.37</v>
      </c>
      <c r="L478" t="b">
        <v>0</v>
      </c>
    </row>
    <row r="479" spans="1:12" x14ac:dyDescent="0.25">
      <c r="A479" t="s">
        <v>3612</v>
      </c>
      <c r="B479" t="s">
        <v>1368</v>
      </c>
      <c r="C479" t="s">
        <v>3034</v>
      </c>
      <c r="D479" s="1">
        <v>46036.301041666666</v>
      </c>
      <c r="E479">
        <v>900.24</v>
      </c>
      <c r="F479">
        <v>26.41</v>
      </c>
      <c r="G479">
        <v>873.83</v>
      </c>
      <c r="H479" t="s">
        <v>25</v>
      </c>
      <c r="I479" t="s">
        <v>3492</v>
      </c>
      <c r="J479" t="s">
        <v>3036</v>
      </c>
      <c r="K479">
        <v>900.24</v>
      </c>
      <c r="L479" t="b">
        <v>0</v>
      </c>
    </row>
    <row r="480" spans="1:12" x14ac:dyDescent="0.25">
      <c r="A480" t="s">
        <v>3613</v>
      </c>
      <c r="B480" t="s">
        <v>1371</v>
      </c>
      <c r="C480" t="s">
        <v>3034</v>
      </c>
      <c r="D480" s="1">
        <v>46023.430277777778</v>
      </c>
      <c r="E480">
        <v>1858.89</v>
      </c>
      <c r="F480">
        <v>54.21</v>
      </c>
      <c r="G480">
        <v>1804.68</v>
      </c>
      <c r="H480" t="s">
        <v>25</v>
      </c>
      <c r="I480" t="s">
        <v>3614</v>
      </c>
      <c r="J480" t="s">
        <v>3036</v>
      </c>
      <c r="K480">
        <v>1858.89</v>
      </c>
      <c r="L480" t="b">
        <v>0</v>
      </c>
    </row>
    <row r="481" spans="1:12" x14ac:dyDescent="0.25">
      <c r="A481" t="s">
        <v>3615</v>
      </c>
      <c r="B481" t="s">
        <v>1374</v>
      </c>
      <c r="C481" t="s">
        <v>3034</v>
      </c>
      <c r="D481" s="1">
        <v>46024.511932870373</v>
      </c>
      <c r="E481">
        <v>1273.3499999999999</v>
      </c>
      <c r="F481">
        <v>37.229999999999997</v>
      </c>
      <c r="G481">
        <v>1236.1199999999999</v>
      </c>
      <c r="H481" t="s">
        <v>52</v>
      </c>
      <c r="I481" t="s">
        <v>3518</v>
      </c>
      <c r="J481" t="s">
        <v>3036</v>
      </c>
      <c r="K481">
        <v>1273.3499999999999</v>
      </c>
      <c r="L481" t="b">
        <v>0</v>
      </c>
    </row>
    <row r="482" spans="1:12" x14ac:dyDescent="0.25">
      <c r="A482" t="s">
        <v>3616</v>
      </c>
      <c r="B482" t="s">
        <v>1377</v>
      </c>
      <c r="C482" t="s">
        <v>3034</v>
      </c>
      <c r="D482" s="1">
        <v>46025.574780092589</v>
      </c>
      <c r="E482">
        <v>2247.9299999999998</v>
      </c>
      <c r="F482">
        <v>65.489999999999995</v>
      </c>
      <c r="G482">
        <v>2182.44</v>
      </c>
      <c r="H482" t="s">
        <v>19</v>
      </c>
      <c r="I482" t="s">
        <v>3520</v>
      </c>
      <c r="J482" t="s">
        <v>3036</v>
      </c>
      <c r="K482">
        <v>2247.9299999999998</v>
      </c>
      <c r="L482" t="b">
        <v>0</v>
      </c>
    </row>
    <row r="483" spans="1:12" x14ac:dyDescent="0.25">
      <c r="A483" t="s">
        <v>3617</v>
      </c>
      <c r="B483" t="s">
        <v>1380</v>
      </c>
      <c r="C483" t="s">
        <v>3034</v>
      </c>
      <c r="D483" s="1">
        <v>46026.666018518517</v>
      </c>
      <c r="E483">
        <v>1470.58</v>
      </c>
      <c r="F483">
        <v>42.95</v>
      </c>
      <c r="G483">
        <v>1427.63</v>
      </c>
      <c r="H483" t="s">
        <v>25</v>
      </c>
      <c r="I483" t="s">
        <v>3472</v>
      </c>
      <c r="J483" t="s">
        <v>3036</v>
      </c>
      <c r="K483">
        <v>1470.58</v>
      </c>
      <c r="L483" t="b">
        <v>0</v>
      </c>
    </row>
    <row r="484" spans="1:12" x14ac:dyDescent="0.25">
      <c r="A484" t="s">
        <v>3618</v>
      </c>
      <c r="B484" t="s">
        <v>1383</v>
      </c>
      <c r="C484" t="s">
        <v>3034</v>
      </c>
      <c r="D484" s="1">
        <v>46027.778761574074</v>
      </c>
      <c r="E484">
        <v>1029.44</v>
      </c>
      <c r="F484">
        <v>30.15</v>
      </c>
      <c r="G484">
        <v>999.29</v>
      </c>
      <c r="H484" t="s">
        <v>25</v>
      </c>
      <c r="I484" t="s">
        <v>3474</v>
      </c>
      <c r="J484" t="s">
        <v>3036</v>
      </c>
      <c r="K484">
        <v>1029.44</v>
      </c>
      <c r="L484" t="b">
        <v>0</v>
      </c>
    </row>
    <row r="485" spans="1:12" x14ac:dyDescent="0.25">
      <c r="A485" t="s">
        <v>3619</v>
      </c>
      <c r="B485" t="s">
        <v>1386</v>
      </c>
      <c r="C485" t="s">
        <v>3034</v>
      </c>
      <c r="D485" s="1">
        <v>46028.877604166664</v>
      </c>
      <c r="E485">
        <v>2163.9699999999998</v>
      </c>
      <c r="F485">
        <v>63.06</v>
      </c>
      <c r="G485">
        <v>2100.91</v>
      </c>
      <c r="H485" t="s">
        <v>25</v>
      </c>
      <c r="I485" t="s">
        <v>3476</v>
      </c>
      <c r="J485" t="s">
        <v>3036</v>
      </c>
      <c r="K485">
        <v>2163.9699999999998</v>
      </c>
      <c r="L485" t="b">
        <v>0</v>
      </c>
    </row>
    <row r="486" spans="1:12" x14ac:dyDescent="0.25">
      <c r="A486" t="s">
        <v>3620</v>
      </c>
      <c r="B486" t="s">
        <v>1392</v>
      </c>
      <c r="C486" t="s">
        <v>3034</v>
      </c>
      <c r="D486" s="1">
        <v>46031.051550925928</v>
      </c>
      <c r="E486">
        <v>2498.21</v>
      </c>
      <c r="F486">
        <v>72.75</v>
      </c>
      <c r="G486">
        <v>2425.46</v>
      </c>
      <c r="H486" t="s">
        <v>25</v>
      </c>
      <c r="I486" t="s">
        <v>3480</v>
      </c>
      <c r="J486" t="s">
        <v>3036</v>
      </c>
      <c r="K486">
        <v>2498.21</v>
      </c>
      <c r="L486" t="b">
        <v>0</v>
      </c>
    </row>
    <row r="487" spans="1:12" x14ac:dyDescent="0.25">
      <c r="A487" t="s">
        <v>3621</v>
      </c>
      <c r="B487" t="s">
        <v>1395</v>
      </c>
      <c r="C487" t="s">
        <v>3034</v>
      </c>
      <c r="D487" s="1">
        <v>46032.156493055554</v>
      </c>
      <c r="E487">
        <v>182.84</v>
      </c>
      <c r="F487">
        <v>5.6</v>
      </c>
      <c r="G487">
        <v>177.24</v>
      </c>
      <c r="H487" t="s">
        <v>25</v>
      </c>
      <c r="I487" t="s">
        <v>3482</v>
      </c>
      <c r="J487" t="s">
        <v>3036</v>
      </c>
      <c r="K487">
        <v>182.84</v>
      </c>
      <c r="L487" t="b">
        <v>0</v>
      </c>
    </row>
    <row r="488" spans="1:12" x14ac:dyDescent="0.25">
      <c r="A488" t="s">
        <v>3622</v>
      </c>
      <c r="B488" t="s">
        <v>1398</v>
      </c>
      <c r="C488" t="s">
        <v>3034</v>
      </c>
      <c r="D488" s="1">
        <v>46032.250520833331</v>
      </c>
      <c r="E488">
        <v>1488.52</v>
      </c>
      <c r="F488">
        <v>43.47</v>
      </c>
      <c r="G488">
        <v>1445.05</v>
      </c>
      <c r="H488" t="s">
        <v>25</v>
      </c>
      <c r="I488" t="s">
        <v>3530</v>
      </c>
      <c r="J488" t="s">
        <v>3036</v>
      </c>
      <c r="K488">
        <v>1488.52</v>
      </c>
      <c r="L488" t="b">
        <v>0</v>
      </c>
    </row>
    <row r="489" spans="1:12" x14ac:dyDescent="0.25">
      <c r="A489" t="s">
        <v>3623</v>
      </c>
      <c r="B489" t="s">
        <v>1401</v>
      </c>
      <c r="C489" t="s">
        <v>3034</v>
      </c>
      <c r="D489" s="1">
        <v>46033.326921296299</v>
      </c>
      <c r="E489">
        <v>2153.5300000000002</v>
      </c>
      <c r="F489">
        <v>62.75</v>
      </c>
      <c r="G489">
        <v>2090.7800000000002</v>
      </c>
      <c r="H489" t="s">
        <v>25</v>
      </c>
      <c r="I489" t="s">
        <v>3510</v>
      </c>
      <c r="J489" t="s">
        <v>3036</v>
      </c>
      <c r="K489">
        <v>2153.5300000000002</v>
      </c>
      <c r="L489" t="b">
        <v>0</v>
      </c>
    </row>
    <row r="490" spans="1:12" x14ac:dyDescent="0.25">
      <c r="A490" t="s">
        <v>3624</v>
      </c>
      <c r="B490" t="s">
        <v>1404</v>
      </c>
      <c r="C490" t="s">
        <v>3034</v>
      </c>
      <c r="D490" s="1">
        <v>46034.406111111108</v>
      </c>
      <c r="E490">
        <v>1421.68</v>
      </c>
      <c r="F490">
        <v>41.53</v>
      </c>
      <c r="G490">
        <v>1380.15</v>
      </c>
      <c r="H490" t="s">
        <v>52</v>
      </c>
      <c r="I490" t="s">
        <v>3533</v>
      </c>
      <c r="J490" t="s">
        <v>3036</v>
      </c>
      <c r="K490">
        <v>1421.68</v>
      </c>
      <c r="L490" t="b">
        <v>0</v>
      </c>
    </row>
    <row r="491" spans="1:12" x14ac:dyDescent="0.25">
      <c r="A491" t="s">
        <v>3625</v>
      </c>
      <c r="B491" t="s">
        <v>1407</v>
      </c>
      <c r="C491" t="s">
        <v>3034</v>
      </c>
      <c r="D491" s="1">
        <v>46035.504479166666</v>
      </c>
      <c r="E491">
        <v>1306.4100000000001</v>
      </c>
      <c r="F491">
        <v>38.19</v>
      </c>
      <c r="G491">
        <v>1268.22</v>
      </c>
      <c r="H491" t="s">
        <v>19</v>
      </c>
      <c r="I491" t="s">
        <v>3535</v>
      </c>
      <c r="J491" t="s">
        <v>3036</v>
      </c>
      <c r="K491">
        <v>1306.4100000000001</v>
      </c>
      <c r="L491" t="b">
        <v>0</v>
      </c>
    </row>
    <row r="492" spans="1:12" x14ac:dyDescent="0.25">
      <c r="A492" t="s">
        <v>3626</v>
      </c>
      <c r="B492" t="s">
        <v>1410</v>
      </c>
      <c r="C492" t="s">
        <v>3034</v>
      </c>
      <c r="D492" s="1">
        <v>46036.592685185184</v>
      </c>
      <c r="E492">
        <v>304.58999999999997</v>
      </c>
      <c r="F492">
        <v>9.1300000000000008</v>
      </c>
      <c r="G492">
        <v>295.45999999999998</v>
      </c>
      <c r="H492" t="s">
        <v>25</v>
      </c>
      <c r="I492" t="s">
        <v>3492</v>
      </c>
      <c r="J492" t="s">
        <v>3036</v>
      </c>
      <c r="K492">
        <v>304.58999999999997</v>
      </c>
      <c r="L492" t="b">
        <v>0</v>
      </c>
    </row>
    <row r="493" spans="1:12" x14ac:dyDescent="0.25">
      <c r="A493" t="s">
        <v>3627</v>
      </c>
      <c r="B493" t="s">
        <v>1413</v>
      </c>
      <c r="C493" t="s">
        <v>3034</v>
      </c>
      <c r="D493" s="1">
        <v>46023.68476851852</v>
      </c>
      <c r="E493">
        <v>2167.5700000000002</v>
      </c>
      <c r="F493">
        <v>63.16</v>
      </c>
      <c r="G493">
        <v>2104.41</v>
      </c>
      <c r="H493" t="s">
        <v>25</v>
      </c>
      <c r="I493" t="s">
        <v>3494</v>
      </c>
      <c r="J493" t="s">
        <v>3036</v>
      </c>
      <c r="K493">
        <v>2167.5700000000002</v>
      </c>
      <c r="L493" t="b">
        <v>0</v>
      </c>
    </row>
    <row r="494" spans="1:12" x14ac:dyDescent="0.25">
      <c r="A494" t="s">
        <v>3628</v>
      </c>
      <c r="B494" t="s">
        <v>1416</v>
      </c>
      <c r="C494" t="s">
        <v>3034</v>
      </c>
      <c r="D494" s="1">
        <v>46024.783900462964</v>
      </c>
      <c r="E494">
        <v>306.08</v>
      </c>
      <c r="F494">
        <v>9.18</v>
      </c>
      <c r="G494">
        <v>296.89999999999998</v>
      </c>
      <c r="H494" t="s">
        <v>25</v>
      </c>
      <c r="I494" t="s">
        <v>3468</v>
      </c>
      <c r="J494" t="s">
        <v>3036</v>
      </c>
      <c r="K494">
        <v>306.08</v>
      </c>
      <c r="L494" t="b">
        <v>0</v>
      </c>
    </row>
    <row r="495" spans="1:12" x14ac:dyDescent="0.25">
      <c r="A495" t="s">
        <v>3629</v>
      </c>
      <c r="B495" t="s">
        <v>1422</v>
      </c>
      <c r="C495" t="s">
        <v>3034</v>
      </c>
      <c r="D495" s="1">
        <v>46026.956828703704</v>
      </c>
      <c r="E495">
        <v>2138.7600000000002</v>
      </c>
      <c r="F495">
        <v>62.32</v>
      </c>
      <c r="G495">
        <v>2076.44</v>
      </c>
      <c r="H495" t="s">
        <v>25</v>
      </c>
      <c r="I495" t="s">
        <v>3472</v>
      </c>
      <c r="J495" t="s">
        <v>3036</v>
      </c>
      <c r="K495">
        <v>2138.7600000000002</v>
      </c>
      <c r="L495" t="b">
        <v>0</v>
      </c>
    </row>
    <row r="496" spans="1:12" x14ac:dyDescent="0.25">
      <c r="A496" t="s">
        <v>3630</v>
      </c>
      <c r="B496" t="s">
        <v>1425</v>
      </c>
      <c r="C496" t="s">
        <v>3034</v>
      </c>
      <c r="D496" s="1">
        <v>46028.075335648151</v>
      </c>
      <c r="E496">
        <v>313.99</v>
      </c>
      <c r="F496">
        <v>9.41</v>
      </c>
      <c r="G496">
        <v>304.58</v>
      </c>
      <c r="H496" t="s">
        <v>25</v>
      </c>
      <c r="I496" t="s">
        <v>3474</v>
      </c>
      <c r="J496" t="s">
        <v>3036</v>
      </c>
      <c r="K496">
        <v>313.99</v>
      </c>
      <c r="L496" t="b">
        <v>0</v>
      </c>
    </row>
    <row r="497" spans="1:12" x14ac:dyDescent="0.25">
      <c r="A497" t="s">
        <v>3631</v>
      </c>
      <c r="B497" t="s">
        <v>1431</v>
      </c>
      <c r="C497" t="s">
        <v>3034</v>
      </c>
      <c r="D497" s="1">
        <v>46029.257222222222</v>
      </c>
      <c r="E497">
        <v>722.27</v>
      </c>
      <c r="F497">
        <v>21.25</v>
      </c>
      <c r="G497">
        <v>701.02</v>
      </c>
      <c r="H497" t="s">
        <v>25</v>
      </c>
      <c r="I497" t="s">
        <v>3478</v>
      </c>
      <c r="J497" t="s">
        <v>3036</v>
      </c>
      <c r="K497">
        <v>722.27</v>
      </c>
      <c r="L497" t="b">
        <v>0</v>
      </c>
    </row>
    <row r="498" spans="1:12" x14ac:dyDescent="0.25">
      <c r="A498" t="s">
        <v>3632</v>
      </c>
      <c r="B498" t="s">
        <v>1431</v>
      </c>
      <c r="C498" t="s">
        <v>3076</v>
      </c>
      <c r="D498" s="1">
        <v>46030.250277777777</v>
      </c>
      <c r="E498">
        <v>-722.27</v>
      </c>
      <c r="F498">
        <v>0</v>
      </c>
      <c r="G498">
        <v>-722.27</v>
      </c>
      <c r="H498" t="s">
        <v>25</v>
      </c>
      <c r="I498" t="s">
        <v>3633</v>
      </c>
      <c r="J498" t="s">
        <v>3036</v>
      </c>
      <c r="K498">
        <v>-722.27</v>
      </c>
      <c r="L498" t="b">
        <v>0</v>
      </c>
    </row>
    <row r="499" spans="1:12" x14ac:dyDescent="0.25">
      <c r="A499" t="s">
        <v>3634</v>
      </c>
      <c r="B499" t="s">
        <v>1434</v>
      </c>
      <c r="C499" t="s">
        <v>3034</v>
      </c>
      <c r="D499" s="1">
        <v>46030.32203703704</v>
      </c>
      <c r="E499">
        <v>363.72</v>
      </c>
      <c r="F499">
        <v>10.85</v>
      </c>
      <c r="G499">
        <v>352.87</v>
      </c>
      <c r="H499" t="s">
        <v>52</v>
      </c>
      <c r="I499" t="s">
        <v>3545</v>
      </c>
      <c r="J499" t="s">
        <v>3036</v>
      </c>
      <c r="K499">
        <v>363.72</v>
      </c>
      <c r="L499" t="b">
        <v>0</v>
      </c>
    </row>
    <row r="500" spans="1:12" x14ac:dyDescent="0.25">
      <c r="A500" t="s">
        <v>3635</v>
      </c>
      <c r="B500" t="s">
        <v>1437</v>
      </c>
      <c r="C500" t="s">
        <v>3034</v>
      </c>
      <c r="D500" s="1">
        <v>46031.439108796294</v>
      </c>
      <c r="E500">
        <v>2499.0500000000002</v>
      </c>
      <c r="F500">
        <v>72.77</v>
      </c>
      <c r="G500">
        <v>2426.2800000000002</v>
      </c>
      <c r="H500" t="s">
        <v>19</v>
      </c>
      <c r="I500" t="s">
        <v>3549</v>
      </c>
      <c r="J500" t="s">
        <v>3036</v>
      </c>
      <c r="K500">
        <v>2499.0500000000002</v>
      </c>
      <c r="L500" t="b">
        <v>0</v>
      </c>
    </row>
    <row r="501" spans="1:12" x14ac:dyDescent="0.25">
      <c r="A501" t="s">
        <v>3636</v>
      </c>
      <c r="B501" t="s">
        <v>1440</v>
      </c>
      <c r="C501" t="s">
        <v>3034</v>
      </c>
      <c r="D501" s="1">
        <v>46032.523958333331</v>
      </c>
      <c r="E501">
        <v>1134.32</v>
      </c>
      <c r="F501">
        <v>33.200000000000003</v>
      </c>
      <c r="G501">
        <v>1101.1199999999999</v>
      </c>
      <c r="H501" t="s">
        <v>25</v>
      </c>
      <c r="I501" t="s">
        <v>3637</v>
      </c>
      <c r="J501" t="s">
        <v>3036</v>
      </c>
      <c r="K501">
        <v>1134.32</v>
      </c>
      <c r="L501" t="b">
        <v>0</v>
      </c>
    </row>
    <row r="502" spans="1:12" x14ac:dyDescent="0.25">
      <c r="A502" t="s">
        <v>3638</v>
      </c>
      <c r="B502" t="s">
        <v>1443</v>
      </c>
      <c r="C502" t="s">
        <v>3034</v>
      </c>
      <c r="D502" s="1">
        <v>46033.599293981482</v>
      </c>
      <c r="E502">
        <v>597.30999999999995</v>
      </c>
      <c r="F502">
        <v>17.62</v>
      </c>
      <c r="G502">
        <v>579.69000000000005</v>
      </c>
      <c r="H502" t="s">
        <v>25</v>
      </c>
      <c r="I502" t="s">
        <v>3510</v>
      </c>
      <c r="J502" t="s">
        <v>3036</v>
      </c>
      <c r="K502">
        <v>597.30999999999995</v>
      </c>
      <c r="L502" t="b">
        <v>0</v>
      </c>
    </row>
    <row r="503" spans="1:12" x14ac:dyDescent="0.25">
      <c r="A503" t="s">
        <v>3639</v>
      </c>
      <c r="B503" t="s">
        <v>1446</v>
      </c>
      <c r="C503" t="s">
        <v>3034</v>
      </c>
      <c r="D503" s="1">
        <v>46034.707974537036</v>
      </c>
      <c r="E503">
        <v>1371.03</v>
      </c>
      <c r="F503">
        <v>40.06</v>
      </c>
      <c r="G503">
        <v>1330.97</v>
      </c>
      <c r="H503" t="s">
        <v>25</v>
      </c>
      <c r="I503" t="s">
        <v>3553</v>
      </c>
      <c r="J503" t="s">
        <v>3036</v>
      </c>
      <c r="K503">
        <v>1371.03</v>
      </c>
      <c r="L503" t="b">
        <v>0</v>
      </c>
    </row>
    <row r="504" spans="1:12" x14ac:dyDescent="0.25">
      <c r="A504" t="s">
        <v>3640</v>
      </c>
      <c r="B504" t="s">
        <v>1449</v>
      </c>
      <c r="C504" t="s">
        <v>3034</v>
      </c>
      <c r="D504" s="1">
        <v>46035.790381944447</v>
      </c>
      <c r="E504">
        <v>1228.1500000000001</v>
      </c>
      <c r="F504">
        <v>35.92</v>
      </c>
      <c r="G504">
        <v>1192.23</v>
      </c>
      <c r="H504" t="s">
        <v>25</v>
      </c>
      <c r="I504" t="s">
        <v>3490</v>
      </c>
      <c r="J504" t="s">
        <v>3036</v>
      </c>
      <c r="K504">
        <v>1228.1500000000001</v>
      </c>
      <c r="L504" t="b">
        <v>0</v>
      </c>
    </row>
    <row r="505" spans="1:12" x14ac:dyDescent="0.25">
      <c r="A505" t="s">
        <v>3640</v>
      </c>
      <c r="B505" t="s">
        <v>1449</v>
      </c>
      <c r="C505" t="s">
        <v>3034</v>
      </c>
      <c r="D505" s="1">
        <v>46035.790381944447</v>
      </c>
      <c r="E505">
        <v>1228.1500000000001</v>
      </c>
      <c r="F505">
        <v>35.92</v>
      </c>
      <c r="G505">
        <v>1192.23</v>
      </c>
      <c r="H505" t="s">
        <v>25</v>
      </c>
      <c r="I505" t="s">
        <v>3490</v>
      </c>
      <c r="J505" t="s">
        <v>3036</v>
      </c>
      <c r="K505">
        <v>1228.1500000000001</v>
      </c>
      <c r="L505" t="b">
        <v>0</v>
      </c>
    </row>
    <row r="506" spans="1:12" x14ac:dyDescent="0.25">
      <c r="A506" t="s">
        <v>3641</v>
      </c>
      <c r="B506" t="s">
        <v>1452</v>
      </c>
      <c r="C506" t="s">
        <v>3034</v>
      </c>
      <c r="D506" s="1">
        <v>46036.878263888888</v>
      </c>
      <c r="E506">
        <v>952.14</v>
      </c>
      <c r="F506">
        <v>27.91</v>
      </c>
      <c r="G506">
        <v>924.23</v>
      </c>
      <c r="H506" t="s">
        <v>25</v>
      </c>
      <c r="I506" t="s">
        <v>3492</v>
      </c>
      <c r="J506" t="s">
        <v>3036</v>
      </c>
      <c r="K506">
        <v>952.14</v>
      </c>
      <c r="L506" t="b">
        <v>0</v>
      </c>
    </row>
    <row r="507" spans="1:12" x14ac:dyDescent="0.25">
      <c r="A507" t="s">
        <v>3642</v>
      </c>
      <c r="B507" t="s">
        <v>1452</v>
      </c>
      <c r="C507" t="s">
        <v>3076</v>
      </c>
      <c r="D507" s="1">
        <v>46037.871319444443</v>
      </c>
      <c r="E507">
        <v>-952.14</v>
      </c>
      <c r="F507">
        <v>0</v>
      </c>
      <c r="G507">
        <v>-952.14</v>
      </c>
      <c r="H507" t="s">
        <v>25</v>
      </c>
      <c r="I507" t="s">
        <v>3643</v>
      </c>
      <c r="J507" t="s">
        <v>3036</v>
      </c>
      <c r="K507">
        <v>-952.14</v>
      </c>
      <c r="L507" t="b">
        <v>0</v>
      </c>
    </row>
    <row r="508" spans="1:12" x14ac:dyDescent="0.25">
      <c r="A508" t="s">
        <v>3644</v>
      </c>
      <c r="B508" t="s">
        <v>1455</v>
      </c>
      <c r="C508" t="s">
        <v>3034</v>
      </c>
      <c r="D508" s="1">
        <v>46023.98642361111</v>
      </c>
      <c r="E508">
        <v>491.27</v>
      </c>
      <c r="F508">
        <v>14.55</v>
      </c>
      <c r="G508">
        <v>476.72</v>
      </c>
      <c r="H508" t="s">
        <v>25</v>
      </c>
      <c r="I508" t="s">
        <v>3494</v>
      </c>
      <c r="J508" t="s">
        <v>3036</v>
      </c>
      <c r="K508">
        <v>491.27</v>
      </c>
      <c r="L508" t="b">
        <v>0</v>
      </c>
    </row>
    <row r="509" spans="1:12" x14ac:dyDescent="0.25">
      <c r="A509" t="s">
        <v>3645</v>
      </c>
      <c r="B509" t="s">
        <v>1458</v>
      </c>
      <c r="C509" t="s">
        <v>3034</v>
      </c>
      <c r="D509" s="1">
        <v>46025.05978009259</v>
      </c>
      <c r="E509">
        <v>2014.85</v>
      </c>
      <c r="F509">
        <v>58.73</v>
      </c>
      <c r="G509">
        <v>1956.12</v>
      </c>
      <c r="H509" t="s">
        <v>25</v>
      </c>
      <c r="I509" t="s">
        <v>3468</v>
      </c>
      <c r="J509" t="s">
        <v>3036</v>
      </c>
      <c r="K509">
        <v>2014.85</v>
      </c>
      <c r="L509" t="b">
        <v>0</v>
      </c>
    </row>
    <row r="510" spans="1:12" x14ac:dyDescent="0.25">
      <c r="A510" t="s">
        <v>3646</v>
      </c>
      <c r="B510" t="s">
        <v>1461</v>
      </c>
      <c r="C510" t="s">
        <v>3034</v>
      </c>
      <c r="D510" s="1">
        <v>46026.16783564815</v>
      </c>
      <c r="E510">
        <v>1331.4</v>
      </c>
      <c r="F510">
        <v>39.28</v>
      </c>
      <c r="G510">
        <v>1292.1199999999999</v>
      </c>
      <c r="H510" t="s">
        <v>25</v>
      </c>
      <c r="I510" t="s">
        <v>3470</v>
      </c>
      <c r="J510" t="s">
        <v>3036</v>
      </c>
      <c r="K510">
        <v>1331.4</v>
      </c>
      <c r="L510" t="b">
        <v>0</v>
      </c>
    </row>
    <row r="511" spans="1:12" x14ac:dyDescent="0.25">
      <c r="A511" t="s">
        <v>3647</v>
      </c>
      <c r="B511" t="s">
        <v>1464</v>
      </c>
      <c r="C511" t="s">
        <v>3034</v>
      </c>
      <c r="D511" s="1">
        <v>46026.239398148151</v>
      </c>
      <c r="E511">
        <v>585.12</v>
      </c>
      <c r="F511">
        <v>17.27</v>
      </c>
      <c r="G511">
        <v>567.85</v>
      </c>
      <c r="H511" t="s">
        <v>52</v>
      </c>
      <c r="I511" t="s">
        <v>3561</v>
      </c>
      <c r="J511" t="s">
        <v>3036</v>
      </c>
      <c r="K511">
        <v>585.12</v>
      </c>
      <c r="L511" t="b">
        <v>0</v>
      </c>
    </row>
    <row r="512" spans="1:12" x14ac:dyDescent="0.25">
      <c r="A512" t="s">
        <v>3648</v>
      </c>
      <c r="B512" t="s">
        <v>1467</v>
      </c>
      <c r="C512" t="s">
        <v>3034</v>
      </c>
      <c r="D512" s="1">
        <v>46027.361481481479</v>
      </c>
      <c r="E512">
        <v>1823.83</v>
      </c>
      <c r="F512">
        <v>53.19</v>
      </c>
      <c r="G512">
        <v>1770.64</v>
      </c>
      <c r="H512" t="s">
        <v>19</v>
      </c>
      <c r="I512" t="s">
        <v>3563</v>
      </c>
      <c r="J512" t="s">
        <v>3036</v>
      </c>
      <c r="K512">
        <v>1823.83</v>
      </c>
      <c r="L512" t="b">
        <v>0</v>
      </c>
    </row>
    <row r="513" spans="1:12" x14ac:dyDescent="0.25">
      <c r="A513" t="s">
        <v>3649</v>
      </c>
      <c r="B513" t="s">
        <v>1470</v>
      </c>
      <c r="C513" t="s">
        <v>3034</v>
      </c>
      <c r="D513" s="1">
        <v>46028.444548611114</v>
      </c>
      <c r="E513">
        <v>719.73</v>
      </c>
      <c r="F513">
        <v>21.17</v>
      </c>
      <c r="G513">
        <v>698.56</v>
      </c>
      <c r="H513" t="s">
        <v>25</v>
      </c>
      <c r="I513" t="s">
        <v>3476</v>
      </c>
      <c r="J513" t="s">
        <v>3036</v>
      </c>
      <c r="K513">
        <v>719.73</v>
      </c>
      <c r="L513" t="b">
        <v>0</v>
      </c>
    </row>
    <row r="514" spans="1:12" x14ac:dyDescent="0.25">
      <c r="A514" t="s">
        <v>3650</v>
      </c>
      <c r="B514" t="s">
        <v>1473</v>
      </c>
      <c r="C514" t="s">
        <v>3034</v>
      </c>
      <c r="D514" s="1">
        <v>46029.513078703705</v>
      </c>
      <c r="E514">
        <v>1083.48</v>
      </c>
      <c r="F514">
        <v>31.72</v>
      </c>
      <c r="G514">
        <v>1051.76</v>
      </c>
      <c r="H514" t="s">
        <v>25</v>
      </c>
      <c r="I514" t="s">
        <v>3478</v>
      </c>
      <c r="J514" t="s">
        <v>3036</v>
      </c>
      <c r="K514">
        <v>1083.48</v>
      </c>
      <c r="L514" t="b">
        <v>0</v>
      </c>
    </row>
    <row r="515" spans="1:12" x14ac:dyDescent="0.25">
      <c r="A515" t="s">
        <v>3651</v>
      </c>
      <c r="B515" t="s">
        <v>1476</v>
      </c>
      <c r="C515" t="s">
        <v>3034</v>
      </c>
      <c r="D515" s="1">
        <v>46030.600324074076</v>
      </c>
      <c r="E515">
        <v>894.83</v>
      </c>
      <c r="F515">
        <v>26.25</v>
      </c>
      <c r="G515">
        <v>868.58</v>
      </c>
      <c r="H515" t="s">
        <v>25</v>
      </c>
      <c r="I515" t="s">
        <v>3480</v>
      </c>
      <c r="J515" t="s">
        <v>3036</v>
      </c>
      <c r="K515">
        <v>894.83</v>
      </c>
      <c r="L515" t="b">
        <v>0</v>
      </c>
    </row>
    <row r="516" spans="1:12" x14ac:dyDescent="0.25">
      <c r="A516" t="s">
        <v>3652</v>
      </c>
      <c r="B516" t="s">
        <v>1479</v>
      </c>
      <c r="C516" t="s">
        <v>3034</v>
      </c>
      <c r="D516" s="1">
        <v>46031.696458333332</v>
      </c>
      <c r="E516">
        <v>1227.3499999999999</v>
      </c>
      <c r="F516">
        <v>35.89</v>
      </c>
      <c r="G516">
        <v>1191.46</v>
      </c>
      <c r="H516" t="s">
        <v>25</v>
      </c>
      <c r="I516" t="s">
        <v>3653</v>
      </c>
      <c r="J516" t="s">
        <v>3036</v>
      </c>
      <c r="K516">
        <v>1227.3499999999999</v>
      </c>
      <c r="L516" t="b">
        <v>0</v>
      </c>
    </row>
    <row r="517" spans="1:12" x14ac:dyDescent="0.25">
      <c r="A517" t="s">
        <v>3654</v>
      </c>
      <c r="B517" t="s">
        <v>1482</v>
      </c>
      <c r="C517" t="s">
        <v>3034</v>
      </c>
      <c r="D517" s="1">
        <v>46032.803854166668</v>
      </c>
      <c r="E517">
        <v>1111.55</v>
      </c>
      <c r="F517">
        <v>32.53</v>
      </c>
      <c r="G517">
        <v>1079.02</v>
      </c>
      <c r="H517" t="s">
        <v>25</v>
      </c>
      <c r="I517" t="s">
        <v>3530</v>
      </c>
      <c r="J517" t="s">
        <v>3036</v>
      </c>
      <c r="K517">
        <v>1111.55</v>
      </c>
      <c r="L517" t="b">
        <v>0</v>
      </c>
    </row>
    <row r="518" spans="1:12" x14ac:dyDescent="0.25">
      <c r="A518" t="s">
        <v>3655</v>
      </c>
      <c r="B518" t="s">
        <v>1485</v>
      </c>
      <c r="C518" t="s">
        <v>3034</v>
      </c>
      <c r="D518" s="1">
        <v>46033.90347222222</v>
      </c>
      <c r="E518">
        <v>1066.55</v>
      </c>
      <c r="F518">
        <v>31.23</v>
      </c>
      <c r="G518">
        <v>1035.32</v>
      </c>
      <c r="H518" t="s">
        <v>25</v>
      </c>
      <c r="I518" t="s">
        <v>3510</v>
      </c>
      <c r="J518" t="s">
        <v>3036</v>
      </c>
      <c r="K518">
        <v>1066.55</v>
      </c>
      <c r="L518" t="b">
        <v>0</v>
      </c>
    </row>
    <row r="519" spans="1:12" x14ac:dyDescent="0.25">
      <c r="A519" t="s">
        <v>3656</v>
      </c>
      <c r="B519" t="s">
        <v>1485</v>
      </c>
      <c r="C519" t="s">
        <v>3076</v>
      </c>
      <c r="D519" s="1">
        <v>46034.896527777775</v>
      </c>
      <c r="E519">
        <v>-533.28</v>
      </c>
      <c r="F519">
        <v>0</v>
      </c>
      <c r="G519">
        <v>-533.28</v>
      </c>
      <c r="H519" t="s">
        <v>25</v>
      </c>
      <c r="I519" t="s">
        <v>3657</v>
      </c>
      <c r="J519" t="s">
        <v>3036</v>
      </c>
      <c r="K519">
        <v>-533.28</v>
      </c>
      <c r="L519" t="b">
        <v>0</v>
      </c>
    </row>
    <row r="520" spans="1:12" x14ac:dyDescent="0.25">
      <c r="A520" t="s">
        <v>3658</v>
      </c>
      <c r="B520" t="s">
        <v>1488</v>
      </c>
      <c r="C520" t="s">
        <v>3034</v>
      </c>
      <c r="D520" s="1">
        <v>46035.004594907405</v>
      </c>
      <c r="E520">
        <v>2273.65</v>
      </c>
      <c r="F520">
        <v>66.239999999999995</v>
      </c>
      <c r="G520">
        <v>2207.41</v>
      </c>
      <c r="H520" t="s">
        <v>25</v>
      </c>
      <c r="I520" t="s">
        <v>3553</v>
      </c>
      <c r="J520" t="s">
        <v>3036</v>
      </c>
      <c r="K520">
        <v>2273.65</v>
      </c>
      <c r="L520" t="b">
        <v>0</v>
      </c>
    </row>
    <row r="521" spans="1:12" x14ac:dyDescent="0.25">
      <c r="A521" t="s">
        <v>3659</v>
      </c>
      <c r="B521" t="s">
        <v>1491</v>
      </c>
      <c r="C521" t="s">
        <v>3034</v>
      </c>
      <c r="D521" s="1">
        <v>46036.068483796298</v>
      </c>
      <c r="E521">
        <v>1878.14</v>
      </c>
      <c r="F521">
        <v>54.77</v>
      </c>
      <c r="G521">
        <v>1823.37</v>
      </c>
      <c r="H521" t="s">
        <v>25</v>
      </c>
      <c r="I521" t="s">
        <v>3490</v>
      </c>
      <c r="J521" t="s">
        <v>3036</v>
      </c>
      <c r="K521">
        <v>1878.14</v>
      </c>
      <c r="L521" t="b">
        <v>0</v>
      </c>
    </row>
    <row r="522" spans="1:12" x14ac:dyDescent="0.25">
      <c r="A522" t="s">
        <v>3660</v>
      </c>
      <c r="B522" t="s">
        <v>1497</v>
      </c>
      <c r="C522" t="s">
        <v>3034</v>
      </c>
      <c r="D522" s="1">
        <v>46023.248252314814</v>
      </c>
      <c r="E522">
        <v>2096.2600000000002</v>
      </c>
      <c r="F522">
        <v>61.09</v>
      </c>
      <c r="G522">
        <v>2035.17</v>
      </c>
      <c r="H522" t="s">
        <v>19</v>
      </c>
      <c r="I522" t="s">
        <v>3661</v>
      </c>
      <c r="J522" t="s">
        <v>3036</v>
      </c>
      <c r="K522">
        <v>2096.2600000000002</v>
      </c>
      <c r="L522" t="b">
        <v>0</v>
      </c>
    </row>
    <row r="523" spans="1:12" x14ac:dyDescent="0.25">
      <c r="A523" t="s">
        <v>3662</v>
      </c>
      <c r="B523" t="s">
        <v>1500</v>
      </c>
      <c r="C523" t="s">
        <v>3034</v>
      </c>
      <c r="D523" s="1">
        <v>46024.343425925923</v>
      </c>
      <c r="E523">
        <v>616.87</v>
      </c>
      <c r="F523">
        <v>18.190000000000001</v>
      </c>
      <c r="G523">
        <v>598.67999999999995</v>
      </c>
      <c r="H523" t="s">
        <v>25</v>
      </c>
      <c r="I523" t="s">
        <v>3468</v>
      </c>
      <c r="J523" t="s">
        <v>3036</v>
      </c>
      <c r="K523">
        <v>616.87</v>
      </c>
      <c r="L523" t="b">
        <v>0</v>
      </c>
    </row>
    <row r="524" spans="1:12" x14ac:dyDescent="0.25">
      <c r="A524" t="s">
        <v>3663</v>
      </c>
      <c r="B524" t="s">
        <v>1503</v>
      </c>
      <c r="C524" t="s">
        <v>3034</v>
      </c>
      <c r="D524" s="1">
        <v>46025.460798611108</v>
      </c>
      <c r="E524">
        <v>1810.8</v>
      </c>
      <c r="F524">
        <v>52.81</v>
      </c>
      <c r="G524">
        <v>1757.99</v>
      </c>
      <c r="H524" t="s">
        <v>25</v>
      </c>
      <c r="I524" t="s">
        <v>3470</v>
      </c>
      <c r="J524" t="s">
        <v>3036</v>
      </c>
      <c r="K524">
        <v>1810.8</v>
      </c>
      <c r="L524" t="b">
        <v>0</v>
      </c>
    </row>
    <row r="525" spans="1:12" x14ac:dyDescent="0.25">
      <c r="A525" t="s">
        <v>3664</v>
      </c>
      <c r="B525" t="s">
        <v>1506</v>
      </c>
      <c r="C525" t="s">
        <v>3034</v>
      </c>
      <c r="D525" s="1">
        <v>46026.554502314815</v>
      </c>
      <c r="E525">
        <v>1419.1</v>
      </c>
      <c r="F525">
        <v>41.45</v>
      </c>
      <c r="G525">
        <v>1377.65</v>
      </c>
      <c r="H525" t="s">
        <v>25</v>
      </c>
      <c r="I525" t="s">
        <v>3472</v>
      </c>
      <c r="J525" t="s">
        <v>3036</v>
      </c>
      <c r="K525">
        <v>1419.1</v>
      </c>
      <c r="L525" t="b">
        <v>0</v>
      </c>
    </row>
    <row r="526" spans="1:12" x14ac:dyDescent="0.25">
      <c r="A526" t="s">
        <v>3665</v>
      </c>
      <c r="B526" t="s">
        <v>1509</v>
      </c>
      <c r="C526" t="s">
        <v>3034</v>
      </c>
      <c r="D526" s="1">
        <v>46027.645358796297</v>
      </c>
      <c r="E526">
        <v>984.03</v>
      </c>
      <c r="F526">
        <v>28.84</v>
      </c>
      <c r="G526">
        <v>955.19</v>
      </c>
      <c r="H526" t="s">
        <v>25</v>
      </c>
      <c r="I526" t="s">
        <v>3474</v>
      </c>
      <c r="J526" t="s">
        <v>3036</v>
      </c>
      <c r="K526">
        <v>984.03</v>
      </c>
      <c r="L526" t="b">
        <v>0</v>
      </c>
    </row>
    <row r="527" spans="1:12" x14ac:dyDescent="0.25">
      <c r="A527" t="s">
        <v>3666</v>
      </c>
      <c r="B527" t="s">
        <v>1512</v>
      </c>
      <c r="C527" t="s">
        <v>3034</v>
      </c>
      <c r="D527" s="1">
        <v>46028.702303240738</v>
      </c>
      <c r="E527">
        <v>1129.74</v>
      </c>
      <c r="F527">
        <v>33.06</v>
      </c>
      <c r="G527">
        <v>1096.68</v>
      </c>
      <c r="H527" t="s">
        <v>25</v>
      </c>
      <c r="I527" t="s">
        <v>3476</v>
      </c>
      <c r="J527" t="s">
        <v>3036</v>
      </c>
      <c r="K527">
        <v>1129.74</v>
      </c>
      <c r="L527" t="b">
        <v>0</v>
      </c>
    </row>
    <row r="528" spans="1:12" x14ac:dyDescent="0.25">
      <c r="A528" t="s">
        <v>3667</v>
      </c>
      <c r="B528" t="s">
        <v>1515</v>
      </c>
      <c r="C528" t="s">
        <v>3034</v>
      </c>
      <c r="D528" s="1">
        <v>46029.79277777778</v>
      </c>
      <c r="E528">
        <v>1283.3</v>
      </c>
      <c r="F528">
        <v>37.520000000000003</v>
      </c>
      <c r="G528">
        <v>1245.78</v>
      </c>
      <c r="H528" t="s">
        <v>25</v>
      </c>
      <c r="I528" t="s">
        <v>3478</v>
      </c>
      <c r="J528" t="s">
        <v>3036</v>
      </c>
      <c r="K528">
        <v>1283.3</v>
      </c>
      <c r="L528" t="b">
        <v>0</v>
      </c>
    </row>
    <row r="529" spans="1:12" x14ac:dyDescent="0.25">
      <c r="A529" t="s">
        <v>3668</v>
      </c>
      <c r="B529" t="s">
        <v>1518</v>
      </c>
      <c r="C529" t="s">
        <v>3034</v>
      </c>
      <c r="D529" s="1">
        <v>46030.884745370371</v>
      </c>
      <c r="E529">
        <v>577.48</v>
      </c>
      <c r="F529">
        <v>17.05</v>
      </c>
      <c r="G529">
        <v>560.42999999999995</v>
      </c>
      <c r="H529" t="s">
        <v>25</v>
      </c>
      <c r="I529" t="s">
        <v>3480</v>
      </c>
      <c r="J529" t="s">
        <v>3036</v>
      </c>
      <c r="K529">
        <v>577.48</v>
      </c>
      <c r="L529" t="b">
        <v>0</v>
      </c>
    </row>
    <row r="530" spans="1:12" x14ac:dyDescent="0.25">
      <c r="A530" t="s">
        <v>3669</v>
      </c>
      <c r="B530" t="s">
        <v>1521</v>
      </c>
      <c r="C530" t="s">
        <v>3034</v>
      </c>
      <c r="D530" s="1">
        <v>46031.983530092592</v>
      </c>
      <c r="E530">
        <v>2080.63</v>
      </c>
      <c r="F530">
        <v>60.64</v>
      </c>
      <c r="G530">
        <v>2019.99</v>
      </c>
      <c r="H530" t="s">
        <v>25</v>
      </c>
      <c r="I530" t="s">
        <v>3482</v>
      </c>
      <c r="J530" t="s">
        <v>3036</v>
      </c>
      <c r="K530">
        <v>2080.63</v>
      </c>
      <c r="L530" t="b">
        <v>0</v>
      </c>
    </row>
    <row r="531" spans="1:12" x14ac:dyDescent="0.25">
      <c r="A531" t="s">
        <v>3670</v>
      </c>
      <c r="B531" t="s">
        <v>1524</v>
      </c>
      <c r="C531" t="s">
        <v>3034</v>
      </c>
      <c r="D531" s="1">
        <v>46033.090555555558</v>
      </c>
      <c r="E531">
        <v>2159.4299999999998</v>
      </c>
      <c r="F531">
        <v>62.92</v>
      </c>
      <c r="G531">
        <v>2096.5100000000002</v>
      </c>
      <c r="H531" t="s">
        <v>52</v>
      </c>
      <c r="I531" t="s">
        <v>3484</v>
      </c>
      <c r="J531" t="s">
        <v>3036</v>
      </c>
      <c r="K531">
        <v>2159.4299999999998</v>
      </c>
      <c r="L531" t="b">
        <v>0</v>
      </c>
    </row>
    <row r="532" spans="1:12" x14ac:dyDescent="0.25">
      <c r="A532" t="s">
        <v>3670</v>
      </c>
      <c r="B532" t="s">
        <v>1524</v>
      </c>
      <c r="C532" t="s">
        <v>3034</v>
      </c>
      <c r="D532" s="1">
        <v>46033.090555555558</v>
      </c>
      <c r="E532">
        <v>2159.4299999999998</v>
      </c>
      <c r="F532">
        <v>62.92</v>
      </c>
      <c r="G532">
        <v>2096.5100000000002</v>
      </c>
      <c r="H532" t="s">
        <v>52</v>
      </c>
      <c r="I532" t="s">
        <v>3484</v>
      </c>
      <c r="J532" t="s">
        <v>3036</v>
      </c>
      <c r="K532">
        <v>2159.4299999999998</v>
      </c>
      <c r="L532" t="b">
        <v>0</v>
      </c>
    </row>
    <row r="533" spans="1:12" x14ac:dyDescent="0.25">
      <c r="A533" t="s">
        <v>3671</v>
      </c>
      <c r="B533" t="s">
        <v>1527</v>
      </c>
      <c r="C533" t="s">
        <v>3034</v>
      </c>
      <c r="D533" s="1">
        <v>46034.165578703702</v>
      </c>
      <c r="E533">
        <v>1122.44</v>
      </c>
      <c r="F533">
        <v>32.85</v>
      </c>
      <c r="G533">
        <v>1089.5899999999999</v>
      </c>
      <c r="H533" t="s">
        <v>19</v>
      </c>
      <c r="I533" t="s">
        <v>3486</v>
      </c>
      <c r="J533" t="s">
        <v>3036</v>
      </c>
      <c r="K533">
        <v>1122.44</v>
      </c>
      <c r="L533" t="b">
        <v>0</v>
      </c>
    </row>
    <row r="534" spans="1:12" x14ac:dyDescent="0.25">
      <c r="A534" t="s">
        <v>3672</v>
      </c>
      <c r="B534" t="s">
        <v>1530</v>
      </c>
      <c r="C534" t="s">
        <v>3034</v>
      </c>
      <c r="D534" s="1">
        <v>46034.251331018517</v>
      </c>
      <c r="E534">
        <v>895</v>
      </c>
      <c r="F534">
        <v>26.26</v>
      </c>
      <c r="G534">
        <v>868.74</v>
      </c>
      <c r="H534" t="s">
        <v>25</v>
      </c>
      <c r="I534" t="s">
        <v>3553</v>
      </c>
      <c r="J534" t="s">
        <v>3036</v>
      </c>
      <c r="K534">
        <v>895</v>
      </c>
      <c r="L534" t="b">
        <v>0</v>
      </c>
    </row>
    <row r="535" spans="1:12" x14ac:dyDescent="0.25">
      <c r="A535" t="s">
        <v>3673</v>
      </c>
      <c r="B535" t="s">
        <v>1533</v>
      </c>
      <c r="C535" t="s">
        <v>3034</v>
      </c>
      <c r="D535" s="1">
        <v>46035.349699074075</v>
      </c>
      <c r="E535">
        <v>2491.7600000000002</v>
      </c>
      <c r="F535">
        <v>72.56</v>
      </c>
      <c r="G535">
        <v>2419.1999999999998</v>
      </c>
      <c r="H535" t="s">
        <v>25</v>
      </c>
      <c r="I535" t="s">
        <v>3490</v>
      </c>
      <c r="J535" t="s">
        <v>3036</v>
      </c>
      <c r="K535">
        <v>2491.7600000000002</v>
      </c>
      <c r="L535" t="b">
        <v>0</v>
      </c>
    </row>
    <row r="536" spans="1:12" x14ac:dyDescent="0.25">
      <c r="A536" t="s">
        <v>3674</v>
      </c>
      <c r="B536" t="s">
        <v>1536</v>
      </c>
      <c r="C536" t="s">
        <v>3034</v>
      </c>
      <c r="D536" s="1">
        <v>46036.460844907408</v>
      </c>
      <c r="E536">
        <v>2339.1799999999998</v>
      </c>
      <c r="F536">
        <v>68.14</v>
      </c>
      <c r="G536">
        <v>2271.04</v>
      </c>
      <c r="H536" t="s">
        <v>25</v>
      </c>
      <c r="I536" t="s">
        <v>3492</v>
      </c>
      <c r="J536" t="s">
        <v>3036</v>
      </c>
      <c r="K536">
        <v>2339.1799999999998</v>
      </c>
      <c r="L536" t="b">
        <v>0</v>
      </c>
    </row>
    <row r="537" spans="1:12" x14ac:dyDescent="0.25">
      <c r="A537" t="s">
        <v>3675</v>
      </c>
      <c r="B537" t="s">
        <v>1539</v>
      </c>
      <c r="C537" t="s">
        <v>3034</v>
      </c>
      <c r="D537" s="1">
        <v>46023.545659722222</v>
      </c>
      <c r="E537">
        <v>676.71</v>
      </c>
      <c r="F537">
        <v>19.920000000000002</v>
      </c>
      <c r="G537">
        <v>656.79</v>
      </c>
      <c r="H537" t="s">
        <v>25</v>
      </c>
      <c r="I537" t="s">
        <v>3494</v>
      </c>
      <c r="J537" t="s">
        <v>3036</v>
      </c>
      <c r="K537">
        <v>676.71</v>
      </c>
      <c r="L537" t="b">
        <v>0</v>
      </c>
    </row>
    <row r="538" spans="1:12" x14ac:dyDescent="0.25">
      <c r="A538" t="s">
        <v>3676</v>
      </c>
      <c r="B538" t="s">
        <v>1542</v>
      </c>
      <c r="C538" t="s">
        <v>3034</v>
      </c>
      <c r="D538" s="1">
        <v>46024.619884259257</v>
      </c>
      <c r="E538">
        <v>471.67</v>
      </c>
      <c r="F538">
        <v>13.98</v>
      </c>
      <c r="G538">
        <v>457.69</v>
      </c>
      <c r="H538" t="s">
        <v>25</v>
      </c>
      <c r="I538" t="s">
        <v>3468</v>
      </c>
      <c r="J538" t="s">
        <v>3036</v>
      </c>
      <c r="K538">
        <v>471.67</v>
      </c>
      <c r="L538" t="b">
        <v>0</v>
      </c>
    </row>
    <row r="539" spans="1:12" x14ac:dyDescent="0.25">
      <c r="A539" t="s">
        <v>3677</v>
      </c>
      <c r="B539" t="s">
        <v>1545</v>
      </c>
      <c r="C539" t="s">
        <v>3034</v>
      </c>
      <c r="D539" s="1">
        <v>46025.745567129627</v>
      </c>
      <c r="E539">
        <v>1422.47</v>
      </c>
      <c r="F539">
        <v>41.55</v>
      </c>
      <c r="G539">
        <v>1380.92</v>
      </c>
      <c r="H539" t="s">
        <v>25</v>
      </c>
      <c r="I539" t="s">
        <v>3470</v>
      </c>
      <c r="J539" t="s">
        <v>3036</v>
      </c>
      <c r="K539">
        <v>1422.47</v>
      </c>
      <c r="L539" t="b">
        <v>0</v>
      </c>
    </row>
    <row r="540" spans="1:12" x14ac:dyDescent="0.25">
      <c r="A540" t="s">
        <v>3677</v>
      </c>
      <c r="B540" t="s">
        <v>1545</v>
      </c>
      <c r="C540" t="s">
        <v>3034</v>
      </c>
      <c r="D540" s="1">
        <v>46025.745567129627</v>
      </c>
      <c r="E540">
        <v>1422.47</v>
      </c>
      <c r="F540">
        <v>41.55</v>
      </c>
      <c r="G540">
        <v>1380.92</v>
      </c>
      <c r="H540" t="s">
        <v>25</v>
      </c>
      <c r="I540" t="s">
        <v>3470</v>
      </c>
      <c r="J540" t="s">
        <v>3036</v>
      </c>
      <c r="K540">
        <v>1422.47</v>
      </c>
      <c r="L540" t="b">
        <v>0</v>
      </c>
    </row>
    <row r="541" spans="1:12" x14ac:dyDescent="0.25">
      <c r="A541" t="s">
        <v>3678</v>
      </c>
      <c r="B541" t="s">
        <v>1548</v>
      </c>
      <c r="C541" t="s">
        <v>3034</v>
      </c>
      <c r="D541" s="1">
        <v>46026.802789351852</v>
      </c>
      <c r="E541">
        <v>1694.06</v>
      </c>
      <c r="F541">
        <v>49.43</v>
      </c>
      <c r="G541">
        <v>1644.63</v>
      </c>
      <c r="H541" t="s">
        <v>25</v>
      </c>
      <c r="I541" t="s">
        <v>3679</v>
      </c>
      <c r="J541" t="s">
        <v>3036</v>
      </c>
      <c r="K541">
        <v>1694.06</v>
      </c>
      <c r="L541" t="b">
        <v>0</v>
      </c>
    </row>
    <row r="542" spans="1:12" x14ac:dyDescent="0.25">
      <c r="A542" t="s">
        <v>3680</v>
      </c>
      <c r="B542" t="s">
        <v>1551</v>
      </c>
      <c r="C542" t="s">
        <v>3034</v>
      </c>
      <c r="D542" s="1">
        <v>46027.900196759256</v>
      </c>
      <c r="E542">
        <v>1080.8399999999999</v>
      </c>
      <c r="F542">
        <v>31.64</v>
      </c>
      <c r="G542">
        <v>1049.2</v>
      </c>
      <c r="H542" t="s">
        <v>25</v>
      </c>
      <c r="I542" t="s">
        <v>3474</v>
      </c>
      <c r="J542" t="s">
        <v>3036</v>
      </c>
      <c r="K542">
        <v>1080.8399999999999</v>
      </c>
      <c r="L542" t="b">
        <v>0</v>
      </c>
    </row>
    <row r="543" spans="1:12" x14ac:dyDescent="0.25">
      <c r="A543" t="s">
        <v>3681</v>
      </c>
      <c r="B543" t="s">
        <v>1554</v>
      </c>
      <c r="C543" t="s">
        <v>3034</v>
      </c>
      <c r="D543" s="1">
        <v>46029.010613425926</v>
      </c>
      <c r="E543">
        <v>926.01</v>
      </c>
      <c r="F543">
        <v>27.15</v>
      </c>
      <c r="G543">
        <v>898.86</v>
      </c>
      <c r="H543" t="s">
        <v>52</v>
      </c>
      <c r="I543" t="s">
        <v>3502</v>
      </c>
      <c r="J543" t="s">
        <v>3036</v>
      </c>
      <c r="K543">
        <v>926.01</v>
      </c>
      <c r="L543" t="b">
        <v>0</v>
      </c>
    </row>
    <row r="544" spans="1:12" x14ac:dyDescent="0.25">
      <c r="A544" t="s">
        <v>3682</v>
      </c>
      <c r="B544" t="s">
        <v>1557</v>
      </c>
      <c r="C544" t="s">
        <v>3034</v>
      </c>
      <c r="D544" s="1">
        <v>46030.096597222226</v>
      </c>
      <c r="E544">
        <v>814.76</v>
      </c>
      <c r="F544">
        <v>23.93</v>
      </c>
      <c r="G544">
        <v>790.83</v>
      </c>
      <c r="H544" t="s">
        <v>19</v>
      </c>
      <c r="I544" t="s">
        <v>3504</v>
      </c>
      <c r="J544" t="s">
        <v>3036</v>
      </c>
      <c r="K544">
        <v>814.76</v>
      </c>
      <c r="L544" t="b">
        <v>0</v>
      </c>
    </row>
    <row r="545" spans="1:12" x14ac:dyDescent="0.25">
      <c r="A545" t="s">
        <v>3683</v>
      </c>
      <c r="B545" t="s">
        <v>1560</v>
      </c>
      <c r="C545" t="s">
        <v>3034</v>
      </c>
      <c r="D545" s="1">
        <v>46031.199120370373</v>
      </c>
      <c r="E545">
        <v>1931.09</v>
      </c>
      <c r="F545">
        <v>56.3</v>
      </c>
      <c r="G545">
        <v>1874.79</v>
      </c>
      <c r="H545" t="s">
        <v>25</v>
      </c>
      <c r="I545" t="s">
        <v>3480</v>
      </c>
      <c r="J545" t="s">
        <v>3036</v>
      </c>
      <c r="K545">
        <v>1931.09</v>
      </c>
      <c r="L545" t="b">
        <v>0</v>
      </c>
    </row>
    <row r="546" spans="1:12" x14ac:dyDescent="0.25">
      <c r="A546" t="s">
        <v>3684</v>
      </c>
      <c r="B546" t="s">
        <v>1563</v>
      </c>
      <c r="C546" t="s">
        <v>3034</v>
      </c>
      <c r="D546" s="1">
        <v>46031.261087962965</v>
      </c>
      <c r="E546">
        <v>1834.13</v>
      </c>
      <c r="F546">
        <v>53.49</v>
      </c>
      <c r="G546">
        <v>1780.64</v>
      </c>
      <c r="H546" t="s">
        <v>25</v>
      </c>
      <c r="I546" t="s">
        <v>3482</v>
      </c>
      <c r="J546" t="s">
        <v>3036</v>
      </c>
      <c r="K546">
        <v>1834.13</v>
      </c>
      <c r="L546" t="b">
        <v>0</v>
      </c>
    </row>
    <row r="547" spans="1:12" x14ac:dyDescent="0.25">
      <c r="A547" t="s">
        <v>3685</v>
      </c>
      <c r="B547" t="s">
        <v>1566</v>
      </c>
      <c r="C547" t="s">
        <v>3034</v>
      </c>
      <c r="D547" s="1">
        <v>46032.357361111113</v>
      </c>
      <c r="E547">
        <v>1811.31</v>
      </c>
      <c r="F547">
        <v>52.83</v>
      </c>
      <c r="G547">
        <v>1758.48</v>
      </c>
      <c r="H547" t="s">
        <v>25</v>
      </c>
      <c r="I547" t="s">
        <v>3530</v>
      </c>
      <c r="J547" t="s">
        <v>3036</v>
      </c>
      <c r="K547">
        <v>1811.31</v>
      </c>
      <c r="L547" t="b">
        <v>0</v>
      </c>
    </row>
    <row r="548" spans="1:12" x14ac:dyDescent="0.25">
      <c r="A548" t="s">
        <v>3686</v>
      </c>
      <c r="B548" t="s">
        <v>1569</v>
      </c>
      <c r="C548" t="s">
        <v>3034</v>
      </c>
      <c r="D548" s="1">
        <v>46033.456712962965</v>
      </c>
      <c r="E548">
        <v>1135.72</v>
      </c>
      <c r="F548">
        <v>33.24</v>
      </c>
      <c r="G548">
        <v>1102.48</v>
      </c>
      <c r="H548" t="s">
        <v>25</v>
      </c>
      <c r="I548" t="s">
        <v>3510</v>
      </c>
      <c r="J548" t="s">
        <v>3036</v>
      </c>
      <c r="K548">
        <v>1135.72</v>
      </c>
      <c r="L548" t="b">
        <v>0</v>
      </c>
    </row>
    <row r="549" spans="1:12" x14ac:dyDescent="0.25">
      <c r="A549" t="s">
        <v>3687</v>
      </c>
      <c r="B549" t="s">
        <v>1572</v>
      </c>
      <c r="C549" t="s">
        <v>3034</v>
      </c>
      <c r="D549" s="1">
        <v>46034.57068287037</v>
      </c>
      <c r="E549">
        <v>409.76</v>
      </c>
      <c r="F549">
        <v>12.18</v>
      </c>
      <c r="G549">
        <v>397.58</v>
      </c>
      <c r="H549" t="s">
        <v>25</v>
      </c>
      <c r="I549" t="s">
        <v>3688</v>
      </c>
      <c r="J549" t="s">
        <v>3036</v>
      </c>
      <c r="K549">
        <v>409.76</v>
      </c>
      <c r="L549" t="b">
        <v>0</v>
      </c>
    </row>
    <row r="550" spans="1:12" x14ac:dyDescent="0.25">
      <c r="A550" t="s">
        <v>3689</v>
      </c>
      <c r="B550" t="s">
        <v>1575</v>
      </c>
      <c r="C550" t="s">
        <v>3034</v>
      </c>
      <c r="D550" s="1">
        <v>46035.651273148149</v>
      </c>
      <c r="E550">
        <v>773.07</v>
      </c>
      <c r="F550">
        <v>22.72</v>
      </c>
      <c r="G550">
        <v>750.35</v>
      </c>
      <c r="H550" t="s">
        <v>25</v>
      </c>
      <c r="I550" t="s">
        <v>3490</v>
      </c>
      <c r="J550" t="s">
        <v>3036</v>
      </c>
      <c r="K550">
        <v>773.07</v>
      </c>
      <c r="L550" t="b">
        <v>0</v>
      </c>
    </row>
    <row r="551" spans="1:12" x14ac:dyDescent="0.25">
      <c r="A551" t="s">
        <v>3690</v>
      </c>
      <c r="B551" t="s">
        <v>1578</v>
      </c>
      <c r="C551" t="s">
        <v>3034</v>
      </c>
      <c r="D551" s="1">
        <v>46036.750127314815</v>
      </c>
      <c r="E551">
        <v>1175.8499999999999</v>
      </c>
      <c r="F551">
        <v>34.4</v>
      </c>
      <c r="G551">
        <v>1141.45</v>
      </c>
      <c r="H551" t="s">
        <v>25</v>
      </c>
      <c r="I551" t="s">
        <v>3492</v>
      </c>
      <c r="J551" t="s">
        <v>3036</v>
      </c>
      <c r="K551">
        <v>1175.8499999999999</v>
      </c>
      <c r="L551" t="b">
        <v>0</v>
      </c>
    </row>
    <row r="552" spans="1:12" x14ac:dyDescent="0.25">
      <c r="A552" t="s">
        <v>3691</v>
      </c>
      <c r="B552" t="s">
        <v>1578</v>
      </c>
      <c r="C552" t="s">
        <v>3076</v>
      </c>
      <c r="D552" s="1">
        <v>46037.74318287037</v>
      </c>
      <c r="E552">
        <v>-1175.8499999999999</v>
      </c>
      <c r="F552">
        <v>0</v>
      </c>
      <c r="G552">
        <v>-1175.8499999999999</v>
      </c>
      <c r="H552" t="s">
        <v>25</v>
      </c>
      <c r="I552" t="s">
        <v>3692</v>
      </c>
      <c r="J552" t="s">
        <v>3036</v>
      </c>
      <c r="K552">
        <v>-1175.8499999999999</v>
      </c>
      <c r="L552" t="b">
        <v>0</v>
      </c>
    </row>
    <row r="553" spans="1:12" x14ac:dyDescent="0.25">
      <c r="A553" t="s">
        <v>3693</v>
      </c>
      <c r="B553" t="s">
        <v>1581</v>
      </c>
      <c r="C553" t="s">
        <v>3034</v>
      </c>
      <c r="D553" s="1">
        <v>46023.805231481485</v>
      </c>
      <c r="E553">
        <v>2341.44</v>
      </c>
      <c r="F553">
        <v>68.2</v>
      </c>
      <c r="G553">
        <v>2273.2399999999998</v>
      </c>
      <c r="H553" t="s">
        <v>25</v>
      </c>
      <c r="I553" t="s">
        <v>3494</v>
      </c>
      <c r="J553" t="s">
        <v>3036</v>
      </c>
      <c r="K553">
        <v>2341.44</v>
      </c>
      <c r="L553" t="b">
        <v>0</v>
      </c>
    </row>
    <row r="554" spans="1:12" x14ac:dyDescent="0.25">
      <c r="A554" t="s">
        <v>3694</v>
      </c>
      <c r="B554" t="s">
        <v>1584</v>
      </c>
      <c r="C554" t="s">
        <v>3034</v>
      </c>
      <c r="D554" s="1">
        <v>46024.897164351853</v>
      </c>
      <c r="E554">
        <v>673.28</v>
      </c>
      <c r="F554">
        <v>19.829999999999998</v>
      </c>
      <c r="G554">
        <v>653.45000000000005</v>
      </c>
      <c r="H554" t="s">
        <v>52</v>
      </c>
      <c r="I554" t="s">
        <v>3518</v>
      </c>
      <c r="J554" t="s">
        <v>3036</v>
      </c>
      <c r="K554">
        <v>673.28</v>
      </c>
      <c r="L554" t="b">
        <v>0</v>
      </c>
    </row>
    <row r="555" spans="1:12" x14ac:dyDescent="0.25">
      <c r="A555" t="s">
        <v>3695</v>
      </c>
      <c r="B555" t="s">
        <v>1587</v>
      </c>
      <c r="C555" t="s">
        <v>3034</v>
      </c>
      <c r="D555" s="1">
        <v>46025.994120370371</v>
      </c>
      <c r="E555">
        <v>1814.1</v>
      </c>
      <c r="F555">
        <v>52.91</v>
      </c>
      <c r="G555">
        <v>1761.19</v>
      </c>
      <c r="H555" t="s">
        <v>19</v>
      </c>
      <c r="I555" t="s">
        <v>3520</v>
      </c>
      <c r="J555" t="s">
        <v>3036</v>
      </c>
      <c r="K555">
        <v>1814.1</v>
      </c>
      <c r="L555" t="b">
        <v>0</v>
      </c>
    </row>
    <row r="556" spans="1:12" x14ac:dyDescent="0.25">
      <c r="A556" t="s">
        <v>3696</v>
      </c>
      <c r="B556" t="s">
        <v>1590</v>
      </c>
      <c r="C556" t="s">
        <v>3034</v>
      </c>
      <c r="D556" s="1">
        <v>46027.085798611108</v>
      </c>
      <c r="E556">
        <v>508.29</v>
      </c>
      <c r="F556">
        <v>15.04</v>
      </c>
      <c r="G556">
        <v>493.25</v>
      </c>
      <c r="H556" t="s">
        <v>25</v>
      </c>
      <c r="I556" t="s">
        <v>3472</v>
      </c>
      <c r="J556" t="s">
        <v>3036</v>
      </c>
      <c r="K556">
        <v>508.29</v>
      </c>
      <c r="L556" t="b">
        <v>0</v>
      </c>
    </row>
    <row r="557" spans="1:12" x14ac:dyDescent="0.25">
      <c r="A557" t="s">
        <v>3697</v>
      </c>
      <c r="B557" t="s">
        <v>1593</v>
      </c>
      <c r="C557" t="s">
        <v>3034</v>
      </c>
      <c r="D557" s="1">
        <v>46028.174571759257</v>
      </c>
      <c r="E557">
        <v>228.86</v>
      </c>
      <c r="F557">
        <v>6.94</v>
      </c>
      <c r="G557">
        <v>221.92</v>
      </c>
      <c r="H557" t="s">
        <v>25</v>
      </c>
      <c r="I557" t="s">
        <v>3474</v>
      </c>
      <c r="J557" t="s">
        <v>3036</v>
      </c>
      <c r="K557">
        <v>228.86</v>
      </c>
      <c r="L557" t="b">
        <v>0</v>
      </c>
    </row>
    <row r="558" spans="1:12" x14ac:dyDescent="0.25">
      <c r="A558" t="s">
        <v>3698</v>
      </c>
      <c r="B558" t="s">
        <v>1596</v>
      </c>
      <c r="C558" t="s">
        <v>3034</v>
      </c>
      <c r="D558" s="1">
        <v>46028.288576388892</v>
      </c>
      <c r="E558">
        <v>1181.33</v>
      </c>
      <c r="F558">
        <v>34.56</v>
      </c>
      <c r="G558">
        <v>1146.77</v>
      </c>
      <c r="H558" t="s">
        <v>25</v>
      </c>
      <c r="I558" t="s">
        <v>3476</v>
      </c>
      <c r="J558" t="s">
        <v>3036</v>
      </c>
      <c r="K558">
        <v>1181.33</v>
      </c>
      <c r="L558" t="b">
        <v>0</v>
      </c>
    </row>
    <row r="559" spans="1:12" x14ac:dyDescent="0.25">
      <c r="A559" t="s">
        <v>3699</v>
      </c>
      <c r="B559" t="s">
        <v>1599</v>
      </c>
      <c r="C559" t="s">
        <v>3034</v>
      </c>
      <c r="D559" s="1">
        <v>46029.373981481483</v>
      </c>
      <c r="E559">
        <v>1132.8900000000001</v>
      </c>
      <c r="F559">
        <v>33.15</v>
      </c>
      <c r="G559">
        <v>1099.74</v>
      </c>
      <c r="H559" t="s">
        <v>25</v>
      </c>
      <c r="I559" t="s">
        <v>3478</v>
      </c>
      <c r="J559" t="s">
        <v>3036</v>
      </c>
      <c r="K559">
        <v>1132.8900000000001</v>
      </c>
      <c r="L559" t="b">
        <v>0</v>
      </c>
    </row>
    <row r="560" spans="1:12" x14ac:dyDescent="0.25">
      <c r="A560" t="s">
        <v>3700</v>
      </c>
      <c r="B560" t="s">
        <v>1602</v>
      </c>
      <c r="C560" t="s">
        <v>3034</v>
      </c>
      <c r="D560" s="1">
        <v>46030.447233796294</v>
      </c>
      <c r="E560">
        <v>2280.5500000000002</v>
      </c>
      <c r="F560">
        <v>66.44</v>
      </c>
      <c r="G560">
        <v>2214.11</v>
      </c>
      <c r="H560" t="s">
        <v>25</v>
      </c>
      <c r="I560" t="s">
        <v>3480</v>
      </c>
      <c r="J560" t="s">
        <v>3036</v>
      </c>
      <c r="K560">
        <v>2280.5500000000002</v>
      </c>
      <c r="L560" t="b">
        <v>0</v>
      </c>
    </row>
    <row r="561" spans="1:12" x14ac:dyDescent="0.25">
      <c r="A561" t="s">
        <v>3701</v>
      </c>
      <c r="B561" t="s">
        <v>1608</v>
      </c>
      <c r="C561" t="s">
        <v>3034</v>
      </c>
      <c r="D561" s="1">
        <v>46032.63989583333</v>
      </c>
      <c r="E561">
        <v>2427.46</v>
      </c>
      <c r="F561">
        <v>70.7</v>
      </c>
      <c r="G561">
        <v>2356.7600000000002</v>
      </c>
      <c r="H561" t="s">
        <v>25</v>
      </c>
      <c r="I561" t="s">
        <v>3530</v>
      </c>
      <c r="J561" t="s">
        <v>3036</v>
      </c>
      <c r="K561">
        <v>2427.46</v>
      </c>
      <c r="L561" t="b">
        <v>0</v>
      </c>
    </row>
    <row r="562" spans="1:12" x14ac:dyDescent="0.25">
      <c r="A562" t="s">
        <v>3702</v>
      </c>
      <c r="B562" t="s">
        <v>1611</v>
      </c>
      <c r="C562" t="s">
        <v>3034</v>
      </c>
      <c r="D562" s="1">
        <v>46033.727719907409</v>
      </c>
      <c r="E562">
        <v>979.63</v>
      </c>
      <c r="F562">
        <v>28.71</v>
      </c>
      <c r="G562">
        <v>950.92</v>
      </c>
      <c r="H562" t="s">
        <v>25</v>
      </c>
      <c r="I562" t="s">
        <v>3510</v>
      </c>
      <c r="J562" t="s">
        <v>3036</v>
      </c>
      <c r="K562">
        <v>979.63</v>
      </c>
      <c r="L562" t="b">
        <v>0</v>
      </c>
    </row>
    <row r="563" spans="1:12" x14ac:dyDescent="0.25">
      <c r="A563" t="s">
        <v>3703</v>
      </c>
      <c r="B563" t="s">
        <v>1614</v>
      </c>
      <c r="C563" t="s">
        <v>3034</v>
      </c>
      <c r="D563" s="1">
        <v>46034.84238425926</v>
      </c>
      <c r="E563">
        <v>1587.87</v>
      </c>
      <c r="F563">
        <v>46.35</v>
      </c>
      <c r="G563">
        <v>1541.52</v>
      </c>
      <c r="H563" t="s">
        <v>52</v>
      </c>
      <c r="I563" t="s">
        <v>3533</v>
      </c>
      <c r="J563" t="s">
        <v>3036</v>
      </c>
      <c r="K563">
        <v>1587.87</v>
      </c>
      <c r="L563" t="b">
        <v>0</v>
      </c>
    </row>
    <row r="564" spans="1:12" x14ac:dyDescent="0.25">
      <c r="A564" t="s">
        <v>3704</v>
      </c>
      <c r="B564" t="s">
        <v>1617</v>
      </c>
      <c r="C564" t="s">
        <v>3034</v>
      </c>
      <c r="D564" s="1">
        <v>46035.943483796298</v>
      </c>
      <c r="E564">
        <v>883.1</v>
      </c>
      <c r="F564">
        <v>26.28</v>
      </c>
      <c r="G564">
        <v>856.82</v>
      </c>
      <c r="H564" t="s">
        <v>19</v>
      </c>
      <c r="I564" t="s">
        <v>3535</v>
      </c>
      <c r="J564" t="s">
        <v>3036</v>
      </c>
      <c r="K564">
        <v>883.1</v>
      </c>
      <c r="L564" t="b">
        <v>0</v>
      </c>
    </row>
    <row r="565" spans="1:12" x14ac:dyDescent="0.25">
      <c r="A565" t="s">
        <v>3705</v>
      </c>
      <c r="B565" t="s">
        <v>1620</v>
      </c>
      <c r="C565" t="s">
        <v>3034</v>
      </c>
      <c r="D565" s="1">
        <v>46037.022118055553</v>
      </c>
      <c r="E565">
        <v>2283.86</v>
      </c>
      <c r="F565">
        <v>66.53</v>
      </c>
      <c r="G565">
        <v>2217.33</v>
      </c>
      <c r="H565" t="s">
        <v>25</v>
      </c>
      <c r="I565" t="s">
        <v>3492</v>
      </c>
      <c r="J565" t="s">
        <v>3036</v>
      </c>
      <c r="K565">
        <v>2283.86</v>
      </c>
      <c r="L565" t="b">
        <v>0</v>
      </c>
    </row>
    <row r="566" spans="1:12" x14ac:dyDescent="0.25">
      <c r="A566" t="s">
        <v>3706</v>
      </c>
      <c r="B566" t="s">
        <v>1623</v>
      </c>
      <c r="C566" t="s">
        <v>3034</v>
      </c>
      <c r="D566" s="1">
        <v>46024.114374999997</v>
      </c>
      <c r="E566">
        <v>962.37</v>
      </c>
      <c r="F566">
        <v>28.21</v>
      </c>
      <c r="G566">
        <v>934.16</v>
      </c>
      <c r="H566" t="s">
        <v>25</v>
      </c>
      <c r="I566" t="s">
        <v>3494</v>
      </c>
      <c r="J566" t="s">
        <v>3036</v>
      </c>
      <c r="K566">
        <v>962.37</v>
      </c>
      <c r="L566" t="b">
        <v>0</v>
      </c>
    </row>
    <row r="567" spans="1:12" x14ac:dyDescent="0.25">
      <c r="A567" t="s">
        <v>3707</v>
      </c>
      <c r="B567" t="s">
        <v>1626</v>
      </c>
      <c r="C567" t="s">
        <v>3034</v>
      </c>
      <c r="D567" s="1">
        <v>46025.209837962961</v>
      </c>
      <c r="E567">
        <v>1620.21</v>
      </c>
      <c r="F567">
        <v>47.29</v>
      </c>
      <c r="G567">
        <v>1572.92</v>
      </c>
      <c r="H567" t="s">
        <v>25</v>
      </c>
      <c r="I567" t="s">
        <v>3468</v>
      </c>
      <c r="J567" t="s">
        <v>3036</v>
      </c>
      <c r="K567">
        <v>1620.21</v>
      </c>
      <c r="L567" t="b">
        <v>0</v>
      </c>
    </row>
    <row r="568" spans="1:12" x14ac:dyDescent="0.25">
      <c r="A568" t="s">
        <v>3708</v>
      </c>
      <c r="B568" t="s">
        <v>1629</v>
      </c>
      <c r="C568" t="s">
        <v>3034</v>
      </c>
      <c r="D568" s="1">
        <v>46025.275405092594</v>
      </c>
      <c r="E568">
        <v>876.95</v>
      </c>
      <c r="F568">
        <v>25.73</v>
      </c>
      <c r="G568">
        <v>851.22</v>
      </c>
      <c r="H568" t="s">
        <v>25</v>
      </c>
      <c r="I568" t="s">
        <v>3470</v>
      </c>
      <c r="J568" t="s">
        <v>3036</v>
      </c>
      <c r="K568">
        <v>876.95</v>
      </c>
      <c r="L568" t="b">
        <v>0</v>
      </c>
    </row>
    <row r="569" spans="1:12" x14ac:dyDescent="0.25">
      <c r="A569" t="s">
        <v>3709</v>
      </c>
      <c r="B569" t="s">
        <v>1632</v>
      </c>
      <c r="C569" t="s">
        <v>3034</v>
      </c>
      <c r="D569" s="1">
        <v>46026.398564814815</v>
      </c>
      <c r="E569">
        <v>1158.08</v>
      </c>
      <c r="F569">
        <v>33.880000000000003</v>
      </c>
      <c r="G569">
        <v>1124.2</v>
      </c>
      <c r="H569" t="s">
        <v>25</v>
      </c>
      <c r="I569" t="s">
        <v>3472</v>
      </c>
      <c r="J569" t="s">
        <v>3036</v>
      </c>
      <c r="K569">
        <v>1158.08</v>
      </c>
      <c r="L569" t="b">
        <v>0</v>
      </c>
    </row>
    <row r="570" spans="1:12" x14ac:dyDescent="0.25">
      <c r="A570" t="s">
        <v>3710</v>
      </c>
      <c r="B570" t="s">
        <v>1635</v>
      </c>
      <c r="C570" t="s">
        <v>3034</v>
      </c>
      <c r="D570" s="1">
        <v>46027.484548611108</v>
      </c>
      <c r="E570">
        <v>2204.52</v>
      </c>
      <c r="F570">
        <v>64.23</v>
      </c>
      <c r="G570">
        <v>2140.29</v>
      </c>
      <c r="H570" t="s">
        <v>25</v>
      </c>
      <c r="I570" t="s">
        <v>3474</v>
      </c>
      <c r="J570" t="s">
        <v>3036</v>
      </c>
      <c r="K570">
        <v>2204.52</v>
      </c>
      <c r="L570" t="b">
        <v>0</v>
      </c>
    </row>
    <row r="571" spans="1:12" x14ac:dyDescent="0.25">
      <c r="A571" t="s">
        <v>3711</v>
      </c>
      <c r="B571" t="s">
        <v>1638</v>
      </c>
      <c r="C571" t="s">
        <v>3034</v>
      </c>
      <c r="D571" s="1">
        <v>46028.58425925926</v>
      </c>
      <c r="E571">
        <v>2263.1799999999998</v>
      </c>
      <c r="F571">
        <v>65.930000000000007</v>
      </c>
      <c r="G571">
        <v>2197.25</v>
      </c>
      <c r="H571" t="s">
        <v>25</v>
      </c>
      <c r="I571" t="s">
        <v>3476</v>
      </c>
      <c r="J571" t="s">
        <v>3036</v>
      </c>
      <c r="K571">
        <v>2263.1799999999998</v>
      </c>
      <c r="L571" t="b">
        <v>0</v>
      </c>
    </row>
    <row r="572" spans="1:12" x14ac:dyDescent="0.25">
      <c r="A572" t="s">
        <v>3712</v>
      </c>
      <c r="B572" t="s">
        <v>1641</v>
      </c>
      <c r="C572" t="s">
        <v>3034</v>
      </c>
      <c r="D572" s="1">
        <v>46029.662893518522</v>
      </c>
      <c r="E572">
        <v>2388.0700000000002</v>
      </c>
      <c r="F572">
        <v>69.55</v>
      </c>
      <c r="G572">
        <v>2318.52</v>
      </c>
      <c r="H572" t="s">
        <v>25</v>
      </c>
      <c r="I572" t="s">
        <v>3478</v>
      </c>
      <c r="J572" t="s">
        <v>3036</v>
      </c>
      <c r="K572">
        <v>2388.0700000000002</v>
      </c>
      <c r="L572" t="b">
        <v>0</v>
      </c>
    </row>
    <row r="573" spans="1:12" x14ac:dyDescent="0.25">
      <c r="A573" t="s">
        <v>3713</v>
      </c>
      <c r="B573" t="s">
        <v>1644</v>
      </c>
      <c r="C573" t="s">
        <v>3034</v>
      </c>
      <c r="D573" s="1">
        <v>46030.732083333336</v>
      </c>
      <c r="E573">
        <v>2284.62</v>
      </c>
      <c r="F573">
        <v>66.55</v>
      </c>
      <c r="G573">
        <v>2218.0700000000002</v>
      </c>
      <c r="H573" t="s">
        <v>52</v>
      </c>
      <c r="I573" t="s">
        <v>3545</v>
      </c>
      <c r="J573" t="s">
        <v>3036</v>
      </c>
      <c r="K573">
        <v>2284.62</v>
      </c>
      <c r="L573" t="b">
        <v>0</v>
      </c>
    </row>
    <row r="574" spans="1:12" x14ac:dyDescent="0.25">
      <c r="A574" t="s">
        <v>3714</v>
      </c>
      <c r="B574" t="s">
        <v>1647</v>
      </c>
      <c r="C574" t="s">
        <v>3034</v>
      </c>
      <c r="D574" s="1">
        <v>46031.859606481485</v>
      </c>
      <c r="E574">
        <v>1321.87</v>
      </c>
      <c r="F574">
        <v>38.630000000000003</v>
      </c>
      <c r="G574">
        <v>1283.24</v>
      </c>
      <c r="H574" t="s">
        <v>19</v>
      </c>
      <c r="I574" t="s">
        <v>3549</v>
      </c>
      <c r="J574" t="s">
        <v>3036</v>
      </c>
      <c r="K574">
        <v>1321.87</v>
      </c>
      <c r="L574" t="b">
        <v>0</v>
      </c>
    </row>
    <row r="575" spans="1:12" x14ac:dyDescent="0.25">
      <c r="A575" t="s">
        <v>3715</v>
      </c>
      <c r="B575" t="s">
        <v>1650</v>
      </c>
      <c r="C575" t="s">
        <v>3034</v>
      </c>
      <c r="D575" s="1">
        <v>46032.946030092593</v>
      </c>
      <c r="E575">
        <v>1256.48</v>
      </c>
      <c r="F575">
        <v>36.74</v>
      </c>
      <c r="G575">
        <v>1219.74</v>
      </c>
      <c r="H575" t="s">
        <v>25</v>
      </c>
      <c r="I575" t="s">
        <v>3530</v>
      </c>
      <c r="J575" t="s">
        <v>3036</v>
      </c>
      <c r="K575">
        <v>1256.48</v>
      </c>
      <c r="L575" t="b">
        <v>0</v>
      </c>
    </row>
    <row r="576" spans="1:12" x14ac:dyDescent="0.25">
      <c r="A576" t="s">
        <v>3716</v>
      </c>
      <c r="B576" t="s">
        <v>1653</v>
      </c>
      <c r="C576" t="s">
        <v>3034</v>
      </c>
      <c r="D576" s="1">
        <v>46034.020798611113</v>
      </c>
      <c r="E576">
        <v>1530.72</v>
      </c>
      <c r="F576">
        <v>44.69</v>
      </c>
      <c r="G576">
        <v>1486.03</v>
      </c>
      <c r="H576" t="s">
        <v>25</v>
      </c>
      <c r="I576" t="s">
        <v>3510</v>
      </c>
      <c r="J576" t="s">
        <v>3036</v>
      </c>
      <c r="K576">
        <v>1530.72</v>
      </c>
      <c r="L576" t="b">
        <v>0</v>
      </c>
    </row>
    <row r="577" spans="1:12" x14ac:dyDescent="0.25">
      <c r="A577" t="s">
        <v>3717</v>
      </c>
      <c r="B577" t="s">
        <v>1656</v>
      </c>
      <c r="C577" t="s">
        <v>3034</v>
      </c>
      <c r="D577" s="1">
        <v>46035.11614583333</v>
      </c>
      <c r="E577">
        <v>805.35</v>
      </c>
      <c r="F577">
        <v>23.66</v>
      </c>
      <c r="G577">
        <v>781.69</v>
      </c>
      <c r="H577" t="s">
        <v>25</v>
      </c>
      <c r="I577" t="s">
        <v>3553</v>
      </c>
      <c r="J577" t="s">
        <v>3036</v>
      </c>
      <c r="K577">
        <v>805.35</v>
      </c>
      <c r="L577" t="b">
        <v>0</v>
      </c>
    </row>
    <row r="578" spans="1:12" x14ac:dyDescent="0.25">
      <c r="A578" t="s">
        <v>3718</v>
      </c>
      <c r="B578" t="s">
        <v>1659</v>
      </c>
      <c r="C578" t="s">
        <v>3034</v>
      </c>
      <c r="D578" s="1">
        <v>46036.209594907406</v>
      </c>
      <c r="E578">
        <v>2441.1799999999998</v>
      </c>
      <c r="F578">
        <v>71.09</v>
      </c>
      <c r="G578">
        <v>2370.09</v>
      </c>
      <c r="H578" t="s">
        <v>25</v>
      </c>
      <c r="I578" t="s">
        <v>3719</v>
      </c>
      <c r="J578" t="s">
        <v>3036</v>
      </c>
      <c r="K578">
        <v>2441.1799999999998</v>
      </c>
      <c r="L578" t="b">
        <v>0</v>
      </c>
    </row>
    <row r="579" spans="1:12" x14ac:dyDescent="0.25">
      <c r="A579" t="s">
        <v>3720</v>
      </c>
      <c r="B579" t="s">
        <v>1662</v>
      </c>
      <c r="C579" t="s">
        <v>3034</v>
      </c>
      <c r="D579" s="1">
        <v>46036.287557870368</v>
      </c>
      <c r="E579">
        <v>1171.99</v>
      </c>
      <c r="F579">
        <v>34.29</v>
      </c>
      <c r="G579">
        <v>1137.7</v>
      </c>
      <c r="H579" t="s">
        <v>25</v>
      </c>
      <c r="I579" t="s">
        <v>3492</v>
      </c>
      <c r="J579" t="s">
        <v>3036</v>
      </c>
      <c r="K579">
        <v>1171.99</v>
      </c>
      <c r="L579" t="b">
        <v>0</v>
      </c>
    </row>
    <row r="580" spans="1:12" x14ac:dyDescent="0.25">
      <c r="A580" t="s">
        <v>3721</v>
      </c>
      <c r="B580" t="s">
        <v>1665</v>
      </c>
      <c r="C580" t="s">
        <v>3034</v>
      </c>
      <c r="D580" s="1">
        <v>46023.409537037034</v>
      </c>
      <c r="E580">
        <v>1358.04</v>
      </c>
      <c r="F580">
        <v>39.68</v>
      </c>
      <c r="G580">
        <v>1318.36</v>
      </c>
      <c r="H580" t="s">
        <v>25</v>
      </c>
      <c r="I580" t="s">
        <v>3722</v>
      </c>
      <c r="J580" t="s">
        <v>3036</v>
      </c>
      <c r="K580">
        <v>1358.04</v>
      </c>
      <c r="L580" t="b">
        <v>0</v>
      </c>
    </row>
    <row r="581" spans="1:12" x14ac:dyDescent="0.25">
      <c r="A581" t="s">
        <v>3723</v>
      </c>
      <c r="B581" t="s">
        <v>1668</v>
      </c>
      <c r="C581" t="s">
        <v>3034</v>
      </c>
      <c r="D581" s="1">
        <v>46024.474016203705</v>
      </c>
      <c r="E581">
        <v>703.32</v>
      </c>
      <c r="F581">
        <v>20.7</v>
      </c>
      <c r="G581">
        <v>682.62</v>
      </c>
      <c r="H581" t="s">
        <v>25</v>
      </c>
      <c r="I581" t="s">
        <v>3468</v>
      </c>
      <c r="J581" t="s">
        <v>3036</v>
      </c>
      <c r="K581">
        <v>703.32</v>
      </c>
      <c r="L581" t="b">
        <v>0</v>
      </c>
    </row>
    <row r="582" spans="1:12" x14ac:dyDescent="0.25">
      <c r="A582" t="s">
        <v>3724</v>
      </c>
      <c r="B582" t="s">
        <v>1671</v>
      </c>
      <c r="C582" t="s">
        <v>3034</v>
      </c>
      <c r="D582" s="1">
        <v>46025.594976851855</v>
      </c>
      <c r="E582">
        <v>1849.68</v>
      </c>
      <c r="F582">
        <v>53.94</v>
      </c>
      <c r="G582">
        <v>1795.74</v>
      </c>
      <c r="H582" t="s">
        <v>25</v>
      </c>
      <c r="I582" t="s">
        <v>3470</v>
      </c>
      <c r="J582" t="s">
        <v>3036</v>
      </c>
      <c r="K582">
        <v>1849.68</v>
      </c>
      <c r="L582" t="b">
        <v>0</v>
      </c>
    </row>
    <row r="583" spans="1:12" x14ac:dyDescent="0.25">
      <c r="A583" t="s">
        <v>3725</v>
      </c>
      <c r="B583" t="s">
        <v>1674</v>
      </c>
      <c r="C583" t="s">
        <v>3034</v>
      </c>
      <c r="D583" s="1">
        <v>46026.647835648146</v>
      </c>
      <c r="E583">
        <v>1265.25</v>
      </c>
      <c r="F583">
        <v>36.99</v>
      </c>
      <c r="G583">
        <v>1228.26</v>
      </c>
      <c r="H583" t="s">
        <v>52</v>
      </c>
      <c r="I583" t="s">
        <v>3561</v>
      </c>
      <c r="J583" t="s">
        <v>3036</v>
      </c>
      <c r="K583">
        <v>1265.25</v>
      </c>
      <c r="L583" t="b">
        <v>0</v>
      </c>
    </row>
    <row r="584" spans="1:12" x14ac:dyDescent="0.25">
      <c r="A584" t="s">
        <v>3726</v>
      </c>
      <c r="B584" t="s">
        <v>1677</v>
      </c>
      <c r="C584" t="s">
        <v>3034</v>
      </c>
      <c r="D584" s="1">
        <v>46027.755567129629</v>
      </c>
      <c r="E584">
        <v>1121.67</v>
      </c>
      <c r="F584">
        <v>32.83</v>
      </c>
      <c r="G584">
        <v>1088.8399999999999</v>
      </c>
      <c r="H584" t="s">
        <v>19</v>
      </c>
      <c r="I584" t="s">
        <v>3563</v>
      </c>
      <c r="J584" t="s">
        <v>3036</v>
      </c>
      <c r="K584">
        <v>1121.67</v>
      </c>
      <c r="L584" t="b">
        <v>0</v>
      </c>
    </row>
    <row r="585" spans="1:12" x14ac:dyDescent="0.25">
      <c r="A585" t="s">
        <v>3727</v>
      </c>
      <c r="B585" t="s">
        <v>1680</v>
      </c>
      <c r="C585" t="s">
        <v>3034</v>
      </c>
      <c r="D585" s="1">
        <v>46028.831354166665</v>
      </c>
      <c r="E585">
        <v>2005.44</v>
      </c>
      <c r="F585">
        <v>58.46</v>
      </c>
      <c r="G585">
        <v>1946.98</v>
      </c>
      <c r="H585" t="s">
        <v>25</v>
      </c>
      <c r="I585" t="s">
        <v>3476</v>
      </c>
      <c r="J585" t="s">
        <v>3036</v>
      </c>
      <c r="K585">
        <v>2005.44</v>
      </c>
      <c r="L585" t="b">
        <v>0</v>
      </c>
    </row>
    <row r="586" spans="1:12" x14ac:dyDescent="0.25">
      <c r="A586" t="s">
        <v>3728</v>
      </c>
      <c r="B586" t="s">
        <v>1683</v>
      </c>
      <c r="C586" t="s">
        <v>3034</v>
      </c>
      <c r="D586" s="1">
        <v>46029.956226851849</v>
      </c>
      <c r="E586">
        <v>2105.8200000000002</v>
      </c>
      <c r="F586">
        <v>61.37</v>
      </c>
      <c r="G586">
        <v>2044.45</v>
      </c>
      <c r="H586" t="s">
        <v>25</v>
      </c>
      <c r="I586" t="s">
        <v>3478</v>
      </c>
      <c r="J586" t="s">
        <v>3036</v>
      </c>
      <c r="K586">
        <v>2105.8200000000002</v>
      </c>
      <c r="L586" t="b">
        <v>0</v>
      </c>
    </row>
    <row r="587" spans="1:12" x14ac:dyDescent="0.25">
      <c r="A587" t="s">
        <v>3729</v>
      </c>
      <c r="B587" t="s">
        <v>1686</v>
      </c>
      <c r="C587" t="s">
        <v>3034</v>
      </c>
      <c r="D587" s="1">
        <v>46031.026863425926</v>
      </c>
      <c r="E587">
        <v>1397.38</v>
      </c>
      <c r="F587">
        <v>40.82</v>
      </c>
      <c r="G587">
        <v>1356.56</v>
      </c>
      <c r="H587" t="s">
        <v>25</v>
      </c>
      <c r="I587" t="s">
        <v>3730</v>
      </c>
      <c r="J587" t="s">
        <v>3036</v>
      </c>
      <c r="K587">
        <v>1397.38</v>
      </c>
      <c r="L587" t="b">
        <v>0</v>
      </c>
    </row>
    <row r="588" spans="1:12" x14ac:dyDescent="0.25">
      <c r="A588" t="s">
        <v>3731</v>
      </c>
      <c r="B588" t="s">
        <v>1689</v>
      </c>
      <c r="C588" t="s">
        <v>3034</v>
      </c>
      <c r="D588" s="1">
        <v>46032.1403587963</v>
      </c>
      <c r="E588">
        <v>2419.94</v>
      </c>
      <c r="F588">
        <v>70.48</v>
      </c>
      <c r="G588">
        <v>2349.46</v>
      </c>
      <c r="H588" t="s">
        <v>25</v>
      </c>
      <c r="I588" t="s">
        <v>3482</v>
      </c>
      <c r="J588" t="s">
        <v>3036</v>
      </c>
      <c r="K588">
        <v>2419.94</v>
      </c>
      <c r="L588" t="b">
        <v>0</v>
      </c>
    </row>
    <row r="589" spans="1:12" x14ac:dyDescent="0.25">
      <c r="A589" t="s">
        <v>3732</v>
      </c>
      <c r="B589" t="s">
        <v>1692</v>
      </c>
      <c r="C589" t="s">
        <v>3034</v>
      </c>
      <c r="D589" s="1">
        <v>46033.211527777778</v>
      </c>
      <c r="E589">
        <v>1679.42</v>
      </c>
      <c r="F589">
        <v>49</v>
      </c>
      <c r="G589">
        <v>1630.42</v>
      </c>
      <c r="H589" t="s">
        <v>25</v>
      </c>
      <c r="I589" t="s">
        <v>3530</v>
      </c>
      <c r="J589" t="s">
        <v>3036</v>
      </c>
      <c r="K589">
        <v>1679.42</v>
      </c>
      <c r="L589" t="b">
        <v>0</v>
      </c>
    </row>
    <row r="590" spans="1:12" x14ac:dyDescent="0.25">
      <c r="A590" t="s">
        <v>3733</v>
      </c>
      <c r="B590" t="s">
        <v>1695</v>
      </c>
      <c r="C590" t="s">
        <v>3034</v>
      </c>
      <c r="D590" s="1">
        <v>46033.329444444447</v>
      </c>
      <c r="E590">
        <v>331.94</v>
      </c>
      <c r="F590">
        <v>9.93</v>
      </c>
      <c r="G590">
        <v>322.01</v>
      </c>
      <c r="H590" t="s">
        <v>25</v>
      </c>
      <c r="I590" t="s">
        <v>3510</v>
      </c>
      <c r="J590" t="s">
        <v>3036</v>
      </c>
      <c r="K590">
        <v>331.94</v>
      </c>
      <c r="L590" t="b">
        <v>0</v>
      </c>
    </row>
    <row r="591" spans="1:12" x14ac:dyDescent="0.25">
      <c r="A591" t="s">
        <v>3734</v>
      </c>
      <c r="B591" t="s">
        <v>1698</v>
      </c>
      <c r="C591" t="s">
        <v>3034</v>
      </c>
      <c r="D591" s="1">
        <v>46034.40215277778</v>
      </c>
      <c r="E591">
        <v>289.45999999999998</v>
      </c>
      <c r="F591">
        <v>8.69</v>
      </c>
      <c r="G591">
        <v>280.77</v>
      </c>
      <c r="H591" t="s">
        <v>25</v>
      </c>
      <c r="I591" t="s">
        <v>3553</v>
      </c>
      <c r="J591" t="s">
        <v>3036</v>
      </c>
      <c r="K591">
        <v>289.45999999999998</v>
      </c>
      <c r="L591" t="b">
        <v>0</v>
      </c>
    </row>
    <row r="592" spans="1:12" x14ac:dyDescent="0.25">
      <c r="A592" t="s">
        <v>3735</v>
      </c>
      <c r="B592" t="s">
        <v>1701</v>
      </c>
      <c r="C592" t="s">
        <v>3034</v>
      </c>
      <c r="D592" s="1">
        <v>46035.498136574075</v>
      </c>
      <c r="E592">
        <v>2332.38</v>
      </c>
      <c r="F592">
        <v>67.94</v>
      </c>
      <c r="G592">
        <v>2264.44</v>
      </c>
      <c r="H592" t="s">
        <v>25</v>
      </c>
      <c r="I592" t="s">
        <v>3736</v>
      </c>
      <c r="J592" t="s">
        <v>3036</v>
      </c>
      <c r="K592">
        <v>2332.38</v>
      </c>
      <c r="L592" t="b">
        <v>0</v>
      </c>
    </row>
    <row r="593" spans="1:12" x14ac:dyDescent="0.25">
      <c r="A593" t="s">
        <v>3737</v>
      </c>
      <c r="B593" t="s">
        <v>1704</v>
      </c>
      <c r="C593" t="s">
        <v>3034</v>
      </c>
      <c r="D593" s="1">
        <v>46036.581863425927</v>
      </c>
      <c r="E593">
        <v>674.55</v>
      </c>
      <c r="F593">
        <v>19.86</v>
      </c>
      <c r="G593">
        <v>654.69000000000005</v>
      </c>
      <c r="H593" t="s">
        <v>52</v>
      </c>
      <c r="I593" t="s">
        <v>3576</v>
      </c>
      <c r="J593" t="s">
        <v>3036</v>
      </c>
      <c r="K593">
        <v>674.55</v>
      </c>
      <c r="L593" t="b">
        <v>0</v>
      </c>
    </row>
    <row r="594" spans="1:12" x14ac:dyDescent="0.25">
      <c r="A594" t="s">
        <v>3738</v>
      </c>
      <c r="B594" t="s">
        <v>1707</v>
      </c>
      <c r="C594" t="s">
        <v>3034</v>
      </c>
      <c r="D594" s="1">
        <v>46023.692361111112</v>
      </c>
      <c r="E594">
        <v>1393.3</v>
      </c>
      <c r="F594">
        <v>40.71</v>
      </c>
      <c r="G594">
        <v>1352.59</v>
      </c>
      <c r="H594" t="s">
        <v>19</v>
      </c>
      <c r="I594" t="s">
        <v>3466</v>
      </c>
      <c r="J594" t="s">
        <v>3036</v>
      </c>
      <c r="K594">
        <v>1393.3</v>
      </c>
      <c r="L594" t="b">
        <v>0</v>
      </c>
    </row>
    <row r="595" spans="1:12" x14ac:dyDescent="0.25">
      <c r="A595" t="s">
        <v>3739</v>
      </c>
      <c r="B595" t="s">
        <v>1710</v>
      </c>
      <c r="C595" t="s">
        <v>3034</v>
      </c>
      <c r="D595" s="1">
        <v>46024.753032407411</v>
      </c>
      <c r="E595">
        <v>1311</v>
      </c>
      <c r="F595">
        <v>38.32</v>
      </c>
      <c r="G595">
        <v>1272.68</v>
      </c>
      <c r="H595" t="s">
        <v>25</v>
      </c>
      <c r="I595" t="s">
        <v>3468</v>
      </c>
      <c r="J595" t="s">
        <v>3036</v>
      </c>
      <c r="K595">
        <v>1311</v>
      </c>
      <c r="L595" t="b">
        <v>0</v>
      </c>
    </row>
    <row r="596" spans="1:12" x14ac:dyDescent="0.25">
      <c r="A596" t="s">
        <v>3740</v>
      </c>
      <c r="B596" t="s">
        <v>1716</v>
      </c>
      <c r="C596" t="s">
        <v>3034</v>
      </c>
      <c r="D596" s="1">
        <v>46026.962395833332</v>
      </c>
      <c r="E596">
        <v>557.15</v>
      </c>
      <c r="F596">
        <v>16.46</v>
      </c>
      <c r="G596">
        <v>540.69000000000005</v>
      </c>
      <c r="H596" t="s">
        <v>25</v>
      </c>
      <c r="I596" t="s">
        <v>3472</v>
      </c>
      <c r="J596" t="s">
        <v>3036</v>
      </c>
      <c r="K596">
        <v>557.15</v>
      </c>
      <c r="L596" t="b">
        <v>0</v>
      </c>
    </row>
    <row r="597" spans="1:12" x14ac:dyDescent="0.25">
      <c r="A597" t="s">
        <v>3741</v>
      </c>
      <c r="B597" t="s">
        <v>1719</v>
      </c>
      <c r="C597" t="s">
        <v>3034</v>
      </c>
      <c r="D597" s="1">
        <v>46028.02988425926</v>
      </c>
      <c r="E597">
        <v>1010.54</v>
      </c>
      <c r="F597">
        <v>29.61</v>
      </c>
      <c r="G597">
        <v>980.93</v>
      </c>
      <c r="H597" t="s">
        <v>25</v>
      </c>
      <c r="I597" t="s">
        <v>3474</v>
      </c>
      <c r="J597" t="s">
        <v>3036</v>
      </c>
      <c r="K597">
        <v>1010.54</v>
      </c>
      <c r="L597" t="b">
        <v>0</v>
      </c>
    </row>
    <row r="598" spans="1:12" x14ac:dyDescent="0.25">
      <c r="A598" t="s">
        <v>3741</v>
      </c>
      <c r="B598" t="s">
        <v>1719</v>
      </c>
      <c r="C598" t="s">
        <v>3034</v>
      </c>
      <c r="D598" s="1">
        <v>46028.02988425926</v>
      </c>
      <c r="E598">
        <v>1010.54</v>
      </c>
      <c r="F598">
        <v>29.61</v>
      </c>
      <c r="G598">
        <v>980.93</v>
      </c>
      <c r="H598" t="s">
        <v>25</v>
      </c>
      <c r="I598" t="s">
        <v>3474</v>
      </c>
      <c r="J598" t="s">
        <v>3036</v>
      </c>
      <c r="K598">
        <v>1010.54</v>
      </c>
      <c r="L598" t="b">
        <v>0</v>
      </c>
    </row>
    <row r="599" spans="1:12" x14ac:dyDescent="0.25">
      <c r="A599" t="s">
        <v>3742</v>
      </c>
      <c r="B599" t="s">
        <v>1722</v>
      </c>
      <c r="C599" t="s">
        <v>3034</v>
      </c>
      <c r="D599" s="1">
        <v>46029.120289351849</v>
      </c>
      <c r="E599">
        <v>1494.4</v>
      </c>
      <c r="F599">
        <v>43.64</v>
      </c>
      <c r="G599">
        <v>1450.76</v>
      </c>
      <c r="H599" t="s">
        <v>25</v>
      </c>
      <c r="I599" t="s">
        <v>3743</v>
      </c>
      <c r="J599" t="s">
        <v>3036</v>
      </c>
      <c r="K599">
        <v>1494.4</v>
      </c>
      <c r="L599" t="b">
        <v>0</v>
      </c>
    </row>
    <row r="600" spans="1:12" x14ac:dyDescent="0.25">
      <c r="A600" t="s">
        <v>3744</v>
      </c>
      <c r="B600" t="s">
        <v>1725</v>
      </c>
      <c r="C600" t="s">
        <v>3034</v>
      </c>
      <c r="D600" s="1">
        <v>46030.223298611112</v>
      </c>
      <c r="E600">
        <v>1738.63</v>
      </c>
      <c r="F600">
        <v>50.72</v>
      </c>
      <c r="G600">
        <v>1687.91</v>
      </c>
      <c r="H600" t="s">
        <v>25</v>
      </c>
      <c r="I600" t="s">
        <v>3478</v>
      </c>
      <c r="J600" t="s">
        <v>3036</v>
      </c>
      <c r="K600">
        <v>1738.63</v>
      </c>
      <c r="L600" t="b">
        <v>0</v>
      </c>
    </row>
    <row r="601" spans="1:12" x14ac:dyDescent="0.25">
      <c r="A601" t="s">
        <v>3745</v>
      </c>
      <c r="B601" t="s">
        <v>1728</v>
      </c>
      <c r="C601" t="s">
        <v>3034</v>
      </c>
      <c r="D601" s="1">
        <v>46030.318229166667</v>
      </c>
      <c r="E601">
        <v>2070.0700000000002</v>
      </c>
      <c r="F601">
        <v>60.33</v>
      </c>
      <c r="G601">
        <v>2009.74</v>
      </c>
      <c r="H601" t="s">
        <v>25</v>
      </c>
      <c r="I601" t="s">
        <v>3480</v>
      </c>
      <c r="J601" t="s">
        <v>3036</v>
      </c>
      <c r="K601">
        <v>2070.0700000000002</v>
      </c>
      <c r="L601" t="b">
        <v>0</v>
      </c>
    </row>
    <row r="602" spans="1:12" x14ac:dyDescent="0.25">
      <c r="A602" t="s">
        <v>3746</v>
      </c>
      <c r="B602" t="s">
        <v>1731</v>
      </c>
      <c r="C602" t="s">
        <v>3034</v>
      </c>
      <c r="D602" s="1">
        <v>46031.426064814812</v>
      </c>
      <c r="E602">
        <v>2385.5700000000002</v>
      </c>
      <c r="F602">
        <v>69.48</v>
      </c>
      <c r="G602">
        <v>2316.09</v>
      </c>
      <c r="H602" t="s">
        <v>25</v>
      </c>
      <c r="I602" t="s">
        <v>3482</v>
      </c>
      <c r="J602" t="s">
        <v>3036</v>
      </c>
      <c r="K602">
        <v>2385.5700000000002</v>
      </c>
      <c r="L602" t="b">
        <v>0</v>
      </c>
    </row>
    <row r="603" spans="1:12" x14ac:dyDescent="0.25">
      <c r="A603" t="s">
        <v>3747</v>
      </c>
      <c r="B603" t="s">
        <v>1734</v>
      </c>
      <c r="C603" t="s">
        <v>3034</v>
      </c>
      <c r="D603" s="1">
        <v>46032.493981481479</v>
      </c>
      <c r="E603">
        <v>1810.31</v>
      </c>
      <c r="F603">
        <v>52.8</v>
      </c>
      <c r="G603">
        <v>1757.51</v>
      </c>
      <c r="H603" t="s">
        <v>52</v>
      </c>
      <c r="I603" t="s">
        <v>3484</v>
      </c>
      <c r="J603" t="s">
        <v>3036</v>
      </c>
      <c r="K603">
        <v>1810.31</v>
      </c>
      <c r="L603" t="b">
        <v>0</v>
      </c>
    </row>
    <row r="604" spans="1:12" x14ac:dyDescent="0.25">
      <c r="A604" t="s">
        <v>3748</v>
      </c>
      <c r="B604" t="s">
        <v>1737</v>
      </c>
      <c r="C604" t="s">
        <v>3034</v>
      </c>
      <c r="D604" s="1">
        <v>46033.602094907408</v>
      </c>
      <c r="E604">
        <v>1693.55</v>
      </c>
      <c r="F604">
        <v>49.41</v>
      </c>
      <c r="G604">
        <v>1644.14</v>
      </c>
      <c r="H604" t="s">
        <v>19</v>
      </c>
      <c r="I604" t="s">
        <v>3486</v>
      </c>
      <c r="J604" t="s">
        <v>3036</v>
      </c>
      <c r="K604">
        <v>1693.55</v>
      </c>
      <c r="L604" t="b">
        <v>0</v>
      </c>
    </row>
    <row r="605" spans="1:12" x14ac:dyDescent="0.25">
      <c r="A605" t="s">
        <v>3749</v>
      </c>
      <c r="B605" t="s">
        <v>1740</v>
      </c>
      <c r="C605" t="s">
        <v>3034</v>
      </c>
      <c r="D605" s="1">
        <v>46034.67459490741</v>
      </c>
      <c r="E605">
        <v>1845.31</v>
      </c>
      <c r="F605">
        <v>54.18</v>
      </c>
      <c r="G605">
        <v>1791.13</v>
      </c>
      <c r="H605" t="s">
        <v>25</v>
      </c>
      <c r="I605" t="s">
        <v>3553</v>
      </c>
      <c r="J605" t="s">
        <v>3036</v>
      </c>
      <c r="K605">
        <v>1845.31</v>
      </c>
      <c r="L605" t="b">
        <v>0</v>
      </c>
    </row>
    <row r="606" spans="1:12" x14ac:dyDescent="0.25">
      <c r="A606" t="s">
        <v>3750</v>
      </c>
      <c r="B606" t="s">
        <v>1743</v>
      </c>
      <c r="C606" t="s">
        <v>3034</v>
      </c>
      <c r="D606" s="1">
        <v>46035.785324074073</v>
      </c>
      <c r="E606">
        <v>916.87</v>
      </c>
      <c r="F606">
        <v>26.89</v>
      </c>
      <c r="G606">
        <v>889.98</v>
      </c>
      <c r="H606" t="s">
        <v>25</v>
      </c>
      <c r="I606" t="s">
        <v>3490</v>
      </c>
      <c r="J606" t="s">
        <v>3036</v>
      </c>
      <c r="K606">
        <v>916.87</v>
      </c>
      <c r="L606" t="b">
        <v>0</v>
      </c>
    </row>
    <row r="607" spans="1:12" x14ac:dyDescent="0.25">
      <c r="A607" t="s">
        <v>3751</v>
      </c>
      <c r="B607" t="s">
        <v>1746</v>
      </c>
      <c r="C607" t="s">
        <v>3034</v>
      </c>
      <c r="D607" s="1">
        <v>46036.850914351853</v>
      </c>
      <c r="E607">
        <v>1926.29</v>
      </c>
      <c r="F607">
        <v>56.16</v>
      </c>
      <c r="G607">
        <v>1870.13</v>
      </c>
      <c r="H607" t="s">
        <v>25</v>
      </c>
      <c r="I607" t="s">
        <v>3492</v>
      </c>
      <c r="J607" t="s">
        <v>3036</v>
      </c>
      <c r="K607">
        <v>1926.29</v>
      </c>
      <c r="L607" t="b">
        <v>0</v>
      </c>
    </row>
    <row r="608" spans="1:12" x14ac:dyDescent="0.25">
      <c r="A608" t="s">
        <v>3752</v>
      </c>
      <c r="B608" t="s">
        <v>1749</v>
      </c>
      <c r="C608" t="s">
        <v>3034</v>
      </c>
      <c r="D608" s="1">
        <v>46023.969930555555</v>
      </c>
      <c r="E608">
        <v>55.6</v>
      </c>
      <c r="F608">
        <v>1.91</v>
      </c>
      <c r="G608">
        <v>53.69</v>
      </c>
      <c r="H608" t="s">
        <v>25</v>
      </c>
      <c r="I608" t="s">
        <v>3494</v>
      </c>
      <c r="J608" t="s">
        <v>3036</v>
      </c>
      <c r="K608">
        <v>55.6</v>
      </c>
      <c r="L608" t="b">
        <v>0</v>
      </c>
    </row>
    <row r="609" spans="1:12" x14ac:dyDescent="0.25">
      <c r="A609" t="s">
        <v>3753</v>
      </c>
      <c r="B609" t="s">
        <v>1752</v>
      </c>
      <c r="C609" t="s">
        <v>3034</v>
      </c>
      <c r="D609" s="1">
        <v>46025.031018518515</v>
      </c>
      <c r="E609">
        <v>214.83</v>
      </c>
      <c r="F609">
        <v>6.53</v>
      </c>
      <c r="G609">
        <v>208.3</v>
      </c>
      <c r="H609" t="s">
        <v>25</v>
      </c>
      <c r="I609" t="s">
        <v>3468</v>
      </c>
      <c r="J609" t="s">
        <v>3036</v>
      </c>
      <c r="K609">
        <v>214.83</v>
      </c>
      <c r="L609" t="b">
        <v>0</v>
      </c>
    </row>
    <row r="610" spans="1:12" x14ac:dyDescent="0.25">
      <c r="A610" t="s">
        <v>3754</v>
      </c>
      <c r="B610" t="s">
        <v>1755</v>
      </c>
      <c r="C610" t="s">
        <v>3034</v>
      </c>
      <c r="D610" s="1">
        <v>46026.129479166666</v>
      </c>
      <c r="E610">
        <v>582.35</v>
      </c>
      <c r="F610">
        <v>17.190000000000001</v>
      </c>
      <c r="G610">
        <v>565.16</v>
      </c>
      <c r="H610" t="s">
        <v>25</v>
      </c>
      <c r="I610" t="s">
        <v>3470</v>
      </c>
      <c r="J610" t="s">
        <v>3036</v>
      </c>
      <c r="K610">
        <v>582.35</v>
      </c>
      <c r="L610" t="b">
        <v>0</v>
      </c>
    </row>
    <row r="611" spans="1:12" x14ac:dyDescent="0.25">
      <c r="A611" t="s">
        <v>3755</v>
      </c>
      <c r="B611" t="s">
        <v>1758</v>
      </c>
      <c r="C611" t="s">
        <v>3034</v>
      </c>
      <c r="D611" s="1">
        <v>46026.241481481484</v>
      </c>
      <c r="E611">
        <v>1524.39</v>
      </c>
      <c r="F611">
        <v>44.51</v>
      </c>
      <c r="G611">
        <v>1479.88</v>
      </c>
      <c r="H611" t="s">
        <v>25</v>
      </c>
      <c r="I611" t="s">
        <v>3472</v>
      </c>
      <c r="J611" t="s">
        <v>3036</v>
      </c>
      <c r="K611">
        <v>1524.39</v>
      </c>
      <c r="L611" t="b">
        <v>0</v>
      </c>
    </row>
    <row r="612" spans="1:12" x14ac:dyDescent="0.25">
      <c r="A612" t="s">
        <v>3756</v>
      </c>
      <c r="B612" t="s">
        <v>1761</v>
      </c>
      <c r="C612" t="s">
        <v>3034</v>
      </c>
      <c r="D612" s="1">
        <v>46027.338645833333</v>
      </c>
      <c r="E612">
        <v>1385.87</v>
      </c>
      <c r="F612">
        <v>40.49</v>
      </c>
      <c r="G612">
        <v>1345.38</v>
      </c>
      <c r="H612" t="s">
        <v>25</v>
      </c>
      <c r="I612" t="s">
        <v>3474</v>
      </c>
      <c r="J612" t="s">
        <v>3036</v>
      </c>
      <c r="K612">
        <v>1385.87</v>
      </c>
      <c r="L612" t="b">
        <v>0</v>
      </c>
    </row>
    <row r="613" spans="1:12" x14ac:dyDescent="0.25">
      <c r="A613" t="s">
        <v>3757</v>
      </c>
      <c r="B613" t="s">
        <v>1764</v>
      </c>
      <c r="C613" t="s">
        <v>3034</v>
      </c>
      <c r="D613" s="1">
        <v>46028.423333333332</v>
      </c>
      <c r="E613">
        <v>196.4</v>
      </c>
      <c r="F613">
        <v>6</v>
      </c>
      <c r="G613">
        <v>190.4</v>
      </c>
      <c r="H613" t="s">
        <v>52</v>
      </c>
      <c r="I613" t="s">
        <v>3502</v>
      </c>
      <c r="J613" t="s">
        <v>3036</v>
      </c>
      <c r="K613">
        <v>196.4</v>
      </c>
      <c r="L613" t="b">
        <v>0</v>
      </c>
    </row>
    <row r="614" spans="1:12" x14ac:dyDescent="0.25">
      <c r="A614" t="s">
        <v>3758</v>
      </c>
      <c r="B614" t="s">
        <v>1767</v>
      </c>
      <c r="C614" t="s">
        <v>3034</v>
      </c>
      <c r="D614" s="1">
        <v>46029.513310185182</v>
      </c>
      <c r="E614">
        <v>310.01</v>
      </c>
      <c r="F614">
        <v>9.2899999999999991</v>
      </c>
      <c r="G614">
        <v>300.72000000000003</v>
      </c>
      <c r="H614" t="s">
        <v>19</v>
      </c>
      <c r="I614" t="s">
        <v>3759</v>
      </c>
      <c r="J614" t="s">
        <v>3036</v>
      </c>
      <c r="K614">
        <v>310.01</v>
      </c>
      <c r="L614" t="b">
        <v>0</v>
      </c>
    </row>
    <row r="615" spans="1:12" x14ac:dyDescent="0.25">
      <c r="A615" t="s">
        <v>3760</v>
      </c>
      <c r="B615" t="s">
        <v>1770</v>
      </c>
      <c r="C615" t="s">
        <v>3034</v>
      </c>
      <c r="D615" s="1">
        <v>46030.585405092592</v>
      </c>
      <c r="E615">
        <v>2030.37</v>
      </c>
      <c r="F615">
        <v>59.18</v>
      </c>
      <c r="G615">
        <v>1971.19</v>
      </c>
      <c r="H615" t="s">
        <v>25</v>
      </c>
      <c r="I615" t="s">
        <v>3480</v>
      </c>
      <c r="J615" t="s">
        <v>3036</v>
      </c>
      <c r="K615">
        <v>2030.37</v>
      </c>
      <c r="L615" t="b">
        <v>0</v>
      </c>
    </row>
    <row r="616" spans="1:12" x14ac:dyDescent="0.25">
      <c r="A616" t="s">
        <v>3761</v>
      </c>
      <c r="B616" t="s">
        <v>1773</v>
      </c>
      <c r="C616" t="s">
        <v>3034</v>
      </c>
      <c r="D616" s="1">
        <v>46031.68037037037</v>
      </c>
      <c r="E616">
        <v>1042.3499999999999</v>
      </c>
      <c r="F616">
        <v>30.53</v>
      </c>
      <c r="G616">
        <v>1011.82</v>
      </c>
      <c r="H616" t="s">
        <v>25</v>
      </c>
      <c r="I616" t="s">
        <v>3482</v>
      </c>
      <c r="J616" t="s">
        <v>3036</v>
      </c>
      <c r="K616">
        <v>1042.3499999999999</v>
      </c>
      <c r="L616" t="b">
        <v>0</v>
      </c>
    </row>
    <row r="617" spans="1:12" x14ac:dyDescent="0.25">
      <c r="A617" t="s">
        <v>3762</v>
      </c>
      <c r="B617" t="s">
        <v>1776</v>
      </c>
      <c r="C617" t="s">
        <v>3034</v>
      </c>
      <c r="D617" s="1">
        <v>46032.796932870369</v>
      </c>
      <c r="E617">
        <v>1252.4000000000001</v>
      </c>
      <c r="F617">
        <v>36.619999999999997</v>
      </c>
      <c r="G617">
        <v>1215.78</v>
      </c>
      <c r="H617" t="s">
        <v>25</v>
      </c>
      <c r="I617" t="s">
        <v>3530</v>
      </c>
      <c r="J617" t="s">
        <v>3036</v>
      </c>
      <c r="K617">
        <v>1252.4000000000001</v>
      </c>
      <c r="L617" t="b">
        <v>0</v>
      </c>
    </row>
    <row r="618" spans="1:12" x14ac:dyDescent="0.25">
      <c r="A618" t="s">
        <v>3763</v>
      </c>
      <c r="B618" t="s">
        <v>1779</v>
      </c>
      <c r="C618" t="s">
        <v>3034</v>
      </c>
      <c r="D618" s="1">
        <v>46033.876145833332</v>
      </c>
      <c r="E618">
        <v>1404.41</v>
      </c>
      <c r="F618">
        <v>41.4</v>
      </c>
      <c r="G618">
        <v>1363.01</v>
      </c>
      <c r="H618" t="s">
        <v>25</v>
      </c>
      <c r="I618" t="s">
        <v>3510</v>
      </c>
      <c r="J618" t="s">
        <v>3036</v>
      </c>
      <c r="K618">
        <v>1404.41</v>
      </c>
      <c r="L618" t="b">
        <v>0</v>
      </c>
    </row>
    <row r="619" spans="1:12" x14ac:dyDescent="0.25">
      <c r="A619" t="s">
        <v>3764</v>
      </c>
      <c r="B619" t="s">
        <v>1782</v>
      </c>
      <c r="C619" t="s">
        <v>3034</v>
      </c>
      <c r="D619" s="1">
        <v>46034.984293981484</v>
      </c>
      <c r="E619">
        <v>1821.7</v>
      </c>
      <c r="F619">
        <v>53.13</v>
      </c>
      <c r="G619">
        <v>1768.57</v>
      </c>
      <c r="H619" t="s">
        <v>25</v>
      </c>
      <c r="I619" t="s">
        <v>3765</v>
      </c>
      <c r="J619" t="s">
        <v>3036</v>
      </c>
      <c r="K619">
        <v>1821.7</v>
      </c>
      <c r="L619" t="b">
        <v>0</v>
      </c>
    </row>
    <row r="620" spans="1:12" x14ac:dyDescent="0.25">
      <c r="A620" t="s">
        <v>3766</v>
      </c>
      <c r="B620" t="s">
        <v>1785</v>
      </c>
      <c r="C620" t="s">
        <v>3034</v>
      </c>
      <c r="D620" s="1">
        <v>46036.058344907404</v>
      </c>
      <c r="E620">
        <v>1001.13</v>
      </c>
      <c r="F620">
        <v>29.33</v>
      </c>
      <c r="G620">
        <v>971.8</v>
      </c>
      <c r="H620" t="s">
        <v>25</v>
      </c>
      <c r="I620" t="s">
        <v>3490</v>
      </c>
      <c r="J620" t="s">
        <v>3036</v>
      </c>
      <c r="K620">
        <v>1001.13</v>
      </c>
      <c r="L620" t="b">
        <v>0</v>
      </c>
    </row>
    <row r="621" spans="1:12" x14ac:dyDescent="0.25">
      <c r="A621" t="s">
        <v>3767</v>
      </c>
      <c r="B621" t="s">
        <v>1788</v>
      </c>
      <c r="C621" t="s">
        <v>3034</v>
      </c>
      <c r="D621" s="1">
        <v>46037.143333333333</v>
      </c>
      <c r="E621">
        <v>2272.7199999999998</v>
      </c>
      <c r="F621">
        <v>66.209999999999994</v>
      </c>
      <c r="G621">
        <v>2206.5100000000002</v>
      </c>
      <c r="H621" t="s">
        <v>25</v>
      </c>
      <c r="I621" t="s">
        <v>3492</v>
      </c>
      <c r="J621" t="s">
        <v>3036</v>
      </c>
      <c r="K621">
        <v>2272.7199999999998</v>
      </c>
      <c r="L621" t="b">
        <v>0</v>
      </c>
    </row>
    <row r="622" spans="1:12" x14ac:dyDescent="0.25">
      <c r="A622" t="s">
        <v>3768</v>
      </c>
      <c r="B622" t="s">
        <v>1791</v>
      </c>
      <c r="C622" t="s">
        <v>3034</v>
      </c>
      <c r="D622" s="1">
        <v>46023.26185185185</v>
      </c>
      <c r="E622">
        <v>2290.2800000000002</v>
      </c>
      <c r="F622">
        <v>66.72</v>
      </c>
      <c r="G622">
        <v>2223.56</v>
      </c>
      <c r="H622" t="s">
        <v>25</v>
      </c>
      <c r="I622" t="s">
        <v>3494</v>
      </c>
      <c r="J622" t="s">
        <v>3036</v>
      </c>
      <c r="K622">
        <v>2290.2800000000002</v>
      </c>
      <c r="L622" t="b">
        <v>0</v>
      </c>
    </row>
    <row r="623" spans="1:12" x14ac:dyDescent="0.25">
      <c r="A623" t="s">
        <v>3769</v>
      </c>
      <c r="B623" t="s">
        <v>1794</v>
      </c>
      <c r="C623" t="s">
        <v>3034</v>
      </c>
      <c r="D623" s="1">
        <v>46024.325324074074</v>
      </c>
      <c r="E623">
        <v>1626.72</v>
      </c>
      <c r="F623">
        <v>47.84</v>
      </c>
      <c r="G623">
        <v>1578.88</v>
      </c>
      <c r="H623" t="s">
        <v>52</v>
      </c>
      <c r="I623" t="s">
        <v>3518</v>
      </c>
      <c r="J623" t="s">
        <v>3036</v>
      </c>
      <c r="K623">
        <v>1626.72</v>
      </c>
      <c r="L623" t="b">
        <v>0</v>
      </c>
    </row>
    <row r="624" spans="1:12" x14ac:dyDescent="0.25">
      <c r="A624" t="s">
        <v>3770</v>
      </c>
      <c r="B624" t="s">
        <v>1797</v>
      </c>
      <c r="C624" t="s">
        <v>3034</v>
      </c>
      <c r="D624" s="1">
        <v>46025.445474537039</v>
      </c>
      <c r="E624">
        <v>674.9</v>
      </c>
      <c r="F624">
        <v>20.239999999999998</v>
      </c>
      <c r="G624">
        <v>654.66</v>
      </c>
      <c r="H624" t="s">
        <v>19</v>
      </c>
      <c r="I624" t="s">
        <v>3520</v>
      </c>
      <c r="J624" t="s">
        <v>3036</v>
      </c>
      <c r="K624">
        <v>674.9</v>
      </c>
      <c r="L624" t="b">
        <v>0</v>
      </c>
    </row>
    <row r="625" spans="1:12" x14ac:dyDescent="0.25">
      <c r="A625" t="s">
        <v>3771</v>
      </c>
      <c r="B625" t="s">
        <v>1800</v>
      </c>
      <c r="C625" t="s">
        <v>3034</v>
      </c>
      <c r="D625" s="1">
        <v>46026.537499999999</v>
      </c>
      <c r="E625">
        <v>960.49</v>
      </c>
      <c r="F625">
        <v>28.15</v>
      </c>
      <c r="G625">
        <v>932.34</v>
      </c>
      <c r="H625" t="s">
        <v>25</v>
      </c>
      <c r="I625" t="s">
        <v>3472</v>
      </c>
      <c r="J625" t="s">
        <v>3036</v>
      </c>
      <c r="K625">
        <v>960.49</v>
      </c>
      <c r="L625" t="b">
        <v>0</v>
      </c>
    </row>
    <row r="626" spans="1:12" x14ac:dyDescent="0.25">
      <c r="A626" t="s">
        <v>3772</v>
      </c>
      <c r="B626" t="s">
        <v>1803</v>
      </c>
      <c r="C626" t="s">
        <v>3034</v>
      </c>
      <c r="D626" s="1">
        <v>46027.618321759262</v>
      </c>
      <c r="E626">
        <v>606.83000000000004</v>
      </c>
      <c r="F626">
        <v>17.899999999999999</v>
      </c>
      <c r="G626">
        <v>588.92999999999995</v>
      </c>
      <c r="H626" t="s">
        <v>25</v>
      </c>
      <c r="I626" t="s">
        <v>3474</v>
      </c>
      <c r="J626" t="s">
        <v>3036</v>
      </c>
      <c r="K626">
        <v>606.83000000000004</v>
      </c>
      <c r="L626" t="b">
        <v>0</v>
      </c>
    </row>
    <row r="627" spans="1:12" x14ac:dyDescent="0.25">
      <c r="A627" t="s">
        <v>3773</v>
      </c>
      <c r="B627" t="s">
        <v>1806</v>
      </c>
      <c r="C627" t="s">
        <v>3034</v>
      </c>
      <c r="D627" s="1">
        <v>46028.689756944441</v>
      </c>
      <c r="E627">
        <v>660.26</v>
      </c>
      <c r="F627">
        <v>19.45</v>
      </c>
      <c r="G627">
        <v>640.80999999999995</v>
      </c>
      <c r="H627" t="s">
        <v>25</v>
      </c>
      <c r="I627" t="s">
        <v>3476</v>
      </c>
      <c r="J627" t="s">
        <v>3036</v>
      </c>
      <c r="K627">
        <v>660.26</v>
      </c>
      <c r="L627" t="b">
        <v>0</v>
      </c>
    </row>
    <row r="628" spans="1:12" x14ac:dyDescent="0.25">
      <c r="A628" t="s">
        <v>3774</v>
      </c>
      <c r="B628" t="s">
        <v>1809</v>
      </c>
      <c r="C628" t="s">
        <v>3034</v>
      </c>
      <c r="D628" s="1">
        <v>46029.779004629629</v>
      </c>
      <c r="E628">
        <v>150.6</v>
      </c>
      <c r="F628">
        <v>4.67</v>
      </c>
      <c r="G628">
        <v>145.93</v>
      </c>
      <c r="H628" t="s">
        <v>25</v>
      </c>
      <c r="I628" t="s">
        <v>3478</v>
      </c>
      <c r="J628" t="s">
        <v>3036</v>
      </c>
      <c r="K628">
        <v>150.6</v>
      </c>
      <c r="L628" t="b">
        <v>0</v>
      </c>
    </row>
    <row r="629" spans="1:12" x14ac:dyDescent="0.25">
      <c r="A629" t="s">
        <v>3775</v>
      </c>
      <c r="B629" t="s">
        <v>1812</v>
      </c>
      <c r="C629" t="s">
        <v>3034</v>
      </c>
      <c r="D629" s="1">
        <v>46030.892245370371</v>
      </c>
      <c r="E629">
        <v>1245.53</v>
      </c>
      <c r="F629">
        <v>36.42</v>
      </c>
      <c r="G629">
        <v>1209.1099999999999</v>
      </c>
      <c r="H629" t="s">
        <v>25</v>
      </c>
      <c r="I629" t="s">
        <v>3480</v>
      </c>
      <c r="J629" t="s">
        <v>3036</v>
      </c>
      <c r="K629">
        <v>1245.53</v>
      </c>
      <c r="L629" t="b">
        <v>0</v>
      </c>
    </row>
    <row r="630" spans="1:12" x14ac:dyDescent="0.25">
      <c r="A630" t="s">
        <v>3776</v>
      </c>
      <c r="B630" t="s">
        <v>1815</v>
      </c>
      <c r="C630" t="s">
        <v>3034</v>
      </c>
      <c r="D630" s="1">
        <v>46031.95884259259</v>
      </c>
      <c r="E630">
        <v>1303.46</v>
      </c>
      <c r="F630">
        <v>38.1</v>
      </c>
      <c r="G630">
        <v>1265.3599999999999</v>
      </c>
      <c r="H630" t="s">
        <v>25</v>
      </c>
      <c r="I630" t="s">
        <v>3482</v>
      </c>
      <c r="J630" t="s">
        <v>3036</v>
      </c>
      <c r="K630">
        <v>1303.46</v>
      </c>
      <c r="L630" t="b">
        <v>0</v>
      </c>
    </row>
    <row r="631" spans="1:12" x14ac:dyDescent="0.25">
      <c r="A631" t="s">
        <v>3777</v>
      </c>
      <c r="B631" t="s">
        <v>1818</v>
      </c>
      <c r="C631" t="s">
        <v>3034</v>
      </c>
      <c r="D631" s="1">
        <v>46033.049270833333</v>
      </c>
      <c r="E631">
        <v>92.71</v>
      </c>
      <c r="F631">
        <v>2.99</v>
      </c>
      <c r="G631">
        <v>89.72</v>
      </c>
      <c r="H631" t="s">
        <v>25</v>
      </c>
      <c r="I631" t="s">
        <v>3530</v>
      </c>
      <c r="J631" t="s">
        <v>3036</v>
      </c>
      <c r="K631">
        <v>92.71</v>
      </c>
      <c r="L631" t="b">
        <v>0</v>
      </c>
    </row>
    <row r="632" spans="1:12" x14ac:dyDescent="0.25">
      <c r="A632" t="s">
        <v>3778</v>
      </c>
      <c r="B632" t="s">
        <v>1821</v>
      </c>
      <c r="C632" t="s">
        <v>3034</v>
      </c>
      <c r="D632" s="1">
        <v>46034.177233796298</v>
      </c>
      <c r="E632">
        <v>21.8</v>
      </c>
      <c r="F632">
        <v>0.93</v>
      </c>
      <c r="G632">
        <v>20.87</v>
      </c>
      <c r="H632" t="s">
        <v>25</v>
      </c>
      <c r="I632" t="s">
        <v>3510</v>
      </c>
      <c r="J632" t="s">
        <v>3036</v>
      </c>
      <c r="K632">
        <v>21.8</v>
      </c>
      <c r="L632" t="b">
        <v>0</v>
      </c>
    </row>
    <row r="633" spans="1:12" x14ac:dyDescent="0.25">
      <c r="A633" t="s">
        <v>3779</v>
      </c>
      <c r="B633" t="s">
        <v>1824</v>
      </c>
      <c r="C633" t="s">
        <v>3034</v>
      </c>
      <c r="D633" s="1">
        <v>46034.252962962964</v>
      </c>
      <c r="E633">
        <v>26.36</v>
      </c>
      <c r="F633">
        <v>1.06</v>
      </c>
      <c r="G633">
        <v>25.3</v>
      </c>
      <c r="H633" t="s">
        <v>52</v>
      </c>
      <c r="I633" t="s">
        <v>3533</v>
      </c>
      <c r="J633" t="s">
        <v>3036</v>
      </c>
      <c r="K633">
        <v>26.36</v>
      </c>
      <c r="L633" t="b">
        <v>0</v>
      </c>
    </row>
    <row r="634" spans="1:12" x14ac:dyDescent="0.25">
      <c r="A634" t="s">
        <v>3780</v>
      </c>
      <c r="B634" t="s">
        <v>1827</v>
      </c>
      <c r="C634" t="s">
        <v>3034</v>
      </c>
      <c r="D634" s="1">
        <v>46035.334907407407</v>
      </c>
      <c r="E634">
        <v>1466.25</v>
      </c>
      <c r="F634">
        <v>42.82</v>
      </c>
      <c r="G634">
        <v>1423.43</v>
      </c>
      <c r="H634" t="s">
        <v>19</v>
      </c>
      <c r="I634" t="s">
        <v>3535</v>
      </c>
      <c r="J634" t="s">
        <v>3036</v>
      </c>
      <c r="K634">
        <v>1466.25</v>
      </c>
      <c r="L634" t="b">
        <v>0</v>
      </c>
    </row>
    <row r="635" spans="1:12" x14ac:dyDescent="0.25">
      <c r="A635" t="s">
        <v>3781</v>
      </c>
      <c r="B635" t="s">
        <v>1830</v>
      </c>
      <c r="C635" t="s">
        <v>3034</v>
      </c>
      <c r="D635" s="1">
        <v>46036.4137962963</v>
      </c>
      <c r="E635">
        <v>1804.93</v>
      </c>
      <c r="F635">
        <v>52.64</v>
      </c>
      <c r="G635">
        <v>1752.29</v>
      </c>
      <c r="H635" t="s">
        <v>25</v>
      </c>
      <c r="I635" t="s">
        <v>3492</v>
      </c>
      <c r="J635" t="s">
        <v>3036</v>
      </c>
      <c r="K635">
        <v>1804.93</v>
      </c>
      <c r="L635" t="b">
        <v>0</v>
      </c>
    </row>
    <row r="636" spans="1:12" x14ac:dyDescent="0.25">
      <c r="A636" t="s">
        <v>3782</v>
      </c>
      <c r="B636" t="s">
        <v>1833</v>
      </c>
      <c r="C636" t="s">
        <v>3034</v>
      </c>
      <c r="D636" s="1">
        <v>46023.511018518519</v>
      </c>
      <c r="E636">
        <v>868.26</v>
      </c>
      <c r="F636">
        <v>25.48</v>
      </c>
      <c r="G636">
        <v>842.78</v>
      </c>
      <c r="H636" t="s">
        <v>25</v>
      </c>
      <c r="I636" t="s">
        <v>3494</v>
      </c>
      <c r="J636" t="s">
        <v>3036</v>
      </c>
      <c r="K636">
        <v>868.26</v>
      </c>
      <c r="L636" t="b">
        <v>0</v>
      </c>
    </row>
    <row r="637" spans="1:12" x14ac:dyDescent="0.25">
      <c r="A637" t="s">
        <v>3783</v>
      </c>
      <c r="B637" t="s">
        <v>1836</v>
      </c>
      <c r="C637" t="s">
        <v>3034</v>
      </c>
      <c r="D637" s="1">
        <v>46024.624768518515</v>
      </c>
      <c r="E637">
        <v>55.83</v>
      </c>
      <c r="F637">
        <v>1.92</v>
      </c>
      <c r="G637">
        <v>53.91</v>
      </c>
      <c r="H637" t="s">
        <v>25</v>
      </c>
      <c r="I637" t="s">
        <v>3468</v>
      </c>
      <c r="J637" t="s">
        <v>3036</v>
      </c>
      <c r="K637">
        <v>55.83</v>
      </c>
      <c r="L637" t="b">
        <v>0</v>
      </c>
    </row>
    <row r="638" spans="1:12" x14ac:dyDescent="0.25">
      <c r="A638" t="s">
        <v>3784</v>
      </c>
      <c r="B638" t="s">
        <v>1839</v>
      </c>
      <c r="C638" t="s">
        <v>3034</v>
      </c>
      <c r="D638" s="1">
        <v>46025.701990740738</v>
      </c>
      <c r="E638">
        <v>2036.82</v>
      </c>
      <c r="F638">
        <v>59.37</v>
      </c>
      <c r="G638">
        <v>1977.45</v>
      </c>
      <c r="H638" t="s">
        <v>25</v>
      </c>
      <c r="I638" t="s">
        <v>3470</v>
      </c>
      <c r="J638" t="s">
        <v>3036</v>
      </c>
      <c r="K638">
        <v>2036.82</v>
      </c>
      <c r="L638" t="b">
        <v>0</v>
      </c>
    </row>
    <row r="639" spans="1:12" x14ac:dyDescent="0.25">
      <c r="A639" t="s">
        <v>3785</v>
      </c>
      <c r="B639" t="s">
        <v>1842</v>
      </c>
      <c r="C639" t="s">
        <v>3034</v>
      </c>
      <c r="D639" s="1">
        <v>46026.792870370373</v>
      </c>
      <c r="E639">
        <v>2310.1999999999998</v>
      </c>
      <c r="F639">
        <v>67.3</v>
      </c>
      <c r="G639">
        <v>2242.9</v>
      </c>
      <c r="H639" t="s">
        <v>25</v>
      </c>
      <c r="I639" t="s">
        <v>3472</v>
      </c>
      <c r="J639" t="s">
        <v>3036</v>
      </c>
      <c r="K639">
        <v>2310.1999999999998</v>
      </c>
      <c r="L639" t="b">
        <v>0</v>
      </c>
    </row>
    <row r="640" spans="1:12" x14ac:dyDescent="0.25">
      <c r="A640" t="s">
        <v>3786</v>
      </c>
      <c r="B640" t="s">
        <v>1845</v>
      </c>
      <c r="C640" t="s">
        <v>3034</v>
      </c>
      <c r="D640" s="1">
        <v>46027.893854166665</v>
      </c>
      <c r="E640">
        <v>80.77</v>
      </c>
      <c r="F640">
        <v>2.64</v>
      </c>
      <c r="G640">
        <v>78.13</v>
      </c>
      <c r="H640" t="s">
        <v>25</v>
      </c>
      <c r="I640" t="s">
        <v>3474</v>
      </c>
      <c r="J640" t="s">
        <v>3036</v>
      </c>
      <c r="K640">
        <v>80.77</v>
      </c>
      <c r="L640" t="b">
        <v>0</v>
      </c>
    </row>
    <row r="641" spans="1:12" x14ac:dyDescent="0.25">
      <c r="A641" t="s">
        <v>3787</v>
      </c>
      <c r="B641" t="s">
        <v>1848</v>
      </c>
      <c r="C641" t="s">
        <v>3034</v>
      </c>
      <c r="D641" s="1">
        <v>46028.998206018521</v>
      </c>
      <c r="E641">
        <v>1103.1400000000001</v>
      </c>
      <c r="F641">
        <v>32.29</v>
      </c>
      <c r="G641">
        <v>1070.8499999999999</v>
      </c>
      <c r="H641" t="s">
        <v>25</v>
      </c>
      <c r="I641" t="s">
        <v>3476</v>
      </c>
      <c r="J641" t="s">
        <v>3036</v>
      </c>
      <c r="K641">
        <v>1103.1400000000001</v>
      </c>
      <c r="L641" t="b">
        <v>0</v>
      </c>
    </row>
    <row r="642" spans="1:12" x14ac:dyDescent="0.25">
      <c r="A642" t="s">
        <v>3788</v>
      </c>
      <c r="B642" t="s">
        <v>1848</v>
      </c>
      <c r="C642" t="s">
        <v>3076</v>
      </c>
      <c r="D642" s="1">
        <v>46029.991261574076</v>
      </c>
      <c r="E642">
        <v>-551.57000000000005</v>
      </c>
      <c r="F642">
        <v>0</v>
      </c>
      <c r="G642">
        <v>-551.57000000000005</v>
      </c>
      <c r="H642" t="s">
        <v>25</v>
      </c>
      <c r="I642" t="s">
        <v>3789</v>
      </c>
      <c r="J642" t="s">
        <v>3036</v>
      </c>
      <c r="K642">
        <v>-551.57000000000005</v>
      </c>
      <c r="L642" t="b">
        <v>0</v>
      </c>
    </row>
    <row r="643" spans="1:12" x14ac:dyDescent="0.25">
      <c r="A643" t="s">
        <v>3790</v>
      </c>
      <c r="B643" t="s">
        <v>1851</v>
      </c>
      <c r="C643" t="s">
        <v>3034</v>
      </c>
      <c r="D643" s="1">
        <v>46030.078275462962</v>
      </c>
      <c r="E643">
        <v>994.14</v>
      </c>
      <c r="F643">
        <v>29.13</v>
      </c>
      <c r="G643">
        <v>965.01</v>
      </c>
      <c r="H643" t="s">
        <v>25</v>
      </c>
      <c r="I643" t="s">
        <v>3478</v>
      </c>
      <c r="J643" t="s">
        <v>3036</v>
      </c>
      <c r="K643">
        <v>994.14</v>
      </c>
      <c r="L643" t="b">
        <v>0</v>
      </c>
    </row>
    <row r="644" spans="1:12" x14ac:dyDescent="0.25">
      <c r="A644" t="s">
        <v>3791</v>
      </c>
      <c r="B644" t="s">
        <v>1854</v>
      </c>
      <c r="C644" t="s">
        <v>3034</v>
      </c>
      <c r="D644" s="1">
        <v>46031.148275462961</v>
      </c>
      <c r="E644">
        <v>1262.3</v>
      </c>
      <c r="F644">
        <v>36.909999999999997</v>
      </c>
      <c r="G644">
        <v>1225.3900000000001</v>
      </c>
      <c r="H644" t="s">
        <v>52</v>
      </c>
      <c r="I644" t="s">
        <v>3545</v>
      </c>
      <c r="J644" t="s">
        <v>3036</v>
      </c>
      <c r="K644">
        <v>1262.3</v>
      </c>
      <c r="L644" t="b">
        <v>0</v>
      </c>
    </row>
    <row r="645" spans="1:12" x14ac:dyDescent="0.25">
      <c r="A645" t="s">
        <v>3792</v>
      </c>
      <c r="B645" t="s">
        <v>1857</v>
      </c>
      <c r="C645" t="s">
        <v>3034</v>
      </c>
      <c r="D645" s="1">
        <v>46031.249675925923</v>
      </c>
      <c r="E645">
        <v>603.08000000000004</v>
      </c>
      <c r="F645">
        <v>17.79</v>
      </c>
      <c r="G645">
        <v>585.29</v>
      </c>
      <c r="H645" t="s">
        <v>19</v>
      </c>
      <c r="I645" t="s">
        <v>3549</v>
      </c>
      <c r="J645" t="s">
        <v>3036</v>
      </c>
      <c r="K645">
        <v>603.08000000000004</v>
      </c>
      <c r="L645" t="b">
        <v>0</v>
      </c>
    </row>
    <row r="646" spans="1:12" x14ac:dyDescent="0.25">
      <c r="A646" t="s">
        <v>3793</v>
      </c>
      <c r="B646" t="s">
        <v>1860</v>
      </c>
      <c r="C646" t="s">
        <v>3034</v>
      </c>
      <c r="D646" s="1">
        <v>46032.359317129631</v>
      </c>
      <c r="E646">
        <v>2034.74</v>
      </c>
      <c r="F646">
        <v>59.31</v>
      </c>
      <c r="G646">
        <v>1975.43</v>
      </c>
      <c r="H646" t="s">
        <v>25</v>
      </c>
      <c r="I646" t="s">
        <v>3530</v>
      </c>
      <c r="J646" t="s">
        <v>3036</v>
      </c>
      <c r="K646">
        <v>2034.74</v>
      </c>
      <c r="L646" t="b">
        <v>0</v>
      </c>
    </row>
    <row r="647" spans="1:12" x14ac:dyDescent="0.25">
      <c r="A647" t="s">
        <v>3794</v>
      </c>
      <c r="B647" t="s">
        <v>1863</v>
      </c>
      <c r="C647" t="s">
        <v>3034</v>
      </c>
      <c r="D647" s="1">
        <v>46033.440046296295</v>
      </c>
      <c r="E647">
        <v>344.54</v>
      </c>
      <c r="F647">
        <v>10.29</v>
      </c>
      <c r="G647">
        <v>334.25</v>
      </c>
      <c r="H647" t="s">
        <v>25</v>
      </c>
      <c r="I647" t="s">
        <v>3510</v>
      </c>
      <c r="J647" t="s">
        <v>3036</v>
      </c>
      <c r="K647">
        <v>344.54</v>
      </c>
      <c r="L647" t="b">
        <v>0</v>
      </c>
    </row>
    <row r="648" spans="1:12" x14ac:dyDescent="0.25">
      <c r="A648" t="s">
        <v>3795</v>
      </c>
      <c r="B648" t="s">
        <v>1866</v>
      </c>
      <c r="C648" t="s">
        <v>3034</v>
      </c>
      <c r="D648" s="1">
        <v>46034.529583333337</v>
      </c>
      <c r="E648">
        <v>1430.55</v>
      </c>
      <c r="F648">
        <v>41.79</v>
      </c>
      <c r="G648">
        <v>1388.76</v>
      </c>
      <c r="H648" t="s">
        <v>25</v>
      </c>
      <c r="I648" t="s">
        <v>3553</v>
      </c>
      <c r="J648" t="s">
        <v>3036</v>
      </c>
      <c r="K648">
        <v>1430.55</v>
      </c>
      <c r="L648" t="b">
        <v>0</v>
      </c>
    </row>
    <row r="649" spans="1:12" x14ac:dyDescent="0.25">
      <c r="A649" t="s">
        <v>3796</v>
      </c>
      <c r="B649" t="s">
        <v>1869</v>
      </c>
      <c r="C649" t="s">
        <v>3034</v>
      </c>
      <c r="D649" s="1">
        <v>46035.633414351854</v>
      </c>
      <c r="E649">
        <v>2224.5500000000002</v>
      </c>
      <c r="F649">
        <v>64.81</v>
      </c>
      <c r="G649">
        <v>2159.7399999999998</v>
      </c>
      <c r="H649" t="s">
        <v>25</v>
      </c>
      <c r="I649" t="s">
        <v>3490</v>
      </c>
      <c r="J649" t="s">
        <v>3036</v>
      </c>
      <c r="K649">
        <v>2224.5500000000002</v>
      </c>
      <c r="L649" t="b">
        <v>0</v>
      </c>
    </row>
    <row r="650" spans="1:12" x14ac:dyDescent="0.25">
      <c r="A650" t="s">
        <v>3797</v>
      </c>
      <c r="B650" t="s">
        <v>1872</v>
      </c>
      <c r="C650" t="s">
        <v>3034</v>
      </c>
      <c r="D650" s="1">
        <v>46036.724652777775</v>
      </c>
      <c r="E650">
        <v>262.08</v>
      </c>
      <c r="F650">
        <v>7.9</v>
      </c>
      <c r="G650">
        <v>254.18</v>
      </c>
      <c r="H650" t="s">
        <v>25</v>
      </c>
      <c r="I650" t="s">
        <v>3492</v>
      </c>
      <c r="J650" t="s">
        <v>3036</v>
      </c>
      <c r="K650">
        <v>262.08</v>
      </c>
      <c r="L650" t="b">
        <v>0</v>
      </c>
    </row>
    <row r="651" spans="1:12" x14ac:dyDescent="0.25">
      <c r="A651" t="s">
        <v>3798</v>
      </c>
      <c r="B651" t="s">
        <v>1875</v>
      </c>
      <c r="C651" t="s">
        <v>3034</v>
      </c>
      <c r="D651" s="1">
        <v>46023.805810185186</v>
      </c>
      <c r="E651">
        <v>1601.97</v>
      </c>
      <c r="F651">
        <v>46.76</v>
      </c>
      <c r="G651">
        <v>1555.21</v>
      </c>
      <c r="H651" t="s">
        <v>25</v>
      </c>
      <c r="I651" t="s">
        <v>3494</v>
      </c>
      <c r="J651" t="s">
        <v>3036</v>
      </c>
      <c r="K651">
        <v>1601.97</v>
      </c>
      <c r="L651" t="b">
        <v>0</v>
      </c>
    </row>
    <row r="652" spans="1:12" x14ac:dyDescent="0.25">
      <c r="A652" t="s">
        <v>3799</v>
      </c>
      <c r="B652" t="s">
        <v>1878</v>
      </c>
      <c r="C652" t="s">
        <v>3034</v>
      </c>
      <c r="D652" s="1">
        <v>46024.88853009259</v>
      </c>
      <c r="E652">
        <v>2423.31</v>
      </c>
      <c r="F652">
        <v>70.58</v>
      </c>
      <c r="G652">
        <v>2352.73</v>
      </c>
      <c r="H652" t="s">
        <v>25</v>
      </c>
      <c r="I652" t="s">
        <v>3468</v>
      </c>
      <c r="J652" t="s">
        <v>3036</v>
      </c>
      <c r="K652">
        <v>2423.31</v>
      </c>
      <c r="L652" t="b">
        <v>0</v>
      </c>
    </row>
    <row r="653" spans="1:12" x14ac:dyDescent="0.25">
      <c r="A653" t="s">
        <v>3800</v>
      </c>
      <c r="B653" t="s">
        <v>1881</v>
      </c>
      <c r="C653" t="s">
        <v>3034</v>
      </c>
      <c r="D653" s="1">
        <v>46025.994085648148</v>
      </c>
      <c r="E653">
        <v>329.07</v>
      </c>
      <c r="F653">
        <v>9.84</v>
      </c>
      <c r="G653">
        <v>319.23</v>
      </c>
      <c r="H653" t="s">
        <v>25</v>
      </c>
      <c r="I653" t="s">
        <v>3470</v>
      </c>
      <c r="J653" t="s">
        <v>3036</v>
      </c>
      <c r="K653">
        <v>329.07</v>
      </c>
      <c r="L653" t="b">
        <v>0</v>
      </c>
    </row>
    <row r="654" spans="1:12" x14ac:dyDescent="0.25">
      <c r="A654" t="s">
        <v>3801</v>
      </c>
      <c r="B654" t="s">
        <v>1884</v>
      </c>
      <c r="C654" t="s">
        <v>3034</v>
      </c>
      <c r="D654" s="1">
        <v>46027.103078703702</v>
      </c>
      <c r="E654">
        <v>651.76</v>
      </c>
      <c r="F654">
        <v>19.2</v>
      </c>
      <c r="G654">
        <v>632.55999999999995</v>
      </c>
      <c r="H654" t="s">
        <v>52</v>
      </c>
      <c r="I654" t="s">
        <v>3561</v>
      </c>
      <c r="J654" t="s">
        <v>3036</v>
      </c>
      <c r="K654">
        <v>651.76</v>
      </c>
      <c r="L654" t="b">
        <v>0</v>
      </c>
    </row>
    <row r="655" spans="1:12" x14ac:dyDescent="0.25">
      <c r="A655" t="s">
        <v>3802</v>
      </c>
      <c r="B655" t="s">
        <v>1887</v>
      </c>
      <c r="C655" t="s">
        <v>3034</v>
      </c>
      <c r="D655" s="1">
        <v>46028.192685185182</v>
      </c>
      <c r="E655">
        <v>912.9</v>
      </c>
      <c r="F655">
        <v>26.77</v>
      </c>
      <c r="G655">
        <v>886.13</v>
      </c>
      <c r="H655" t="s">
        <v>19</v>
      </c>
      <c r="I655" t="s">
        <v>3563</v>
      </c>
      <c r="J655" t="s">
        <v>3036</v>
      </c>
      <c r="K655">
        <v>912.9</v>
      </c>
      <c r="L655" t="b">
        <v>0</v>
      </c>
    </row>
    <row r="656" spans="1:12" x14ac:dyDescent="0.25">
      <c r="A656" t="s">
        <v>3803</v>
      </c>
      <c r="B656" t="s">
        <v>1890</v>
      </c>
      <c r="C656" t="s">
        <v>3034</v>
      </c>
      <c r="D656" s="1">
        <v>46028.279583333337</v>
      </c>
      <c r="E656">
        <v>80.38</v>
      </c>
      <c r="F656">
        <v>2.63</v>
      </c>
      <c r="G656">
        <v>77.75</v>
      </c>
      <c r="H656" t="s">
        <v>25</v>
      </c>
      <c r="I656" t="s">
        <v>3476</v>
      </c>
      <c r="J656" t="s">
        <v>3036</v>
      </c>
      <c r="K656">
        <v>80.38</v>
      </c>
      <c r="L656" t="b">
        <v>0</v>
      </c>
    </row>
    <row r="657" spans="1:12" x14ac:dyDescent="0.25">
      <c r="A657" t="s">
        <v>3804</v>
      </c>
      <c r="B657" t="s">
        <v>1893</v>
      </c>
      <c r="C657" t="s">
        <v>3034</v>
      </c>
      <c r="D657" s="1">
        <v>46029.343564814815</v>
      </c>
      <c r="E657">
        <v>1880.6</v>
      </c>
      <c r="F657">
        <v>54.84</v>
      </c>
      <c r="G657">
        <v>1825.76</v>
      </c>
      <c r="H657" t="s">
        <v>25</v>
      </c>
      <c r="I657" t="s">
        <v>3478</v>
      </c>
      <c r="J657" t="s">
        <v>3036</v>
      </c>
      <c r="K657">
        <v>1880.6</v>
      </c>
      <c r="L657" t="b">
        <v>0</v>
      </c>
    </row>
    <row r="658" spans="1:12" x14ac:dyDescent="0.25">
      <c r="A658" t="s">
        <v>3804</v>
      </c>
      <c r="B658" t="s">
        <v>1893</v>
      </c>
      <c r="C658" t="s">
        <v>3034</v>
      </c>
      <c r="D658" s="1">
        <v>46029.343564814815</v>
      </c>
      <c r="E658">
        <v>1880.6</v>
      </c>
      <c r="F658">
        <v>54.84</v>
      </c>
      <c r="G658">
        <v>1825.76</v>
      </c>
      <c r="H658" t="s">
        <v>25</v>
      </c>
      <c r="I658" t="s">
        <v>3478</v>
      </c>
      <c r="J658" t="s">
        <v>3036</v>
      </c>
      <c r="K658">
        <v>1880.6</v>
      </c>
      <c r="L658" t="b">
        <v>0</v>
      </c>
    </row>
    <row r="659" spans="1:12" x14ac:dyDescent="0.25">
      <c r="A659" t="s">
        <v>3805</v>
      </c>
      <c r="B659" t="s">
        <v>1896</v>
      </c>
      <c r="C659" t="s">
        <v>3034</v>
      </c>
      <c r="D659" s="1">
        <v>46030.450775462959</v>
      </c>
      <c r="E659">
        <v>876.28</v>
      </c>
      <c r="F659">
        <v>25.71</v>
      </c>
      <c r="G659">
        <v>850.57</v>
      </c>
      <c r="H659" t="s">
        <v>25</v>
      </c>
      <c r="I659" t="s">
        <v>3480</v>
      </c>
      <c r="J659" t="s">
        <v>3036</v>
      </c>
      <c r="K659">
        <v>876.28</v>
      </c>
      <c r="L659" t="b">
        <v>0</v>
      </c>
    </row>
    <row r="660" spans="1:12" x14ac:dyDescent="0.25">
      <c r="A660" t="s">
        <v>3806</v>
      </c>
      <c r="B660" t="s">
        <v>1899</v>
      </c>
      <c r="C660" t="s">
        <v>3034</v>
      </c>
      <c r="D660" s="1">
        <v>46031.522141203706</v>
      </c>
      <c r="E660">
        <v>934.88</v>
      </c>
      <c r="F660">
        <v>27.41</v>
      </c>
      <c r="G660">
        <v>907.47</v>
      </c>
      <c r="H660" t="s">
        <v>25</v>
      </c>
      <c r="I660" t="s">
        <v>3482</v>
      </c>
      <c r="J660" t="s">
        <v>3036</v>
      </c>
      <c r="K660">
        <v>934.88</v>
      </c>
      <c r="L660" t="b">
        <v>0</v>
      </c>
    </row>
    <row r="661" spans="1:12" x14ac:dyDescent="0.25">
      <c r="A661" t="s">
        <v>3807</v>
      </c>
      <c r="B661" t="s">
        <v>1902</v>
      </c>
      <c r="C661" t="s">
        <v>3034</v>
      </c>
      <c r="D661" s="1">
        <v>46032.617905092593</v>
      </c>
      <c r="E661">
        <v>376.75</v>
      </c>
      <c r="F661">
        <v>11.23</v>
      </c>
      <c r="G661">
        <v>365.52</v>
      </c>
      <c r="H661" t="s">
        <v>25</v>
      </c>
      <c r="I661" t="s">
        <v>3530</v>
      </c>
      <c r="J661" t="s">
        <v>3036</v>
      </c>
      <c r="K661">
        <v>376.75</v>
      </c>
      <c r="L661" t="b">
        <v>0</v>
      </c>
    </row>
    <row r="662" spans="1:12" x14ac:dyDescent="0.25">
      <c r="A662" t="s">
        <v>3808</v>
      </c>
      <c r="B662" t="s">
        <v>1905</v>
      </c>
      <c r="C662" t="s">
        <v>3034</v>
      </c>
      <c r="D662" s="1">
        <v>46033.71912037037</v>
      </c>
      <c r="E662">
        <v>2000.87</v>
      </c>
      <c r="F662">
        <v>58.33</v>
      </c>
      <c r="G662">
        <v>1942.54</v>
      </c>
      <c r="H662" t="s">
        <v>25</v>
      </c>
      <c r="I662" t="s">
        <v>3510</v>
      </c>
      <c r="J662" t="s">
        <v>3036</v>
      </c>
      <c r="K662">
        <v>2000.87</v>
      </c>
      <c r="L662" t="b">
        <v>0</v>
      </c>
    </row>
    <row r="663" spans="1:12" x14ac:dyDescent="0.25">
      <c r="A663" t="s">
        <v>3809</v>
      </c>
      <c r="B663" t="s">
        <v>1908</v>
      </c>
      <c r="C663" t="s">
        <v>3034</v>
      </c>
      <c r="D663" s="1">
        <v>46034.802256944444</v>
      </c>
      <c r="E663">
        <v>2363.73</v>
      </c>
      <c r="F663">
        <v>68.849999999999994</v>
      </c>
      <c r="G663">
        <v>2294.88</v>
      </c>
      <c r="H663" t="s">
        <v>25</v>
      </c>
      <c r="I663" t="s">
        <v>3553</v>
      </c>
      <c r="J663" t="s">
        <v>3036</v>
      </c>
      <c r="K663">
        <v>2363.73</v>
      </c>
      <c r="L663" t="b">
        <v>0</v>
      </c>
    </row>
    <row r="664" spans="1:12" x14ac:dyDescent="0.25">
      <c r="A664" t="s">
        <v>3810</v>
      </c>
      <c r="B664" t="s">
        <v>1911</v>
      </c>
      <c r="C664" t="s">
        <v>3034</v>
      </c>
      <c r="D664" s="1">
        <v>46035.9</v>
      </c>
      <c r="E664">
        <v>955.41</v>
      </c>
      <c r="F664">
        <v>28.01</v>
      </c>
      <c r="G664">
        <v>927.4</v>
      </c>
      <c r="H664" t="s">
        <v>25</v>
      </c>
      <c r="I664" t="s">
        <v>3490</v>
      </c>
      <c r="J664" t="s">
        <v>3036</v>
      </c>
      <c r="K664">
        <v>955.41</v>
      </c>
      <c r="L664" t="b">
        <v>0</v>
      </c>
    </row>
    <row r="665" spans="1:12" x14ac:dyDescent="0.25">
      <c r="A665" t="s">
        <v>3811</v>
      </c>
      <c r="B665" t="s">
        <v>1914</v>
      </c>
      <c r="C665" t="s">
        <v>3034</v>
      </c>
      <c r="D665" s="1">
        <v>46036.993310185186</v>
      </c>
      <c r="E665">
        <v>20.78</v>
      </c>
      <c r="F665">
        <v>0.9</v>
      </c>
      <c r="G665">
        <v>19.88</v>
      </c>
      <c r="H665" t="s">
        <v>52</v>
      </c>
      <c r="I665" t="s">
        <v>3576</v>
      </c>
      <c r="J665" t="s">
        <v>3036</v>
      </c>
      <c r="K665">
        <v>20.78</v>
      </c>
      <c r="L665" t="b">
        <v>0</v>
      </c>
    </row>
    <row r="666" spans="1:12" x14ac:dyDescent="0.25">
      <c r="A666" t="s">
        <v>3812</v>
      </c>
      <c r="B666" t="s">
        <v>1917</v>
      </c>
      <c r="C666" t="s">
        <v>3034</v>
      </c>
      <c r="D666" s="1">
        <v>46024.078182870369</v>
      </c>
      <c r="E666">
        <v>1803.21</v>
      </c>
      <c r="F666">
        <v>52.59</v>
      </c>
      <c r="G666">
        <v>1750.62</v>
      </c>
      <c r="H666" t="s">
        <v>19</v>
      </c>
      <c r="I666" t="s">
        <v>3466</v>
      </c>
      <c r="J666" t="s">
        <v>3036</v>
      </c>
      <c r="K666">
        <v>1803.21</v>
      </c>
      <c r="L666" t="b">
        <v>0</v>
      </c>
    </row>
    <row r="667" spans="1:12" x14ac:dyDescent="0.25">
      <c r="A667" t="s">
        <v>3813</v>
      </c>
      <c r="B667" t="s">
        <v>1920</v>
      </c>
      <c r="C667" t="s">
        <v>3034</v>
      </c>
      <c r="D667" s="1">
        <v>46025.178657407407</v>
      </c>
      <c r="E667">
        <v>1728.99</v>
      </c>
      <c r="F667">
        <v>50.44</v>
      </c>
      <c r="G667">
        <v>1678.55</v>
      </c>
      <c r="H667" t="s">
        <v>25</v>
      </c>
      <c r="I667" t="s">
        <v>3468</v>
      </c>
      <c r="J667" t="s">
        <v>3036</v>
      </c>
      <c r="K667">
        <v>1728.99</v>
      </c>
      <c r="L667" t="b">
        <v>0</v>
      </c>
    </row>
    <row r="668" spans="1:12" x14ac:dyDescent="0.25">
      <c r="A668" t="s">
        <v>3814</v>
      </c>
      <c r="B668" t="s">
        <v>1923</v>
      </c>
      <c r="C668" t="s">
        <v>3034</v>
      </c>
      <c r="D668" s="1">
        <v>46025.2891087963</v>
      </c>
      <c r="E668">
        <v>2419.88</v>
      </c>
      <c r="F668">
        <v>70.48</v>
      </c>
      <c r="G668">
        <v>2349.4</v>
      </c>
      <c r="H668" t="s">
        <v>25</v>
      </c>
      <c r="I668" t="s">
        <v>3470</v>
      </c>
      <c r="J668" t="s">
        <v>3036</v>
      </c>
      <c r="K668">
        <v>2419.88</v>
      </c>
      <c r="L668" t="b">
        <v>0</v>
      </c>
    </row>
    <row r="669" spans="1:12" x14ac:dyDescent="0.25">
      <c r="A669" t="s">
        <v>3815</v>
      </c>
      <c r="B669" t="s">
        <v>1926</v>
      </c>
      <c r="C669" t="s">
        <v>3034</v>
      </c>
      <c r="D669" s="1">
        <v>46026.354456018518</v>
      </c>
      <c r="E669">
        <v>172.49</v>
      </c>
      <c r="F669">
        <v>5.3</v>
      </c>
      <c r="G669">
        <v>167.19</v>
      </c>
      <c r="H669" t="s">
        <v>25</v>
      </c>
      <c r="I669" t="s">
        <v>3472</v>
      </c>
      <c r="J669" t="s">
        <v>3036</v>
      </c>
      <c r="K669">
        <v>172.49</v>
      </c>
      <c r="L669" t="b">
        <v>0</v>
      </c>
    </row>
    <row r="670" spans="1:12" x14ac:dyDescent="0.25">
      <c r="A670" t="s">
        <v>3816</v>
      </c>
      <c r="B670" t="s">
        <v>1929</v>
      </c>
      <c r="C670" t="s">
        <v>3034</v>
      </c>
      <c r="D670" s="1">
        <v>46027.468333333331</v>
      </c>
      <c r="E670">
        <v>1950.81</v>
      </c>
      <c r="F670">
        <v>56.87</v>
      </c>
      <c r="G670">
        <v>1893.94</v>
      </c>
      <c r="H670" t="s">
        <v>25</v>
      </c>
      <c r="I670" t="s">
        <v>3474</v>
      </c>
      <c r="J670" t="s">
        <v>3036</v>
      </c>
      <c r="K670">
        <v>1950.81</v>
      </c>
      <c r="L670" t="b">
        <v>0</v>
      </c>
    </row>
    <row r="671" spans="1:12" x14ac:dyDescent="0.25">
      <c r="A671" t="s">
        <v>3817</v>
      </c>
      <c r="B671" t="s">
        <v>1932</v>
      </c>
      <c r="C671" t="s">
        <v>3034</v>
      </c>
      <c r="D671" s="1">
        <v>46028.548657407409</v>
      </c>
      <c r="E671">
        <v>976.84</v>
      </c>
      <c r="F671">
        <v>28.63</v>
      </c>
      <c r="G671">
        <v>948.21</v>
      </c>
      <c r="H671" t="s">
        <v>25</v>
      </c>
      <c r="I671" t="s">
        <v>3476</v>
      </c>
      <c r="J671" t="s">
        <v>3036</v>
      </c>
      <c r="K671">
        <v>976.84</v>
      </c>
      <c r="L671" t="b">
        <v>0</v>
      </c>
    </row>
    <row r="672" spans="1:12" x14ac:dyDescent="0.25">
      <c r="A672" t="s">
        <v>3818</v>
      </c>
      <c r="B672" t="s">
        <v>1935</v>
      </c>
      <c r="C672" t="s">
        <v>3034</v>
      </c>
      <c r="D672" s="1">
        <v>46029.640138888892</v>
      </c>
      <c r="E672">
        <v>2438.5</v>
      </c>
      <c r="F672">
        <v>71.02</v>
      </c>
      <c r="G672">
        <v>2367.48</v>
      </c>
      <c r="H672" t="s">
        <v>25</v>
      </c>
      <c r="I672" t="s">
        <v>3478</v>
      </c>
      <c r="J672" t="s">
        <v>3036</v>
      </c>
      <c r="K672">
        <v>2438.5</v>
      </c>
      <c r="L672" t="b">
        <v>0</v>
      </c>
    </row>
    <row r="673" spans="1:12" x14ac:dyDescent="0.25">
      <c r="A673" t="s">
        <v>3818</v>
      </c>
      <c r="B673" t="s">
        <v>1935</v>
      </c>
      <c r="C673" t="s">
        <v>3034</v>
      </c>
      <c r="D673" s="1">
        <v>46029.640138888892</v>
      </c>
      <c r="E673">
        <v>2438.5</v>
      </c>
      <c r="F673">
        <v>71.02</v>
      </c>
      <c r="G673">
        <v>2367.48</v>
      </c>
      <c r="H673" t="s">
        <v>25</v>
      </c>
      <c r="I673" t="s">
        <v>3478</v>
      </c>
      <c r="J673" t="s">
        <v>3036</v>
      </c>
      <c r="K673">
        <v>2438.5</v>
      </c>
      <c r="L673" t="b">
        <v>0</v>
      </c>
    </row>
    <row r="674" spans="1:12" x14ac:dyDescent="0.25">
      <c r="A674" t="s">
        <v>3819</v>
      </c>
      <c r="B674" t="s">
        <v>1938</v>
      </c>
      <c r="C674" t="s">
        <v>3034</v>
      </c>
      <c r="D674" s="1">
        <v>46030.747060185182</v>
      </c>
      <c r="E674">
        <v>706.29</v>
      </c>
      <c r="F674">
        <v>21.15</v>
      </c>
      <c r="G674">
        <v>685.14</v>
      </c>
      <c r="H674" t="s">
        <v>25</v>
      </c>
      <c r="I674" t="s">
        <v>3480</v>
      </c>
      <c r="J674" t="s">
        <v>3036</v>
      </c>
      <c r="K674">
        <v>706.29</v>
      </c>
      <c r="L674" t="b">
        <v>0</v>
      </c>
    </row>
    <row r="675" spans="1:12" x14ac:dyDescent="0.25">
      <c r="A675" t="s">
        <v>3820</v>
      </c>
      <c r="B675" t="s">
        <v>1941</v>
      </c>
      <c r="C675" t="s">
        <v>3034</v>
      </c>
      <c r="D675" s="1">
        <v>46031.825254629628</v>
      </c>
      <c r="E675">
        <v>1795.33</v>
      </c>
      <c r="F675">
        <v>52.36</v>
      </c>
      <c r="G675">
        <v>1742.97</v>
      </c>
      <c r="H675" t="s">
        <v>25</v>
      </c>
      <c r="I675" t="s">
        <v>3482</v>
      </c>
      <c r="J675" t="s">
        <v>3036</v>
      </c>
      <c r="K675">
        <v>1795.33</v>
      </c>
      <c r="L675" t="b">
        <v>0</v>
      </c>
    </row>
    <row r="676" spans="1:12" x14ac:dyDescent="0.25">
      <c r="A676" t="s">
        <v>3821</v>
      </c>
      <c r="B676" t="s">
        <v>1944</v>
      </c>
      <c r="C676" t="s">
        <v>3034</v>
      </c>
      <c r="D676" s="1">
        <v>46032.896550925929</v>
      </c>
      <c r="E676">
        <v>625.12</v>
      </c>
      <c r="F676">
        <v>18.43</v>
      </c>
      <c r="G676">
        <v>606.69000000000005</v>
      </c>
      <c r="H676" t="s">
        <v>52</v>
      </c>
      <c r="I676" t="s">
        <v>3484</v>
      </c>
      <c r="J676" t="s">
        <v>3036</v>
      </c>
      <c r="K676">
        <v>625.12</v>
      </c>
      <c r="L676" t="b">
        <v>0</v>
      </c>
    </row>
    <row r="677" spans="1:12" x14ac:dyDescent="0.25">
      <c r="A677" t="s">
        <v>3822</v>
      </c>
      <c r="B677" t="s">
        <v>1947</v>
      </c>
      <c r="C677" t="s">
        <v>3034</v>
      </c>
      <c r="D677" s="1">
        <v>46033.992615740739</v>
      </c>
      <c r="E677">
        <v>2353.5500000000002</v>
      </c>
      <c r="F677">
        <v>68.55</v>
      </c>
      <c r="G677">
        <v>2285</v>
      </c>
      <c r="H677" t="s">
        <v>19</v>
      </c>
      <c r="I677" t="s">
        <v>3486</v>
      </c>
      <c r="J677" t="s">
        <v>3036</v>
      </c>
      <c r="K677">
        <v>2353.5500000000002</v>
      </c>
      <c r="L677" t="b">
        <v>0</v>
      </c>
    </row>
    <row r="678" spans="1:12" x14ac:dyDescent="0.25">
      <c r="A678" t="s">
        <v>3823</v>
      </c>
      <c r="B678" t="s">
        <v>1950</v>
      </c>
      <c r="C678" t="s">
        <v>3034</v>
      </c>
      <c r="D678" s="1">
        <v>46035.081736111111</v>
      </c>
      <c r="E678">
        <v>1595.97</v>
      </c>
      <c r="F678">
        <v>46.58</v>
      </c>
      <c r="G678">
        <v>1549.39</v>
      </c>
      <c r="H678" t="s">
        <v>25</v>
      </c>
      <c r="I678" t="s">
        <v>3553</v>
      </c>
      <c r="J678" t="s">
        <v>3036</v>
      </c>
      <c r="K678">
        <v>1595.97</v>
      </c>
      <c r="L678" t="b">
        <v>0</v>
      </c>
    </row>
    <row r="679" spans="1:12" x14ac:dyDescent="0.25">
      <c r="A679" t="s">
        <v>3824</v>
      </c>
      <c r="B679" t="s">
        <v>1953</v>
      </c>
      <c r="C679" t="s">
        <v>3034</v>
      </c>
      <c r="D679" s="1">
        <v>46036.206689814811</v>
      </c>
      <c r="E679">
        <v>1491.55</v>
      </c>
      <c r="F679">
        <v>43.92</v>
      </c>
      <c r="G679">
        <v>1447.63</v>
      </c>
      <c r="H679" t="s">
        <v>25</v>
      </c>
      <c r="I679" t="s">
        <v>3490</v>
      </c>
      <c r="J679" t="s">
        <v>3036</v>
      </c>
      <c r="K679">
        <v>1491.55</v>
      </c>
      <c r="L679" t="b">
        <v>0</v>
      </c>
    </row>
    <row r="680" spans="1:12" x14ac:dyDescent="0.25">
      <c r="A680" t="s">
        <v>3825</v>
      </c>
      <c r="B680" t="s">
        <v>1956</v>
      </c>
      <c r="C680" t="s">
        <v>3034</v>
      </c>
      <c r="D680" s="1">
        <v>46036.289143518516</v>
      </c>
      <c r="E680">
        <v>1402.73</v>
      </c>
      <c r="F680">
        <v>40.98</v>
      </c>
      <c r="G680">
        <v>1361.75</v>
      </c>
      <c r="H680" t="s">
        <v>25</v>
      </c>
      <c r="I680" t="s">
        <v>3492</v>
      </c>
      <c r="J680" t="s">
        <v>3036</v>
      </c>
      <c r="K680">
        <v>1402.73</v>
      </c>
      <c r="L680" t="b">
        <v>0</v>
      </c>
    </row>
    <row r="681" spans="1:12" x14ac:dyDescent="0.25">
      <c r="A681" t="s">
        <v>3826</v>
      </c>
      <c r="B681" t="s">
        <v>1959</v>
      </c>
      <c r="C681" t="s">
        <v>3034</v>
      </c>
      <c r="D681" s="1">
        <v>46023.367152777777</v>
      </c>
      <c r="E681">
        <v>330.24</v>
      </c>
      <c r="F681">
        <v>9.8800000000000008</v>
      </c>
      <c r="G681">
        <v>320.36</v>
      </c>
      <c r="H681" t="s">
        <v>25</v>
      </c>
      <c r="I681" t="s">
        <v>3494</v>
      </c>
      <c r="J681" t="s">
        <v>3036</v>
      </c>
      <c r="K681">
        <v>330.24</v>
      </c>
      <c r="L681" t="b">
        <v>0</v>
      </c>
    </row>
    <row r="682" spans="1:12" x14ac:dyDescent="0.25">
      <c r="A682" t="s">
        <v>3827</v>
      </c>
      <c r="B682" t="s">
        <v>1962</v>
      </c>
      <c r="C682" t="s">
        <v>3034</v>
      </c>
      <c r="D682" s="1">
        <v>46024.480624999997</v>
      </c>
      <c r="E682">
        <v>117.83</v>
      </c>
      <c r="F682">
        <v>3.72</v>
      </c>
      <c r="G682">
        <v>114.11</v>
      </c>
      <c r="H682" t="s">
        <v>25</v>
      </c>
      <c r="I682" t="s">
        <v>3468</v>
      </c>
      <c r="J682" t="s">
        <v>3036</v>
      </c>
      <c r="K682">
        <v>117.83</v>
      </c>
      <c r="L682" t="b">
        <v>0</v>
      </c>
    </row>
    <row r="683" spans="1:12" x14ac:dyDescent="0.25">
      <c r="A683" t="s">
        <v>3828</v>
      </c>
      <c r="B683" t="s">
        <v>1965</v>
      </c>
      <c r="C683" t="s">
        <v>3034</v>
      </c>
      <c r="D683" s="1">
        <v>46025.55195601852</v>
      </c>
      <c r="E683">
        <v>1154.48</v>
      </c>
      <c r="F683">
        <v>33.78</v>
      </c>
      <c r="G683">
        <v>1120.7</v>
      </c>
      <c r="H683" t="s">
        <v>25</v>
      </c>
      <c r="I683" t="s">
        <v>3470</v>
      </c>
      <c r="J683" t="s">
        <v>3036</v>
      </c>
      <c r="K683">
        <v>1154.48</v>
      </c>
      <c r="L683" t="b">
        <v>0</v>
      </c>
    </row>
    <row r="684" spans="1:12" x14ac:dyDescent="0.25">
      <c r="A684" t="s">
        <v>3829</v>
      </c>
      <c r="B684" t="s">
        <v>1968</v>
      </c>
      <c r="C684" t="s">
        <v>3034</v>
      </c>
      <c r="D684" s="1">
        <v>46026.661203703705</v>
      </c>
      <c r="E684">
        <v>539.03</v>
      </c>
      <c r="F684">
        <v>15.93</v>
      </c>
      <c r="G684">
        <v>523.1</v>
      </c>
      <c r="H684" t="s">
        <v>25</v>
      </c>
      <c r="I684" t="s">
        <v>3472</v>
      </c>
      <c r="J684" t="s">
        <v>3036</v>
      </c>
      <c r="K684">
        <v>539.03</v>
      </c>
      <c r="L684" t="b">
        <v>0</v>
      </c>
    </row>
    <row r="685" spans="1:12" x14ac:dyDescent="0.25">
      <c r="A685" t="s">
        <v>3830</v>
      </c>
      <c r="B685" t="s">
        <v>1971</v>
      </c>
      <c r="C685" t="s">
        <v>3034</v>
      </c>
      <c r="D685" s="1">
        <v>46027.733726851853</v>
      </c>
      <c r="E685">
        <v>1979.31</v>
      </c>
      <c r="F685">
        <v>57.7</v>
      </c>
      <c r="G685">
        <v>1921.61</v>
      </c>
      <c r="H685" t="s">
        <v>25</v>
      </c>
      <c r="I685" t="s">
        <v>3474</v>
      </c>
      <c r="J685" t="s">
        <v>3036</v>
      </c>
      <c r="K685">
        <v>1979.31</v>
      </c>
      <c r="L685" t="b">
        <v>0</v>
      </c>
    </row>
    <row r="686" spans="1:12" x14ac:dyDescent="0.25">
      <c r="A686" t="s">
        <v>3831</v>
      </c>
      <c r="B686" t="s">
        <v>1974</v>
      </c>
      <c r="C686" t="s">
        <v>3034</v>
      </c>
      <c r="D686" s="1">
        <v>46028.838287037041</v>
      </c>
      <c r="E686">
        <v>180.96</v>
      </c>
      <c r="F686">
        <v>5.55</v>
      </c>
      <c r="G686">
        <v>175.41</v>
      </c>
      <c r="H686" t="s">
        <v>52</v>
      </c>
      <c r="I686" t="s">
        <v>3502</v>
      </c>
      <c r="J686" t="s">
        <v>3036</v>
      </c>
      <c r="K686">
        <v>180.96</v>
      </c>
      <c r="L686" t="b">
        <v>0</v>
      </c>
    </row>
    <row r="687" spans="1:12" x14ac:dyDescent="0.25">
      <c r="A687" t="s">
        <v>3832</v>
      </c>
      <c r="B687" t="s">
        <v>1977</v>
      </c>
      <c r="C687" t="s">
        <v>3034</v>
      </c>
      <c r="D687" s="1">
        <v>46029.90934027778</v>
      </c>
      <c r="E687">
        <v>1295.5</v>
      </c>
      <c r="F687">
        <v>37.869999999999997</v>
      </c>
      <c r="G687">
        <v>1257.6300000000001</v>
      </c>
      <c r="H687" t="s">
        <v>19</v>
      </c>
      <c r="I687" t="s">
        <v>3504</v>
      </c>
      <c r="J687" t="s">
        <v>3036</v>
      </c>
      <c r="K687">
        <v>1295.5</v>
      </c>
      <c r="L687" t="b">
        <v>0</v>
      </c>
    </row>
    <row r="688" spans="1:12" x14ac:dyDescent="0.25">
      <c r="A688" t="s">
        <v>3833</v>
      </c>
      <c r="B688" t="s">
        <v>1980</v>
      </c>
      <c r="C688" t="s">
        <v>3034</v>
      </c>
      <c r="D688" s="1">
        <v>46031.008923611109</v>
      </c>
      <c r="E688">
        <v>2134.33</v>
      </c>
      <c r="F688">
        <v>62.2</v>
      </c>
      <c r="G688">
        <v>2072.13</v>
      </c>
      <c r="H688" t="s">
        <v>25</v>
      </c>
      <c r="I688" t="s">
        <v>3480</v>
      </c>
      <c r="J688" t="s">
        <v>3036</v>
      </c>
      <c r="K688">
        <v>2134.33</v>
      </c>
      <c r="L688" t="b">
        <v>0</v>
      </c>
    </row>
    <row r="689" spans="1:12" x14ac:dyDescent="0.25">
      <c r="A689" t="s">
        <v>3834</v>
      </c>
      <c r="B689" t="s">
        <v>1983</v>
      </c>
      <c r="C689" t="s">
        <v>3034</v>
      </c>
      <c r="D689" s="1">
        <v>46032.098900462966</v>
      </c>
      <c r="E689">
        <v>1703.09</v>
      </c>
      <c r="F689">
        <v>49.69</v>
      </c>
      <c r="G689">
        <v>1653.4</v>
      </c>
      <c r="H689" t="s">
        <v>25</v>
      </c>
      <c r="I689" t="s">
        <v>3482</v>
      </c>
      <c r="J689" t="s">
        <v>3036</v>
      </c>
      <c r="K689">
        <v>1703.09</v>
      </c>
      <c r="L689" t="b">
        <v>0</v>
      </c>
    </row>
    <row r="690" spans="1:12" x14ac:dyDescent="0.25">
      <c r="A690" t="s">
        <v>3835</v>
      </c>
      <c r="B690" t="s">
        <v>1986</v>
      </c>
      <c r="C690" t="s">
        <v>3034</v>
      </c>
      <c r="D690" s="1">
        <v>46033.207407407404</v>
      </c>
      <c r="E690">
        <v>1588.41</v>
      </c>
      <c r="F690">
        <v>46.36</v>
      </c>
      <c r="G690">
        <v>1542.05</v>
      </c>
      <c r="H690" t="s">
        <v>25</v>
      </c>
      <c r="I690" t="s">
        <v>3530</v>
      </c>
      <c r="J690" t="s">
        <v>3036</v>
      </c>
      <c r="K690">
        <v>1588.41</v>
      </c>
      <c r="L690" t="b">
        <v>0</v>
      </c>
    </row>
    <row r="691" spans="1:12" x14ac:dyDescent="0.25">
      <c r="A691" t="s">
        <v>3836</v>
      </c>
      <c r="B691" t="s">
        <v>1989</v>
      </c>
      <c r="C691" t="s">
        <v>3034</v>
      </c>
      <c r="D691" s="1">
        <v>46033.306666666664</v>
      </c>
      <c r="E691">
        <v>8.43</v>
      </c>
      <c r="F691">
        <v>0.54</v>
      </c>
      <c r="G691">
        <v>7.89</v>
      </c>
      <c r="H691" t="s">
        <v>25</v>
      </c>
      <c r="I691" t="s">
        <v>3510</v>
      </c>
      <c r="J691" t="s">
        <v>3036</v>
      </c>
      <c r="K691">
        <v>8.43</v>
      </c>
      <c r="L691" t="b">
        <v>0</v>
      </c>
    </row>
    <row r="692" spans="1:12" x14ac:dyDescent="0.25">
      <c r="A692" t="s">
        <v>3837</v>
      </c>
      <c r="B692" t="s">
        <v>1992</v>
      </c>
      <c r="C692" t="s">
        <v>3034</v>
      </c>
      <c r="D692" s="1">
        <v>46034.403229166666</v>
      </c>
      <c r="E692">
        <v>2393.37</v>
      </c>
      <c r="F692">
        <v>69.709999999999994</v>
      </c>
      <c r="G692">
        <v>2323.66</v>
      </c>
      <c r="H692" t="s">
        <v>25</v>
      </c>
      <c r="I692" t="s">
        <v>3838</v>
      </c>
      <c r="J692" t="s">
        <v>3036</v>
      </c>
      <c r="K692">
        <v>2393.37</v>
      </c>
      <c r="L692" t="b">
        <v>0</v>
      </c>
    </row>
    <row r="693" spans="1:12" x14ac:dyDescent="0.25">
      <c r="A693" t="s">
        <v>3839</v>
      </c>
      <c r="B693" t="s">
        <v>1995</v>
      </c>
      <c r="C693" t="s">
        <v>3034</v>
      </c>
      <c r="D693" s="1">
        <v>46035.478402777779</v>
      </c>
      <c r="E693">
        <v>2317.9899999999998</v>
      </c>
      <c r="F693">
        <v>67.52</v>
      </c>
      <c r="G693">
        <v>2250.4699999999998</v>
      </c>
      <c r="H693" t="s">
        <v>25</v>
      </c>
      <c r="I693" t="s">
        <v>3490</v>
      </c>
      <c r="J693" t="s">
        <v>3036</v>
      </c>
      <c r="K693">
        <v>2317.9899999999998</v>
      </c>
      <c r="L693" t="b">
        <v>0</v>
      </c>
    </row>
    <row r="694" spans="1:12" x14ac:dyDescent="0.25">
      <c r="A694" t="s">
        <v>3840</v>
      </c>
      <c r="B694" t="s">
        <v>1998</v>
      </c>
      <c r="C694" t="s">
        <v>3034</v>
      </c>
      <c r="D694" s="1">
        <v>46036.555219907408</v>
      </c>
      <c r="E694">
        <v>685.82</v>
      </c>
      <c r="F694">
        <v>20.190000000000001</v>
      </c>
      <c r="G694">
        <v>665.63</v>
      </c>
      <c r="H694" t="s">
        <v>25</v>
      </c>
      <c r="I694" t="s">
        <v>3492</v>
      </c>
      <c r="J694" t="s">
        <v>3036</v>
      </c>
      <c r="K694">
        <v>685.82</v>
      </c>
      <c r="L694" t="b">
        <v>0</v>
      </c>
    </row>
    <row r="695" spans="1:12" x14ac:dyDescent="0.25">
      <c r="A695" t="s">
        <v>3841</v>
      </c>
      <c r="B695" t="s">
        <v>2001</v>
      </c>
      <c r="C695" t="s">
        <v>3034</v>
      </c>
      <c r="D695" s="1">
        <v>46023.645335648151</v>
      </c>
      <c r="E695">
        <v>133.13999999999999</v>
      </c>
      <c r="F695">
        <v>4.16</v>
      </c>
      <c r="G695">
        <v>128.97999999999999</v>
      </c>
      <c r="H695" t="s">
        <v>25</v>
      </c>
      <c r="I695" t="s">
        <v>3494</v>
      </c>
      <c r="J695" t="s">
        <v>3036</v>
      </c>
      <c r="K695">
        <v>133.13999999999999</v>
      </c>
      <c r="L695" t="b">
        <v>0</v>
      </c>
    </row>
    <row r="696" spans="1:12" x14ac:dyDescent="0.25">
      <c r="A696" t="s">
        <v>3842</v>
      </c>
      <c r="B696" t="s">
        <v>2004</v>
      </c>
      <c r="C696" t="s">
        <v>3034</v>
      </c>
      <c r="D696" s="1">
        <v>46024.73741898148</v>
      </c>
      <c r="E696">
        <v>291.95</v>
      </c>
      <c r="F696">
        <v>8.77</v>
      </c>
      <c r="G696">
        <v>283.18</v>
      </c>
      <c r="H696" t="s">
        <v>52</v>
      </c>
      <c r="I696" t="s">
        <v>3518</v>
      </c>
      <c r="J696" t="s">
        <v>3036</v>
      </c>
      <c r="K696">
        <v>291.95</v>
      </c>
      <c r="L696" t="b">
        <v>0</v>
      </c>
    </row>
    <row r="697" spans="1:12" x14ac:dyDescent="0.25">
      <c r="A697" t="s">
        <v>3843</v>
      </c>
      <c r="B697" t="s">
        <v>2007</v>
      </c>
      <c r="C697" t="s">
        <v>3034</v>
      </c>
      <c r="D697" s="1">
        <v>46025.859282407408</v>
      </c>
      <c r="E697">
        <v>1320.42</v>
      </c>
      <c r="F697">
        <v>38.590000000000003</v>
      </c>
      <c r="G697">
        <v>1281.83</v>
      </c>
      <c r="H697" t="s">
        <v>19</v>
      </c>
      <c r="I697" t="s">
        <v>3520</v>
      </c>
      <c r="J697" t="s">
        <v>3036</v>
      </c>
      <c r="K697">
        <v>1320.42</v>
      </c>
      <c r="L697" t="b">
        <v>0</v>
      </c>
    </row>
    <row r="698" spans="1:12" x14ac:dyDescent="0.25">
      <c r="A698" t="s">
        <v>3844</v>
      </c>
      <c r="B698" t="s">
        <v>2010</v>
      </c>
      <c r="C698" t="s">
        <v>3034</v>
      </c>
      <c r="D698" s="1">
        <v>46026.934398148151</v>
      </c>
      <c r="E698">
        <v>15.06</v>
      </c>
      <c r="F698">
        <v>0.74</v>
      </c>
      <c r="G698">
        <v>14.32</v>
      </c>
      <c r="H698" t="s">
        <v>25</v>
      </c>
      <c r="I698" t="s">
        <v>3472</v>
      </c>
      <c r="J698" t="s">
        <v>3036</v>
      </c>
      <c r="K698">
        <v>15.06</v>
      </c>
      <c r="L698" t="b">
        <v>0</v>
      </c>
    </row>
    <row r="699" spans="1:12" x14ac:dyDescent="0.25">
      <c r="A699" t="s">
        <v>3845</v>
      </c>
      <c r="B699" t="s">
        <v>2013</v>
      </c>
      <c r="C699" t="s">
        <v>3034</v>
      </c>
      <c r="D699" s="1">
        <v>46028.009988425925</v>
      </c>
      <c r="E699">
        <v>1809.81</v>
      </c>
      <c r="F699">
        <v>52.78</v>
      </c>
      <c r="G699">
        <v>1757.03</v>
      </c>
      <c r="H699" t="s">
        <v>25</v>
      </c>
      <c r="I699" t="s">
        <v>3474</v>
      </c>
      <c r="J699" t="s">
        <v>3036</v>
      </c>
      <c r="K699">
        <v>1809.81</v>
      </c>
      <c r="L699" t="b">
        <v>0</v>
      </c>
    </row>
    <row r="700" spans="1:12" x14ac:dyDescent="0.25">
      <c r="A700" t="s">
        <v>3846</v>
      </c>
      <c r="B700" t="s">
        <v>2016</v>
      </c>
      <c r="C700" t="s">
        <v>3034</v>
      </c>
      <c r="D700" s="1">
        <v>46029.134305555555</v>
      </c>
      <c r="E700">
        <v>1568.45</v>
      </c>
      <c r="F700">
        <v>45.79</v>
      </c>
      <c r="G700">
        <v>1522.66</v>
      </c>
      <c r="H700" t="s">
        <v>25</v>
      </c>
      <c r="I700" t="s">
        <v>3476</v>
      </c>
      <c r="J700" t="s">
        <v>3036</v>
      </c>
      <c r="K700">
        <v>1568.45</v>
      </c>
      <c r="L700" t="b">
        <v>0</v>
      </c>
    </row>
    <row r="701" spans="1:12" x14ac:dyDescent="0.25">
      <c r="A701" t="s">
        <v>3847</v>
      </c>
      <c r="B701" t="s">
        <v>2019</v>
      </c>
      <c r="C701" t="s">
        <v>3034</v>
      </c>
      <c r="D701" s="1">
        <v>46030.22</v>
      </c>
      <c r="E701">
        <v>951.4</v>
      </c>
      <c r="F701">
        <v>27.89</v>
      </c>
      <c r="G701">
        <v>923.51</v>
      </c>
      <c r="H701" t="s">
        <v>25</v>
      </c>
      <c r="I701" t="s">
        <v>3478</v>
      </c>
      <c r="J701" t="s">
        <v>3036</v>
      </c>
      <c r="K701">
        <v>951.4</v>
      </c>
      <c r="L701" t="b">
        <v>0</v>
      </c>
    </row>
    <row r="702" spans="1:12" x14ac:dyDescent="0.25">
      <c r="A702" t="s">
        <v>3848</v>
      </c>
      <c r="B702" t="s">
        <v>2022</v>
      </c>
      <c r="C702" t="s">
        <v>3034</v>
      </c>
      <c r="D702" s="1">
        <v>46030.287789351853</v>
      </c>
      <c r="E702">
        <v>1549.39</v>
      </c>
      <c r="F702">
        <v>45.23</v>
      </c>
      <c r="G702">
        <v>1504.16</v>
      </c>
      <c r="H702" t="s">
        <v>25</v>
      </c>
      <c r="I702" t="s">
        <v>3480</v>
      </c>
      <c r="J702" t="s">
        <v>3036</v>
      </c>
      <c r="K702">
        <v>1549.39</v>
      </c>
      <c r="L702" t="b">
        <v>0</v>
      </c>
    </row>
    <row r="703" spans="1:12" x14ac:dyDescent="0.25">
      <c r="A703" t="s">
        <v>3849</v>
      </c>
      <c r="B703" t="s">
        <v>2022</v>
      </c>
      <c r="C703" t="s">
        <v>3034</v>
      </c>
      <c r="D703" s="1">
        <v>46030.288483796299</v>
      </c>
      <c r="E703">
        <v>1549.39</v>
      </c>
      <c r="F703">
        <v>45.23</v>
      </c>
      <c r="G703">
        <v>1504.16</v>
      </c>
      <c r="H703" t="s">
        <v>25</v>
      </c>
      <c r="I703" t="s">
        <v>3480</v>
      </c>
      <c r="J703" t="s">
        <v>3036</v>
      </c>
      <c r="K703">
        <v>1549.39</v>
      </c>
      <c r="L703" t="b">
        <v>0</v>
      </c>
    </row>
    <row r="704" spans="1:12" x14ac:dyDescent="0.25">
      <c r="A704" t="s">
        <v>3850</v>
      </c>
      <c r="B704" t="s">
        <v>2025</v>
      </c>
      <c r="C704" t="s">
        <v>3034</v>
      </c>
      <c r="D704" s="1">
        <v>46031.387997685182</v>
      </c>
      <c r="E704">
        <v>2210.02</v>
      </c>
      <c r="F704">
        <v>64.39</v>
      </c>
      <c r="G704">
        <v>2145.63</v>
      </c>
      <c r="H704" t="s">
        <v>25</v>
      </c>
      <c r="I704" t="s">
        <v>3851</v>
      </c>
      <c r="J704" t="s">
        <v>3036</v>
      </c>
      <c r="K704">
        <v>2210.02</v>
      </c>
      <c r="L704" t="b">
        <v>0</v>
      </c>
    </row>
    <row r="705" spans="1:12" x14ac:dyDescent="0.25">
      <c r="A705" t="s">
        <v>3852</v>
      </c>
      <c r="B705" t="s">
        <v>2028</v>
      </c>
      <c r="C705" t="s">
        <v>3034</v>
      </c>
      <c r="D705" s="1">
        <v>46032.486724537041</v>
      </c>
      <c r="E705">
        <v>116.71</v>
      </c>
      <c r="F705">
        <v>3.68</v>
      </c>
      <c r="G705">
        <v>113.03</v>
      </c>
      <c r="H705" t="s">
        <v>25</v>
      </c>
      <c r="I705" t="s">
        <v>3530</v>
      </c>
      <c r="J705" t="s">
        <v>3036</v>
      </c>
      <c r="K705">
        <v>116.71</v>
      </c>
      <c r="L705" t="b">
        <v>0</v>
      </c>
    </row>
    <row r="706" spans="1:12" x14ac:dyDescent="0.25">
      <c r="A706" t="s">
        <v>3853</v>
      </c>
      <c r="B706" t="s">
        <v>2031</v>
      </c>
      <c r="C706" t="s">
        <v>3034</v>
      </c>
      <c r="D706" s="1">
        <v>46033.566481481481</v>
      </c>
      <c r="E706">
        <v>2128.0500000000002</v>
      </c>
      <c r="F706">
        <v>62.38</v>
      </c>
      <c r="G706">
        <v>2065.67</v>
      </c>
      <c r="H706" t="s">
        <v>25</v>
      </c>
      <c r="I706" t="s">
        <v>3510</v>
      </c>
      <c r="J706" t="s">
        <v>3036</v>
      </c>
      <c r="K706">
        <v>2128.0500000000002</v>
      </c>
      <c r="L706" t="b">
        <v>0</v>
      </c>
    </row>
    <row r="707" spans="1:12" x14ac:dyDescent="0.25">
      <c r="A707" t="s">
        <v>3854</v>
      </c>
      <c r="B707" t="s">
        <v>2034</v>
      </c>
      <c r="C707" t="s">
        <v>3034</v>
      </c>
      <c r="D707" s="1">
        <v>46034.680196759262</v>
      </c>
      <c r="E707">
        <v>2408.9899999999998</v>
      </c>
      <c r="F707">
        <v>70.16</v>
      </c>
      <c r="G707">
        <v>2338.83</v>
      </c>
      <c r="H707" t="s">
        <v>52</v>
      </c>
      <c r="I707" t="s">
        <v>3533</v>
      </c>
      <c r="J707" t="s">
        <v>3036</v>
      </c>
      <c r="K707">
        <v>2408.9899999999998</v>
      </c>
      <c r="L707" t="b">
        <v>0</v>
      </c>
    </row>
    <row r="708" spans="1:12" x14ac:dyDescent="0.25">
      <c r="A708" t="s">
        <v>3855</v>
      </c>
      <c r="B708" t="s">
        <v>2037</v>
      </c>
      <c r="C708" t="s">
        <v>3034</v>
      </c>
      <c r="D708" s="1">
        <v>46035.741631944446</v>
      </c>
      <c r="E708">
        <v>111.56</v>
      </c>
      <c r="F708">
        <v>3.54</v>
      </c>
      <c r="G708">
        <v>108.02</v>
      </c>
      <c r="H708" t="s">
        <v>19</v>
      </c>
      <c r="I708" t="s">
        <v>3535</v>
      </c>
      <c r="J708" t="s">
        <v>3036</v>
      </c>
      <c r="K708">
        <v>111.56</v>
      </c>
      <c r="L708" t="b">
        <v>0</v>
      </c>
    </row>
    <row r="709" spans="1:12" x14ac:dyDescent="0.25">
      <c r="A709" t="s">
        <v>3856</v>
      </c>
      <c r="B709" t="s">
        <v>2040</v>
      </c>
      <c r="C709" t="s">
        <v>3034</v>
      </c>
      <c r="D709" s="1">
        <v>46036.841180555559</v>
      </c>
      <c r="E709">
        <v>2162.87</v>
      </c>
      <c r="F709">
        <v>63.02</v>
      </c>
      <c r="G709">
        <v>2099.85</v>
      </c>
      <c r="H709" t="s">
        <v>25</v>
      </c>
      <c r="I709" t="s">
        <v>3492</v>
      </c>
      <c r="J709" t="s">
        <v>3036</v>
      </c>
      <c r="K709">
        <v>2162.87</v>
      </c>
      <c r="L709" t="b">
        <v>0</v>
      </c>
    </row>
    <row r="710" spans="1:12" x14ac:dyDescent="0.25">
      <c r="A710" t="s">
        <v>3857</v>
      </c>
      <c r="B710" t="s">
        <v>2043</v>
      </c>
      <c r="C710" t="s">
        <v>3034</v>
      </c>
      <c r="D710" s="1">
        <v>46023.936412037037</v>
      </c>
      <c r="E710">
        <v>704.84</v>
      </c>
      <c r="F710">
        <v>20.74</v>
      </c>
      <c r="G710">
        <v>684.1</v>
      </c>
      <c r="H710" t="s">
        <v>25</v>
      </c>
      <c r="I710" t="s">
        <v>3494</v>
      </c>
      <c r="J710" t="s">
        <v>3036</v>
      </c>
      <c r="K710">
        <v>704.84</v>
      </c>
      <c r="L710" t="b">
        <v>0</v>
      </c>
    </row>
    <row r="711" spans="1:12" x14ac:dyDescent="0.25">
      <c r="A711" t="s">
        <v>3858</v>
      </c>
      <c r="B711" t="s">
        <v>2046</v>
      </c>
      <c r="C711" t="s">
        <v>3034</v>
      </c>
      <c r="D711" s="1">
        <v>46025.037685185183</v>
      </c>
      <c r="E711">
        <v>2390.73</v>
      </c>
      <c r="F711">
        <v>69.63</v>
      </c>
      <c r="G711">
        <v>2321.1</v>
      </c>
      <c r="H711" t="s">
        <v>25</v>
      </c>
      <c r="I711" t="s">
        <v>3468</v>
      </c>
      <c r="J711" t="s">
        <v>3036</v>
      </c>
      <c r="K711">
        <v>2390.73</v>
      </c>
      <c r="L711" t="b">
        <v>0</v>
      </c>
    </row>
    <row r="712" spans="1:12" x14ac:dyDescent="0.25">
      <c r="A712" t="s">
        <v>3859</v>
      </c>
      <c r="B712" t="s">
        <v>2049</v>
      </c>
      <c r="C712" t="s">
        <v>3034</v>
      </c>
      <c r="D712" s="1">
        <v>46026.129143518519</v>
      </c>
      <c r="E712">
        <v>1922.93</v>
      </c>
      <c r="F712">
        <v>56.06</v>
      </c>
      <c r="G712">
        <v>1866.87</v>
      </c>
      <c r="H712" t="s">
        <v>25</v>
      </c>
      <c r="I712" t="s">
        <v>3470</v>
      </c>
      <c r="J712" t="s">
        <v>3036</v>
      </c>
      <c r="K712">
        <v>1922.93</v>
      </c>
      <c r="L712" t="b">
        <v>0</v>
      </c>
    </row>
    <row r="713" spans="1:12" x14ac:dyDescent="0.25">
      <c r="A713" t="s">
        <v>3860</v>
      </c>
      <c r="B713" t="s">
        <v>2055</v>
      </c>
      <c r="C713" t="s">
        <v>3034</v>
      </c>
      <c r="D713" s="1">
        <v>46027.315937500003</v>
      </c>
      <c r="E713">
        <v>233.87</v>
      </c>
      <c r="F713">
        <v>7.08</v>
      </c>
      <c r="G713">
        <v>226.79</v>
      </c>
      <c r="H713" t="s">
        <v>25</v>
      </c>
      <c r="I713" t="s">
        <v>3474</v>
      </c>
      <c r="J713" t="s">
        <v>3036</v>
      </c>
      <c r="K713">
        <v>233.87</v>
      </c>
      <c r="L713" t="b">
        <v>0</v>
      </c>
    </row>
    <row r="714" spans="1:12" x14ac:dyDescent="0.25">
      <c r="A714" t="s">
        <v>3861</v>
      </c>
      <c r="B714" t="s">
        <v>2058</v>
      </c>
      <c r="C714" t="s">
        <v>3034</v>
      </c>
      <c r="D714" s="1">
        <v>46028.416990740741</v>
      </c>
      <c r="E714">
        <v>1849.91</v>
      </c>
      <c r="F714">
        <v>53.95</v>
      </c>
      <c r="G714">
        <v>1795.96</v>
      </c>
      <c r="H714" t="s">
        <v>25</v>
      </c>
      <c r="I714" t="s">
        <v>3476</v>
      </c>
      <c r="J714" t="s">
        <v>3036</v>
      </c>
      <c r="K714">
        <v>1849.91</v>
      </c>
      <c r="L714" t="b">
        <v>0</v>
      </c>
    </row>
    <row r="715" spans="1:12" x14ac:dyDescent="0.25">
      <c r="A715" t="s">
        <v>3862</v>
      </c>
      <c r="B715" t="s">
        <v>2061</v>
      </c>
      <c r="C715" t="s">
        <v>3034</v>
      </c>
      <c r="D715" s="1">
        <v>46029.494791666664</v>
      </c>
      <c r="E715">
        <v>789.77</v>
      </c>
      <c r="F715">
        <v>23.2</v>
      </c>
      <c r="G715">
        <v>766.57</v>
      </c>
      <c r="H715" t="s">
        <v>25</v>
      </c>
      <c r="I715" t="s">
        <v>3863</v>
      </c>
      <c r="J715" t="s">
        <v>3036</v>
      </c>
      <c r="K715">
        <v>789.77</v>
      </c>
      <c r="L715" t="b">
        <v>0</v>
      </c>
    </row>
    <row r="716" spans="1:12" x14ac:dyDescent="0.25">
      <c r="A716" t="s">
        <v>3864</v>
      </c>
      <c r="B716" t="s">
        <v>2064</v>
      </c>
      <c r="C716" t="s">
        <v>3034</v>
      </c>
      <c r="D716" s="1">
        <v>46030.592268518521</v>
      </c>
      <c r="E716">
        <v>2164.17</v>
      </c>
      <c r="F716">
        <v>63.06</v>
      </c>
      <c r="G716">
        <v>2101.11</v>
      </c>
      <c r="H716" t="s">
        <v>52</v>
      </c>
      <c r="I716" t="s">
        <v>3545</v>
      </c>
      <c r="J716" t="s">
        <v>3036</v>
      </c>
      <c r="K716">
        <v>2164.17</v>
      </c>
      <c r="L716" t="b">
        <v>0</v>
      </c>
    </row>
    <row r="717" spans="1:12" x14ac:dyDescent="0.25">
      <c r="A717" t="s">
        <v>3865</v>
      </c>
      <c r="B717" t="s">
        <v>2067</v>
      </c>
      <c r="C717" t="s">
        <v>3034</v>
      </c>
      <c r="D717" s="1">
        <v>46031.674490740741</v>
      </c>
      <c r="E717">
        <v>571.66</v>
      </c>
      <c r="F717">
        <v>16.88</v>
      </c>
      <c r="G717">
        <v>554.78</v>
      </c>
      <c r="H717" t="s">
        <v>19</v>
      </c>
      <c r="I717" t="s">
        <v>3549</v>
      </c>
      <c r="J717" t="s">
        <v>3036</v>
      </c>
      <c r="K717">
        <v>571.66</v>
      </c>
      <c r="L717" t="b">
        <v>0</v>
      </c>
    </row>
    <row r="718" spans="1:12" x14ac:dyDescent="0.25">
      <c r="A718" t="s">
        <v>3866</v>
      </c>
      <c r="B718" t="s">
        <v>2070</v>
      </c>
      <c r="C718" t="s">
        <v>3034</v>
      </c>
      <c r="D718" s="1">
        <v>46032.756655092591</v>
      </c>
      <c r="E718">
        <v>1670.89</v>
      </c>
      <c r="F718">
        <v>48.76</v>
      </c>
      <c r="G718">
        <v>1622.13</v>
      </c>
      <c r="H718" t="s">
        <v>25</v>
      </c>
      <c r="I718" t="s">
        <v>3530</v>
      </c>
      <c r="J718" t="s">
        <v>3036</v>
      </c>
      <c r="K718">
        <v>1670.89</v>
      </c>
      <c r="L718" t="b">
        <v>0</v>
      </c>
    </row>
    <row r="719" spans="1:12" x14ac:dyDescent="0.25">
      <c r="A719" t="s">
        <v>3867</v>
      </c>
      <c r="B719" t="s">
        <v>2073</v>
      </c>
      <c r="C719" t="s">
        <v>3034</v>
      </c>
      <c r="D719" s="1">
        <v>46033.846724537034</v>
      </c>
      <c r="E719">
        <v>1425.31</v>
      </c>
      <c r="F719">
        <v>41.63</v>
      </c>
      <c r="G719">
        <v>1383.68</v>
      </c>
      <c r="H719" t="s">
        <v>25</v>
      </c>
      <c r="I719" t="s">
        <v>3510</v>
      </c>
      <c r="J719" t="s">
        <v>3036</v>
      </c>
      <c r="K719">
        <v>1425.31</v>
      </c>
      <c r="L719" t="b">
        <v>0</v>
      </c>
    </row>
    <row r="720" spans="1:12" x14ac:dyDescent="0.25">
      <c r="A720" t="s">
        <v>3868</v>
      </c>
      <c r="B720" t="s">
        <v>2076</v>
      </c>
      <c r="C720" t="s">
        <v>3034</v>
      </c>
      <c r="D720" s="1">
        <v>46034.937800925924</v>
      </c>
      <c r="E720">
        <v>684.67</v>
      </c>
      <c r="F720">
        <v>20.16</v>
      </c>
      <c r="G720">
        <v>664.51</v>
      </c>
      <c r="H720" t="s">
        <v>25</v>
      </c>
      <c r="I720" t="s">
        <v>3553</v>
      </c>
      <c r="J720" t="s">
        <v>3036</v>
      </c>
      <c r="K720">
        <v>684.67</v>
      </c>
      <c r="L720" t="b">
        <v>0</v>
      </c>
    </row>
    <row r="721" spans="1:12" x14ac:dyDescent="0.25">
      <c r="A721" t="s">
        <v>3869</v>
      </c>
      <c r="B721" t="s">
        <v>2079</v>
      </c>
      <c r="C721" t="s">
        <v>3034</v>
      </c>
      <c r="D721" s="1">
        <v>46036.024247685185</v>
      </c>
      <c r="E721">
        <v>725.68</v>
      </c>
      <c r="F721">
        <v>21.71</v>
      </c>
      <c r="G721">
        <v>703.97</v>
      </c>
      <c r="H721" t="s">
        <v>25</v>
      </c>
      <c r="I721" t="s">
        <v>3490</v>
      </c>
      <c r="J721" t="s">
        <v>3036</v>
      </c>
      <c r="K721">
        <v>725.68</v>
      </c>
      <c r="L721" t="b">
        <v>0</v>
      </c>
    </row>
    <row r="722" spans="1:12" x14ac:dyDescent="0.25">
      <c r="A722" t="s">
        <v>3870</v>
      </c>
      <c r="B722" t="s">
        <v>2082</v>
      </c>
      <c r="C722" t="s">
        <v>3034</v>
      </c>
      <c r="D722" s="1">
        <v>46037.124675925923</v>
      </c>
      <c r="E722">
        <v>1457.74</v>
      </c>
      <c r="F722">
        <v>42.57</v>
      </c>
      <c r="G722">
        <v>1415.17</v>
      </c>
      <c r="H722" t="s">
        <v>25</v>
      </c>
      <c r="I722" t="s">
        <v>3492</v>
      </c>
      <c r="J722" t="s">
        <v>3036</v>
      </c>
      <c r="K722">
        <v>1457.74</v>
      </c>
      <c r="L722" t="b">
        <v>0</v>
      </c>
    </row>
    <row r="723" spans="1:12" x14ac:dyDescent="0.25">
      <c r="A723" t="s">
        <v>3871</v>
      </c>
      <c r="B723" t="s">
        <v>2085</v>
      </c>
      <c r="C723" t="s">
        <v>3034</v>
      </c>
      <c r="D723" s="1">
        <v>46024.2108912037</v>
      </c>
      <c r="E723">
        <v>373.47</v>
      </c>
      <c r="F723">
        <v>11.13</v>
      </c>
      <c r="G723">
        <v>362.34</v>
      </c>
      <c r="H723" t="s">
        <v>25</v>
      </c>
      <c r="I723" t="s">
        <v>3494</v>
      </c>
      <c r="J723" t="s">
        <v>3036</v>
      </c>
      <c r="K723">
        <v>373.47</v>
      </c>
      <c r="L723" t="b">
        <v>0</v>
      </c>
    </row>
    <row r="724" spans="1:12" x14ac:dyDescent="0.25">
      <c r="A724" t="s">
        <v>3872</v>
      </c>
      <c r="B724" t="s">
        <v>2088</v>
      </c>
      <c r="C724" t="s">
        <v>3034</v>
      </c>
      <c r="D724" s="1">
        <v>46024.321493055555</v>
      </c>
      <c r="E724">
        <v>710.36</v>
      </c>
      <c r="F724">
        <v>20.9</v>
      </c>
      <c r="G724">
        <v>689.46</v>
      </c>
      <c r="H724" t="s">
        <v>25</v>
      </c>
      <c r="I724" t="s">
        <v>3468</v>
      </c>
      <c r="J724" t="s">
        <v>3036</v>
      </c>
      <c r="K724">
        <v>710.36</v>
      </c>
      <c r="L724" t="b">
        <v>0</v>
      </c>
    </row>
    <row r="725" spans="1:12" x14ac:dyDescent="0.25">
      <c r="A725" t="s">
        <v>3873</v>
      </c>
      <c r="B725" t="s">
        <v>2091</v>
      </c>
      <c r="C725" t="s">
        <v>3034</v>
      </c>
      <c r="D725" s="1">
        <v>46025.418321759258</v>
      </c>
      <c r="E725">
        <v>713.36</v>
      </c>
      <c r="F725">
        <v>20.99</v>
      </c>
      <c r="G725">
        <v>692.37</v>
      </c>
      <c r="H725" t="s">
        <v>25</v>
      </c>
      <c r="I725" t="s">
        <v>3470</v>
      </c>
      <c r="J725" t="s">
        <v>3036</v>
      </c>
      <c r="K725">
        <v>713.36</v>
      </c>
      <c r="L725" t="b">
        <v>0</v>
      </c>
    </row>
    <row r="726" spans="1:12" x14ac:dyDescent="0.25">
      <c r="A726" t="s">
        <v>3874</v>
      </c>
      <c r="B726" t="s">
        <v>2091</v>
      </c>
      <c r="C726" t="s">
        <v>3076</v>
      </c>
      <c r="D726" s="1">
        <v>46026.411377314813</v>
      </c>
      <c r="E726">
        <v>-713.36</v>
      </c>
      <c r="F726">
        <v>0</v>
      </c>
      <c r="G726">
        <v>-713.36</v>
      </c>
      <c r="H726" t="s">
        <v>25</v>
      </c>
      <c r="I726" t="s">
        <v>3875</v>
      </c>
      <c r="J726" t="s">
        <v>3036</v>
      </c>
      <c r="K726">
        <v>-713.36</v>
      </c>
      <c r="L726" t="b">
        <v>0</v>
      </c>
    </row>
    <row r="727" spans="1:12" x14ac:dyDescent="0.25">
      <c r="A727" t="s">
        <v>3876</v>
      </c>
      <c r="B727" t="s">
        <v>2094</v>
      </c>
      <c r="C727" t="s">
        <v>3034</v>
      </c>
      <c r="D727" s="1">
        <v>46026.501030092593</v>
      </c>
      <c r="E727">
        <v>554.65</v>
      </c>
      <c r="F727">
        <v>16.38</v>
      </c>
      <c r="G727">
        <v>538.27</v>
      </c>
      <c r="H727" t="s">
        <v>52</v>
      </c>
      <c r="I727" t="s">
        <v>3561</v>
      </c>
      <c r="J727" t="s">
        <v>3036</v>
      </c>
      <c r="K727">
        <v>554.65</v>
      </c>
      <c r="L727" t="b">
        <v>0</v>
      </c>
    </row>
    <row r="728" spans="1:12" x14ac:dyDescent="0.25">
      <c r="A728" t="s">
        <v>3877</v>
      </c>
      <c r="B728" t="s">
        <v>2097</v>
      </c>
      <c r="C728" t="s">
        <v>3034</v>
      </c>
      <c r="D728" s="1">
        <v>46027.584594907406</v>
      </c>
      <c r="E728">
        <v>645.59</v>
      </c>
      <c r="F728">
        <v>19.02</v>
      </c>
      <c r="G728">
        <v>626.57000000000005</v>
      </c>
      <c r="H728" t="s">
        <v>19</v>
      </c>
      <c r="I728" t="s">
        <v>3563</v>
      </c>
      <c r="J728" t="s">
        <v>3036</v>
      </c>
      <c r="K728">
        <v>645.59</v>
      </c>
      <c r="L728" t="b">
        <v>0</v>
      </c>
    </row>
    <row r="729" spans="1:12" x14ac:dyDescent="0.25">
      <c r="A729" t="s">
        <v>3878</v>
      </c>
      <c r="B729" t="s">
        <v>2100</v>
      </c>
      <c r="C729" t="s">
        <v>3034</v>
      </c>
      <c r="D729" s="1">
        <v>46028.677824074075</v>
      </c>
      <c r="E729">
        <v>645.11</v>
      </c>
      <c r="F729">
        <v>19.010000000000002</v>
      </c>
      <c r="G729">
        <v>626.1</v>
      </c>
      <c r="H729" t="s">
        <v>25</v>
      </c>
      <c r="I729" t="s">
        <v>3476</v>
      </c>
      <c r="J729" t="s">
        <v>3036</v>
      </c>
      <c r="K729">
        <v>645.11</v>
      </c>
      <c r="L729" t="b">
        <v>0</v>
      </c>
    </row>
    <row r="730" spans="1:12" x14ac:dyDescent="0.25">
      <c r="A730" t="s">
        <v>3879</v>
      </c>
      <c r="B730" t="s">
        <v>2103</v>
      </c>
      <c r="C730" t="s">
        <v>3034</v>
      </c>
      <c r="D730" s="1">
        <v>46029.778425925928</v>
      </c>
      <c r="E730">
        <v>885.44</v>
      </c>
      <c r="F730">
        <v>25.98</v>
      </c>
      <c r="G730">
        <v>859.46</v>
      </c>
      <c r="H730" t="s">
        <v>25</v>
      </c>
      <c r="I730" t="s">
        <v>3478</v>
      </c>
      <c r="J730" t="s">
        <v>3036</v>
      </c>
      <c r="K730">
        <v>885.44</v>
      </c>
      <c r="L730" t="b">
        <v>0</v>
      </c>
    </row>
    <row r="731" spans="1:12" x14ac:dyDescent="0.25">
      <c r="A731" t="s">
        <v>3880</v>
      </c>
      <c r="B731" t="s">
        <v>2106</v>
      </c>
      <c r="C731" t="s">
        <v>3034</v>
      </c>
      <c r="D731" s="1">
        <v>46030.885150462964</v>
      </c>
      <c r="E731">
        <v>1112.48</v>
      </c>
      <c r="F731">
        <v>32.56</v>
      </c>
      <c r="G731">
        <v>1079.92</v>
      </c>
      <c r="H731" t="s">
        <v>25</v>
      </c>
      <c r="I731" t="s">
        <v>3480</v>
      </c>
      <c r="J731" t="s">
        <v>3036</v>
      </c>
      <c r="K731">
        <v>1112.48</v>
      </c>
      <c r="L731" t="b">
        <v>0</v>
      </c>
    </row>
    <row r="732" spans="1:12" x14ac:dyDescent="0.25">
      <c r="A732" t="s">
        <v>3881</v>
      </c>
      <c r="B732" t="s">
        <v>2109</v>
      </c>
      <c r="C732" t="s">
        <v>3034</v>
      </c>
      <c r="D732" s="1">
        <v>46031.968402777777</v>
      </c>
      <c r="E732">
        <v>1255.19</v>
      </c>
      <c r="F732">
        <v>36.700000000000003</v>
      </c>
      <c r="G732">
        <v>1218.49</v>
      </c>
      <c r="H732" t="s">
        <v>25</v>
      </c>
      <c r="I732" t="s">
        <v>3482</v>
      </c>
      <c r="J732" t="s">
        <v>3036</v>
      </c>
      <c r="K732">
        <v>1255.19</v>
      </c>
      <c r="L732" t="b">
        <v>0</v>
      </c>
    </row>
    <row r="733" spans="1:12" x14ac:dyDescent="0.25">
      <c r="A733" t="s">
        <v>3882</v>
      </c>
      <c r="B733" t="s">
        <v>2112</v>
      </c>
      <c r="C733" t="s">
        <v>3034</v>
      </c>
      <c r="D733" s="1">
        <v>46033.057824074072</v>
      </c>
      <c r="E733">
        <v>1049.6099999999999</v>
      </c>
      <c r="F733">
        <v>30.74</v>
      </c>
      <c r="G733">
        <v>1018.87</v>
      </c>
      <c r="H733" t="s">
        <v>25</v>
      </c>
      <c r="I733" t="s">
        <v>3530</v>
      </c>
      <c r="J733" t="s">
        <v>3036</v>
      </c>
      <c r="K733">
        <v>1049.6099999999999</v>
      </c>
      <c r="L733" t="b">
        <v>0</v>
      </c>
    </row>
    <row r="734" spans="1:12" x14ac:dyDescent="0.25">
      <c r="A734" t="s">
        <v>3883</v>
      </c>
      <c r="B734" t="s">
        <v>2115</v>
      </c>
      <c r="C734" t="s">
        <v>3034</v>
      </c>
      <c r="D734" s="1">
        <v>46034.126608796294</v>
      </c>
      <c r="E734">
        <v>1013.91</v>
      </c>
      <c r="F734">
        <v>29.7</v>
      </c>
      <c r="G734">
        <v>984.21</v>
      </c>
      <c r="H734" t="s">
        <v>25</v>
      </c>
      <c r="I734" t="s">
        <v>3510</v>
      </c>
      <c r="J734" t="s">
        <v>3036</v>
      </c>
      <c r="K734">
        <v>1013.91</v>
      </c>
      <c r="L734" t="b">
        <v>0</v>
      </c>
    </row>
    <row r="735" spans="1:12" x14ac:dyDescent="0.25">
      <c r="A735" t="s">
        <v>3884</v>
      </c>
      <c r="B735" t="s">
        <v>2118</v>
      </c>
      <c r="C735" t="s">
        <v>3034</v>
      </c>
      <c r="D735" s="1">
        <v>46034.2500462963</v>
      </c>
      <c r="E735">
        <v>2418.23</v>
      </c>
      <c r="F735">
        <v>70.430000000000007</v>
      </c>
      <c r="G735">
        <v>2347.8000000000002</v>
      </c>
      <c r="H735" t="s">
        <v>25</v>
      </c>
      <c r="I735" t="s">
        <v>3553</v>
      </c>
      <c r="J735" t="s">
        <v>3036</v>
      </c>
      <c r="K735">
        <v>2418.23</v>
      </c>
      <c r="L735" t="b">
        <v>0</v>
      </c>
    </row>
    <row r="736" spans="1:12" x14ac:dyDescent="0.25">
      <c r="A736" t="s">
        <v>3885</v>
      </c>
      <c r="B736" t="s">
        <v>2121</v>
      </c>
      <c r="C736" t="s">
        <v>3034</v>
      </c>
      <c r="D736" s="1">
        <v>46035.32508101852</v>
      </c>
      <c r="E736">
        <v>865.91</v>
      </c>
      <c r="F736">
        <v>25.41</v>
      </c>
      <c r="G736">
        <v>840.5</v>
      </c>
      <c r="H736" t="s">
        <v>25</v>
      </c>
      <c r="I736" t="s">
        <v>3490</v>
      </c>
      <c r="J736" t="s">
        <v>3036</v>
      </c>
      <c r="K736">
        <v>865.91</v>
      </c>
      <c r="L736" t="b">
        <v>0</v>
      </c>
    </row>
    <row r="737" spans="1:12" x14ac:dyDescent="0.25">
      <c r="A737" t="s">
        <v>3886</v>
      </c>
      <c r="B737" t="s">
        <v>2124</v>
      </c>
      <c r="C737" t="s">
        <v>3034</v>
      </c>
      <c r="D737" s="1">
        <v>46036.398009259261</v>
      </c>
      <c r="E737">
        <v>925.49</v>
      </c>
      <c r="F737">
        <v>27.14</v>
      </c>
      <c r="G737">
        <v>898.35</v>
      </c>
      <c r="H737" t="s">
        <v>52</v>
      </c>
      <c r="I737" t="s">
        <v>3576</v>
      </c>
      <c r="J737" t="s">
        <v>3036</v>
      </c>
      <c r="K737">
        <v>925.49</v>
      </c>
      <c r="L737" t="b">
        <v>0</v>
      </c>
    </row>
    <row r="738" spans="1:12" x14ac:dyDescent="0.25">
      <c r="A738" t="s">
        <v>3887</v>
      </c>
      <c r="B738" t="s">
        <v>2127</v>
      </c>
      <c r="C738" t="s">
        <v>3034</v>
      </c>
      <c r="D738" s="1">
        <v>46023.497928240744</v>
      </c>
      <c r="E738">
        <v>760.58</v>
      </c>
      <c r="F738">
        <v>22.36</v>
      </c>
      <c r="G738">
        <v>738.22</v>
      </c>
      <c r="H738" t="s">
        <v>19</v>
      </c>
      <c r="I738" t="s">
        <v>3888</v>
      </c>
      <c r="J738" t="s">
        <v>3036</v>
      </c>
      <c r="K738">
        <v>760.58</v>
      </c>
      <c r="L738" t="b">
        <v>0</v>
      </c>
    </row>
    <row r="739" spans="1:12" x14ac:dyDescent="0.25">
      <c r="A739" t="s">
        <v>3889</v>
      </c>
      <c r="B739" t="s">
        <v>2130</v>
      </c>
      <c r="C739" t="s">
        <v>3034</v>
      </c>
      <c r="D739" s="1">
        <v>46024.584837962961</v>
      </c>
      <c r="E739">
        <v>2117.7600000000002</v>
      </c>
      <c r="F739">
        <v>61.72</v>
      </c>
      <c r="G739">
        <v>2056.04</v>
      </c>
      <c r="H739" t="s">
        <v>25</v>
      </c>
      <c r="I739" t="s">
        <v>3890</v>
      </c>
      <c r="J739" t="s">
        <v>3036</v>
      </c>
      <c r="K739">
        <v>2117.7600000000002</v>
      </c>
      <c r="L739" t="b">
        <v>0</v>
      </c>
    </row>
    <row r="740" spans="1:12" x14ac:dyDescent="0.25">
      <c r="A740" t="s">
        <v>3891</v>
      </c>
      <c r="B740" t="s">
        <v>2130</v>
      </c>
      <c r="C740" t="s">
        <v>3076</v>
      </c>
      <c r="D740" s="1">
        <v>46025.577893518515</v>
      </c>
      <c r="E740">
        <v>-1058.8800000000001</v>
      </c>
      <c r="F740">
        <v>0</v>
      </c>
      <c r="G740">
        <v>-1058.8800000000001</v>
      </c>
      <c r="H740" t="s">
        <v>25</v>
      </c>
      <c r="I740" t="s">
        <v>3892</v>
      </c>
      <c r="J740" t="s">
        <v>3036</v>
      </c>
      <c r="K740">
        <v>-1058.8800000000001</v>
      </c>
      <c r="L740" t="b">
        <v>0</v>
      </c>
    </row>
    <row r="741" spans="1:12" x14ac:dyDescent="0.25">
      <c r="A741" t="s">
        <v>3893</v>
      </c>
      <c r="B741" t="s">
        <v>2133</v>
      </c>
      <c r="C741" t="s">
        <v>3034</v>
      </c>
      <c r="D741" s="1">
        <v>46025.682800925926</v>
      </c>
      <c r="E741">
        <v>2115.19</v>
      </c>
      <c r="F741">
        <v>61.64</v>
      </c>
      <c r="G741">
        <v>2053.5500000000002</v>
      </c>
      <c r="H741" t="s">
        <v>25</v>
      </c>
      <c r="I741" t="s">
        <v>3894</v>
      </c>
      <c r="J741" t="s">
        <v>3036</v>
      </c>
      <c r="K741">
        <v>2115.19</v>
      </c>
      <c r="L741" t="b">
        <v>0</v>
      </c>
    </row>
    <row r="742" spans="1:12" x14ac:dyDescent="0.25">
      <c r="A742" t="s">
        <v>3895</v>
      </c>
      <c r="B742" t="s">
        <v>2136</v>
      </c>
      <c r="C742" t="s">
        <v>3034</v>
      </c>
      <c r="D742" s="1">
        <v>46026.790543981479</v>
      </c>
      <c r="E742">
        <v>1313.01</v>
      </c>
      <c r="F742">
        <v>38.380000000000003</v>
      </c>
      <c r="G742">
        <v>1274.6300000000001</v>
      </c>
      <c r="H742" t="s">
        <v>25</v>
      </c>
      <c r="I742" t="s">
        <v>3896</v>
      </c>
      <c r="J742" t="s">
        <v>3036</v>
      </c>
      <c r="K742">
        <v>1313.01</v>
      </c>
      <c r="L742" t="b">
        <v>0</v>
      </c>
    </row>
    <row r="743" spans="1:12" x14ac:dyDescent="0.25">
      <c r="A743" t="s">
        <v>3897</v>
      </c>
      <c r="B743" t="s">
        <v>2139</v>
      </c>
      <c r="C743" t="s">
        <v>3034</v>
      </c>
      <c r="D743" s="1">
        <v>46027.875543981485</v>
      </c>
      <c r="E743">
        <v>2243.4699999999998</v>
      </c>
      <c r="F743">
        <v>65.36</v>
      </c>
      <c r="G743">
        <v>2178.11</v>
      </c>
      <c r="H743" t="s">
        <v>52</v>
      </c>
      <c r="I743" t="s">
        <v>3898</v>
      </c>
      <c r="J743" t="s">
        <v>3036</v>
      </c>
      <c r="K743">
        <v>2243.4699999999998</v>
      </c>
      <c r="L743" t="b">
        <v>0</v>
      </c>
    </row>
    <row r="744" spans="1:12" x14ac:dyDescent="0.25">
      <c r="A744" t="s">
        <v>3899</v>
      </c>
      <c r="B744" t="s">
        <v>2142</v>
      </c>
      <c r="C744" t="s">
        <v>3034</v>
      </c>
      <c r="D744" s="1">
        <v>46028.984166666669</v>
      </c>
      <c r="E744">
        <v>1137.75</v>
      </c>
      <c r="F744">
        <v>33.29</v>
      </c>
      <c r="G744">
        <v>1104.46</v>
      </c>
      <c r="H744" t="s">
        <v>25</v>
      </c>
      <c r="I744" t="s">
        <v>3900</v>
      </c>
      <c r="J744" t="s">
        <v>3036</v>
      </c>
      <c r="K744">
        <v>1137.75</v>
      </c>
      <c r="L744" t="b">
        <v>0</v>
      </c>
    </row>
    <row r="745" spans="1:12" x14ac:dyDescent="0.25">
      <c r="A745" t="s">
        <v>3901</v>
      </c>
      <c r="B745" t="s">
        <v>2145</v>
      </c>
      <c r="C745" t="s">
        <v>3034</v>
      </c>
      <c r="D745" s="1">
        <v>46030.054189814815</v>
      </c>
      <c r="E745">
        <v>1027.43</v>
      </c>
      <c r="F745">
        <v>30.1</v>
      </c>
      <c r="G745">
        <v>997.33</v>
      </c>
      <c r="H745" t="s">
        <v>25</v>
      </c>
      <c r="I745" t="s">
        <v>3902</v>
      </c>
      <c r="J745" t="s">
        <v>3036</v>
      </c>
      <c r="K745">
        <v>1027.43</v>
      </c>
      <c r="L745" t="b">
        <v>0</v>
      </c>
    </row>
    <row r="746" spans="1:12" x14ac:dyDescent="0.25">
      <c r="A746" t="s">
        <v>3903</v>
      </c>
      <c r="B746" t="s">
        <v>2148</v>
      </c>
      <c r="C746" t="s">
        <v>3034</v>
      </c>
      <c r="D746" s="1">
        <v>46031.149062500001</v>
      </c>
      <c r="E746">
        <v>2099.73</v>
      </c>
      <c r="F746">
        <v>61.19</v>
      </c>
      <c r="G746">
        <v>2038.54</v>
      </c>
      <c r="H746" t="s">
        <v>25</v>
      </c>
      <c r="I746" t="s">
        <v>3904</v>
      </c>
      <c r="J746" t="s">
        <v>3036</v>
      </c>
      <c r="K746">
        <v>2099.73</v>
      </c>
      <c r="L746" t="b">
        <v>0</v>
      </c>
    </row>
    <row r="747" spans="1:12" x14ac:dyDescent="0.25">
      <c r="A747" t="s">
        <v>3905</v>
      </c>
      <c r="B747" t="s">
        <v>2151</v>
      </c>
      <c r="C747" t="s">
        <v>3034</v>
      </c>
      <c r="D747" s="1">
        <v>46031.260555555556</v>
      </c>
      <c r="E747">
        <v>330.75</v>
      </c>
      <c r="F747">
        <v>9.89</v>
      </c>
      <c r="G747">
        <v>320.86</v>
      </c>
      <c r="H747" t="s">
        <v>25</v>
      </c>
      <c r="I747" t="s">
        <v>3906</v>
      </c>
      <c r="J747" t="s">
        <v>3036</v>
      </c>
      <c r="K747">
        <v>330.75</v>
      </c>
      <c r="L747" t="b">
        <v>0</v>
      </c>
    </row>
    <row r="748" spans="1:12" x14ac:dyDescent="0.25">
      <c r="A748" t="s">
        <v>3907</v>
      </c>
      <c r="B748" t="s">
        <v>2154</v>
      </c>
      <c r="C748" t="s">
        <v>3034</v>
      </c>
      <c r="D748" s="1">
        <v>46032.313368055555</v>
      </c>
      <c r="E748">
        <v>1380.06</v>
      </c>
      <c r="F748">
        <v>40.32</v>
      </c>
      <c r="G748">
        <v>1339.74</v>
      </c>
      <c r="H748" t="s">
        <v>52</v>
      </c>
      <c r="I748" t="s">
        <v>3908</v>
      </c>
      <c r="J748" t="s">
        <v>3036</v>
      </c>
      <c r="K748">
        <v>1380.06</v>
      </c>
      <c r="L748" t="b">
        <v>0</v>
      </c>
    </row>
    <row r="749" spans="1:12" x14ac:dyDescent="0.25">
      <c r="A749" t="s">
        <v>3909</v>
      </c>
      <c r="B749" t="s">
        <v>2157</v>
      </c>
      <c r="C749" t="s">
        <v>3034</v>
      </c>
      <c r="D749" s="1">
        <v>46033.441238425927</v>
      </c>
      <c r="E749">
        <v>90.09</v>
      </c>
      <c r="F749">
        <v>2.91</v>
      </c>
      <c r="G749">
        <v>87.18</v>
      </c>
      <c r="H749" t="s">
        <v>19</v>
      </c>
      <c r="I749" t="s">
        <v>3910</v>
      </c>
      <c r="J749" t="s">
        <v>3036</v>
      </c>
      <c r="K749">
        <v>90.09</v>
      </c>
      <c r="L749" t="b">
        <v>0</v>
      </c>
    </row>
    <row r="750" spans="1:12" x14ac:dyDescent="0.25">
      <c r="A750" t="s">
        <v>3911</v>
      </c>
      <c r="B750" t="s">
        <v>2160</v>
      </c>
      <c r="C750" t="s">
        <v>3034</v>
      </c>
      <c r="D750" s="1">
        <v>46034.4997337963</v>
      </c>
      <c r="E750">
        <v>1446.39</v>
      </c>
      <c r="F750">
        <v>42.25</v>
      </c>
      <c r="G750">
        <v>1404.14</v>
      </c>
      <c r="H750" t="s">
        <v>25</v>
      </c>
      <c r="I750" t="s">
        <v>3912</v>
      </c>
      <c r="J750" t="s">
        <v>3036</v>
      </c>
      <c r="K750">
        <v>1446.39</v>
      </c>
      <c r="L750" t="b">
        <v>0</v>
      </c>
    </row>
    <row r="751" spans="1:12" x14ac:dyDescent="0.25">
      <c r="A751" t="s">
        <v>3913</v>
      </c>
      <c r="B751" t="s">
        <v>2163</v>
      </c>
      <c r="C751" t="s">
        <v>3034</v>
      </c>
      <c r="D751" s="1">
        <v>46035.604097222225</v>
      </c>
      <c r="E751">
        <v>1226.19</v>
      </c>
      <c r="F751">
        <v>35.86</v>
      </c>
      <c r="G751">
        <v>1190.33</v>
      </c>
      <c r="H751" t="s">
        <v>25</v>
      </c>
      <c r="I751" t="s">
        <v>3914</v>
      </c>
      <c r="J751" t="s">
        <v>3036</v>
      </c>
      <c r="K751">
        <v>1226.19</v>
      </c>
      <c r="L751" t="b">
        <v>0</v>
      </c>
    </row>
    <row r="752" spans="1:12" x14ac:dyDescent="0.25">
      <c r="A752" t="s">
        <v>3915</v>
      </c>
      <c r="B752" t="s">
        <v>2166</v>
      </c>
      <c r="C752" t="s">
        <v>3034</v>
      </c>
      <c r="D752" s="1">
        <v>46036.691782407404</v>
      </c>
      <c r="E752">
        <v>1190.67</v>
      </c>
      <c r="F752">
        <v>34.83</v>
      </c>
      <c r="G752">
        <v>1155.8399999999999</v>
      </c>
      <c r="H752" t="s">
        <v>25</v>
      </c>
      <c r="I752" t="s">
        <v>3916</v>
      </c>
      <c r="J752" t="s">
        <v>3036</v>
      </c>
      <c r="K752">
        <v>1190.67</v>
      </c>
      <c r="L752" t="b">
        <v>0</v>
      </c>
    </row>
    <row r="753" spans="1:12" x14ac:dyDescent="0.25">
      <c r="A753" t="s">
        <v>3917</v>
      </c>
      <c r="B753" t="s">
        <v>2169</v>
      </c>
      <c r="C753" t="s">
        <v>3034</v>
      </c>
      <c r="D753" s="1">
        <v>46023.804756944446</v>
      </c>
      <c r="E753">
        <v>1897.98</v>
      </c>
      <c r="F753">
        <v>55.34</v>
      </c>
      <c r="G753">
        <v>1842.64</v>
      </c>
      <c r="H753" t="s">
        <v>25</v>
      </c>
      <c r="I753" t="s">
        <v>3918</v>
      </c>
      <c r="J753" t="s">
        <v>3036</v>
      </c>
      <c r="K753">
        <v>1897.98</v>
      </c>
      <c r="L753" t="b">
        <v>0</v>
      </c>
    </row>
    <row r="754" spans="1:12" x14ac:dyDescent="0.25">
      <c r="A754" t="s">
        <v>3919</v>
      </c>
      <c r="B754" t="s">
        <v>2172</v>
      </c>
      <c r="C754" t="s">
        <v>3034</v>
      </c>
      <c r="D754" s="1">
        <v>46024.863171296296</v>
      </c>
      <c r="E754">
        <v>1386.77</v>
      </c>
      <c r="F754">
        <v>40.520000000000003</v>
      </c>
      <c r="G754">
        <v>1346.25</v>
      </c>
      <c r="H754" t="s">
        <v>25</v>
      </c>
      <c r="I754" t="s">
        <v>3890</v>
      </c>
      <c r="J754" t="s">
        <v>3036</v>
      </c>
      <c r="K754">
        <v>1386.77</v>
      </c>
      <c r="L754" t="b">
        <v>0</v>
      </c>
    </row>
    <row r="755" spans="1:12" x14ac:dyDescent="0.25">
      <c r="A755" t="s">
        <v>3920</v>
      </c>
      <c r="B755" t="s">
        <v>2175</v>
      </c>
      <c r="C755" t="s">
        <v>3034</v>
      </c>
      <c r="D755" s="1">
        <v>46025.982743055552</v>
      </c>
      <c r="E755">
        <v>1070.52</v>
      </c>
      <c r="F755">
        <v>31.35</v>
      </c>
      <c r="G755">
        <v>1039.17</v>
      </c>
      <c r="H755" t="s">
        <v>25</v>
      </c>
      <c r="I755" t="s">
        <v>3894</v>
      </c>
      <c r="J755" t="s">
        <v>3036</v>
      </c>
      <c r="K755">
        <v>1070.52</v>
      </c>
      <c r="L755" t="b">
        <v>0</v>
      </c>
    </row>
    <row r="756" spans="1:12" x14ac:dyDescent="0.25">
      <c r="A756" t="s">
        <v>3921</v>
      </c>
      <c r="B756" t="s">
        <v>2178</v>
      </c>
      <c r="C756" t="s">
        <v>3034</v>
      </c>
      <c r="D756" s="1">
        <v>46027.079560185186</v>
      </c>
      <c r="E756">
        <v>2367.4299999999998</v>
      </c>
      <c r="F756">
        <v>68.959999999999994</v>
      </c>
      <c r="G756">
        <v>2298.4699999999998</v>
      </c>
      <c r="H756" t="s">
        <v>25</v>
      </c>
      <c r="I756" t="s">
        <v>3896</v>
      </c>
      <c r="J756" t="s">
        <v>3036</v>
      </c>
      <c r="K756">
        <v>2367.4299999999998</v>
      </c>
      <c r="L756" t="b">
        <v>0</v>
      </c>
    </row>
    <row r="757" spans="1:12" x14ac:dyDescent="0.25">
      <c r="A757" t="s">
        <v>3922</v>
      </c>
      <c r="B757" t="s">
        <v>2181</v>
      </c>
      <c r="C757" t="s">
        <v>3034</v>
      </c>
      <c r="D757" s="1">
        <v>46028.170578703706</v>
      </c>
      <c r="E757">
        <v>330.37</v>
      </c>
      <c r="F757">
        <v>9.8800000000000008</v>
      </c>
      <c r="G757">
        <v>320.49</v>
      </c>
      <c r="H757" t="s">
        <v>25</v>
      </c>
      <c r="I757" t="s">
        <v>3923</v>
      </c>
      <c r="J757" t="s">
        <v>3036</v>
      </c>
      <c r="K757">
        <v>330.37</v>
      </c>
      <c r="L757" t="b">
        <v>0</v>
      </c>
    </row>
    <row r="758" spans="1:12" x14ac:dyDescent="0.25">
      <c r="A758" t="s">
        <v>3924</v>
      </c>
      <c r="B758" t="s">
        <v>2184</v>
      </c>
      <c r="C758" t="s">
        <v>3034</v>
      </c>
      <c r="D758" s="1">
        <v>46028.257175925923</v>
      </c>
      <c r="E758">
        <v>2422.17</v>
      </c>
      <c r="F758">
        <v>70.540000000000006</v>
      </c>
      <c r="G758">
        <v>2351.63</v>
      </c>
      <c r="H758" t="s">
        <v>52</v>
      </c>
      <c r="I758" t="s">
        <v>3925</v>
      </c>
      <c r="J758" t="s">
        <v>3036</v>
      </c>
      <c r="K758">
        <v>2422.17</v>
      </c>
      <c r="L758" t="b">
        <v>0</v>
      </c>
    </row>
    <row r="759" spans="1:12" x14ac:dyDescent="0.25">
      <c r="A759" t="s">
        <v>3926</v>
      </c>
      <c r="B759" t="s">
        <v>2187</v>
      </c>
      <c r="C759" t="s">
        <v>3034</v>
      </c>
      <c r="D759" s="1">
        <v>46029.329270833332</v>
      </c>
      <c r="E759">
        <v>426.47</v>
      </c>
      <c r="F759">
        <v>12.67</v>
      </c>
      <c r="G759">
        <v>413.8</v>
      </c>
      <c r="H759" t="s">
        <v>19</v>
      </c>
      <c r="I759" t="s">
        <v>3927</v>
      </c>
      <c r="J759" t="s">
        <v>3036</v>
      </c>
      <c r="K759">
        <v>426.47</v>
      </c>
      <c r="L759" t="b">
        <v>0</v>
      </c>
    </row>
    <row r="760" spans="1:12" x14ac:dyDescent="0.25">
      <c r="A760" t="s">
        <v>3926</v>
      </c>
      <c r="B760" t="s">
        <v>2187</v>
      </c>
      <c r="C760" t="s">
        <v>3034</v>
      </c>
      <c r="D760" s="1">
        <v>46029.329270833332</v>
      </c>
      <c r="E760">
        <v>426.47</v>
      </c>
      <c r="F760">
        <v>12.67</v>
      </c>
      <c r="G760">
        <v>413.8</v>
      </c>
      <c r="H760" t="s">
        <v>19</v>
      </c>
      <c r="I760" t="s">
        <v>3927</v>
      </c>
      <c r="J760" t="s">
        <v>3036</v>
      </c>
      <c r="K760">
        <v>426.47</v>
      </c>
      <c r="L760" t="b">
        <v>0</v>
      </c>
    </row>
    <row r="761" spans="1:12" x14ac:dyDescent="0.25">
      <c r="A761" t="s">
        <v>3928</v>
      </c>
      <c r="B761" t="s">
        <v>2190</v>
      </c>
      <c r="C761" t="s">
        <v>3034</v>
      </c>
      <c r="D761" s="1">
        <v>46030.424432870372</v>
      </c>
      <c r="E761">
        <v>1675.32</v>
      </c>
      <c r="F761">
        <v>48.88</v>
      </c>
      <c r="G761">
        <v>1626.44</v>
      </c>
      <c r="H761" t="s">
        <v>25</v>
      </c>
      <c r="I761" t="s">
        <v>3904</v>
      </c>
      <c r="J761" t="s">
        <v>3036</v>
      </c>
      <c r="K761">
        <v>1675.32</v>
      </c>
      <c r="L761" t="b">
        <v>0</v>
      </c>
    </row>
    <row r="762" spans="1:12" x14ac:dyDescent="0.25">
      <c r="A762" t="s">
        <v>3929</v>
      </c>
      <c r="B762" t="s">
        <v>2193</v>
      </c>
      <c r="C762" t="s">
        <v>3034</v>
      </c>
      <c r="D762" s="1">
        <v>46031.53466435185</v>
      </c>
      <c r="E762">
        <v>1727.71</v>
      </c>
      <c r="F762">
        <v>50.4</v>
      </c>
      <c r="G762">
        <v>1677.31</v>
      </c>
      <c r="H762" t="s">
        <v>25</v>
      </c>
      <c r="I762" t="s">
        <v>3930</v>
      </c>
      <c r="J762" t="s">
        <v>3036</v>
      </c>
      <c r="K762">
        <v>1727.71</v>
      </c>
      <c r="L762" t="b">
        <v>0</v>
      </c>
    </row>
    <row r="763" spans="1:12" x14ac:dyDescent="0.25">
      <c r="A763" t="s">
        <v>3931</v>
      </c>
      <c r="B763" t="s">
        <v>2196</v>
      </c>
      <c r="C763" t="s">
        <v>3034</v>
      </c>
      <c r="D763" s="1">
        <v>46032.621944444443</v>
      </c>
      <c r="E763">
        <v>1419.42</v>
      </c>
      <c r="F763">
        <v>41.46</v>
      </c>
      <c r="G763">
        <v>1377.96</v>
      </c>
      <c r="H763" t="s">
        <v>25</v>
      </c>
      <c r="I763" t="s">
        <v>3932</v>
      </c>
      <c r="J763" t="s">
        <v>3036</v>
      </c>
      <c r="K763">
        <v>1419.42</v>
      </c>
      <c r="L763" t="b">
        <v>0</v>
      </c>
    </row>
    <row r="764" spans="1:12" x14ac:dyDescent="0.25">
      <c r="A764" t="s">
        <v>3933</v>
      </c>
      <c r="B764" t="s">
        <v>2199</v>
      </c>
      <c r="C764" t="s">
        <v>3034</v>
      </c>
      <c r="D764" s="1">
        <v>46033.691250000003</v>
      </c>
      <c r="E764">
        <v>831.32</v>
      </c>
      <c r="F764">
        <v>24.41</v>
      </c>
      <c r="G764">
        <v>806.91</v>
      </c>
      <c r="H764" t="s">
        <v>25</v>
      </c>
      <c r="I764" t="s">
        <v>3934</v>
      </c>
      <c r="J764" t="s">
        <v>3036</v>
      </c>
      <c r="K764">
        <v>831.32</v>
      </c>
      <c r="L764" t="b">
        <v>0</v>
      </c>
    </row>
    <row r="765" spans="1:12" x14ac:dyDescent="0.25">
      <c r="A765" t="s">
        <v>3935</v>
      </c>
      <c r="B765" t="s">
        <v>2202</v>
      </c>
      <c r="C765" t="s">
        <v>3034</v>
      </c>
      <c r="D765" s="1">
        <v>46034.80636574074</v>
      </c>
      <c r="E765">
        <v>1585.31</v>
      </c>
      <c r="F765">
        <v>46.27</v>
      </c>
      <c r="G765">
        <v>1539.04</v>
      </c>
      <c r="H765" t="s">
        <v>25</v>
      </c>
      <c r="I765" t="s">
        <v>3912</v>
      </c>
      <c r="J765" t="s">
        <v>3036</v>
      </c>
      <c r="K765">
        <v>1585.31</v>
      </c>
      <c r="L765" t="b">
        <v>0</v>
      </c>
    </row>
    <row r="766" spans="1:12" x14ac:dyDescent="0.25">
      <c r="A766" t="s">
        <v>3936</v>
      </c>
      <c r="B766" t="s">
        <v>2205</v>
      </c>
      <c r="C766" t="s">
        <v>3034</v>
      </c>
      <c r="D766" s="1">
        <v>46035.880231481482</v>
      </c>
      <c r="E766">
        <v>2236.9299999999998</v>
      </c>
      <c r="F766">
        <v>65.17</v>
      </c>
      <c r="G766">
        <v>2171.7600000000002</v>
      </c>
      <c r="H766" t="s">
        <v>25</v>
      </c>
      <c r="I766" t="s">
        <v>3914</v>
      </c>
      <c r="J766" t="s">
        <v>3036</v>
      </c>
      <c r="K766">
        <v>2236.9299999999998</v>
      </c>
      <c r="L766" t="b">
        <v>0</v>
      </c>
    </row>
    <row r="767" spans="1:12" x14ac:dyDescent="0.25">
      <c r="A767" t="s">
        <v>3937</v>
      </c>
      <c r="B767" t="s">
        <v>2208</v>
      </c>
      <c r="C767" t="s">
        <v>3034</v>
      </c>
      <c r="D767" s="1">
        <v>46036.989629629628</v>
      </c>
      <c r="E767">
        <v>372.63</v>
      </c>
      <c r="F767">
        <v>11.11</v>
      </c>
      <c r="G767">
        <v>361.52</v>
      </c>
      <c r="H767" t="s">
        <v>25</v>
      </c>
      <c r="I767" t="s">
        <v>3916</v>
      </c>
      <c r="J767" t="s">
        <v>3036</v>
      </c>
      <c r="K767">
        <v>372.63</v>
      </c>
      <c r="L767" t="b">
        <v>0</v>
      </c>
    </row>
    <row r="768" spans="1:12" x14ac:dyDescent="0.25">
      <c r="A768" t="s">
        <v>3938</v>
      </c>
      <c r="B768" t="s">
        <v>2211</v>
      </c>
      <c r="C768" t="s">
        <v>3034</v>
      </c>
      <c r="D768" s="1">
        <v>46024.073750000003</v>
      </c>
      <c r="E768">
        <v>2263.9499999999998</v>
      </c>
      <c r="F768">
        <v>65.95</v>
      </c>
      <c r="G768">
        <v>2198</v>
      </c>
      <c r="H768" t="s">
        <v>25</v>
      </c>
      <c r="I768" t="s">
        <v>3939</v>
      </c>
      <c r="J768" t="s">
        <v>3036</v>
      </c>
      <c r="K768">
        <v>2263.9499999999998</v>
      </c>
      <c r="L768" t="b">
        <v>0</v>
      </c>
    </row>
    <row r="769" spans="1:12" x14ac:dyDescent="0.25">
      <c r="A769" t="s">
        <v>3940</v>
      </c>
      <c r="B769" t="s">
        <v>2214</v>
      </c>
      <c r="C769" t="s">
        <v>3034</v>
      </c>
      <c r="D769" s="1">
        <v>46025.146932870368</v>
      </c>
      <c r="E769">
        <v>950.01</v>
      </c>
      <c r="F769">
        <v>27.85</v>
      </c>
      <c r="G769">
        <v>922.16</v>
      </c>
      <c r="H769" t="s">
        <v>52</v>
      </c>
      <c r="I769" t="s">
        <v>3941</v>
      </c>
      <c r="J769" t="s">
        <v>3036</v>
      </c>
      <c r="K769">
        <v>950.01</v>
      </c>
      <c r="L769" t="b">
        <v>0</v>
      </c>
    </row>
    <row r="770" spans="1:12" x14ac:dyDescent="0.25">
      <c r="A770" t="s">
        <v>3942</v>
      </c>
      <c r="B770" t="s">
        <v>2217</v>
      </c>
      <c r="C770" t="s">
        <v>3034</v>
      </c>
      <c r="D770" s="1">
        <v>46025.241597222222</v>
      </c>
      <c r="E770">
        <v>831.77</v>
      </c>
      <c r="F770">
        <v>24.42</v>
      </c>
      <c r="G770">
        <v>807.35</v>
      </c>
      <c r="H770" t="s">
        <v>19</v>
      </c>
      <c r="I770" t="s">
        <v>3943</v>
      </c>
      <c r="J770" t="s">
        <v>3036</v>
      </c>
      <c r="K770">
        <v>831.77</v>
      </c>
      <c r="L770" t="b">
        <v>0</v>
      </c>
    </row>
    <row r="771" spans="1:12" x14ac:dyDescent="0.25">
      <c r="A771" t="s">
        <v>3944</v>
      </c>
      <c r="B771" t="s">
        <v>2220</v>
      </c>
      <c r="C771" t="s">
        <v>3034</v>
      </c>
      <c r="D771" s="1">
        <v>46026.348773148151</v>
      </c>
      <c r="E771">
        <v>1085.8</v>
      </c>
      <c r="F771">
        <v>31.79</v>
      </c>
      <c r="G771">
        <v>1054.01</v>
      </c>
      <c r="H771" t="s">
        <v>25</v>
      </c>
      <c r="I771" t="s">
        <v>3896</v>
      </c>
      <c r="J771" t="s">
        <v>3036</v>
      </c>
      <c r="K771">
        <v>1085.8</v>
      </c>
      <c r="L771" t="b">
        <v>0</v>
      </c>
    </row>
    <row r="772" spans="1:12" x14ac:dyDescent="0.25">
      <c r="A772" t="s">
        <v>3945</v>
      </c>
      <c r="B772" t="s">
        <v>2223</v>
      </c>
      <c r="C772" t="s">
        <v>3034</v>
      </c>
      <c r="D772" s="1">
        <v>46027.431273148148</v>
      </c>
      <c r="E772">
        <v>767.13</v>
      </c>
      <c r="F772">
        <v>22.55</v>
      </c>
      <c r="G772">
        <v>744.58</v>
      </c>
      <c r="H772" t="s">
        <v>25</v>
      </c>
      <c r="I772" t="s">
        <v>3923</v>
      </c>
      <c r="J772" t="s">
        <v>3036</v>
      </c>
      <c r="K772">
        <v>767.13</v>
      </c>
      <c r="L772" t="b">
        <v>0</v>
      </c>
    </row>
    <row r="773" spans="1:12" x14ac:dyDescent="0.25">
      <c r="A773" t="s">
        <v>3946</v>
      </c>
      <c r="B773" t="s">
        <v>2226</v>
      </c>
      <c r="C773" t="s">
        <v>3034</v>
      </c>
      <c r="D773" s="1">
        <v>46028.521932870368</v>
      </c>
      <c r="E773">
        <v>1903.02</v>
      </c>
      <c r="F773">
        <v>55.49</v>
      </c>
      <c r="G773">
        <v>1847.53</v>
      </c>
      <c r="H773" t="s">
        <v>25</v>
      </c>
      <c r="I773" t="s">
        <v>3900</v>
      </c>
      <c r="J773" t="s">
        <v>3036</v>
      </c>
      <c r="K773">
        <v>1903.02</v>
      </c>
      <c r="L773" t="b">
        <v>0</v>
      </c>
    </row>
    <row r="774" spans="1:12" x14ac:dyDescent="0.25">
      <c r="A774" t="s">
        <v>3947</v>
      </c>
      <c r="B774" t="s">
        <v>2229</v>
      </c>
      <c r="C774" t="s">
        <v>3034</v>
      </c>
      <c r="D774" s="1">
        <v>46029.618217592593</v>
      </c>
      <c r="E774">
        <v>1894.97</v>
      </c>
      <c r="F774">
        <v>55.25</v>
      </c>
      <c r="G774">
        <v>1839.72</v>
      </c>
      <c r="H774" t="s">
        <v>25</v>
      </c>
      <c r="I774" t="s">
        <v>3902</v>
      </c>
      <c r="J774" t="s">
        <v>3036</v>
      </c>
      <c r="K774">
        <v>1894.97</v>
      </c>
      <c r="L774" t="b">
        <v>0</v>
      </c>
    </row>
    <row r="775" spans="1:12" x14ac:dyDescent="0.25">
      <c r="A775" t="s">
        <v>3948</v>
      </c>
      <c r="B775" t="s">
        <v>2232</v>
      </c>
      <c r="C775" t="s">
        <v>3034</v>
      </c>
      <c r="D775" s="1">
        <v>46030.699097222219</v>
      </c>
      <c r="E775">
        <v>2118.54</v>
      </c>
      <c r="F775">
        <v>61.74</v>
      </c>
      <c r="G775">
        <v>2056.8000000000002</v>
      </c>
      <c r="H775" t="s">
        <v>25</v>
      </c>
      <c r="I775" t="s">
        <v>3904</v>
      </c>
      <c r="J775" t="s">
        <v>3036</v>
      </c>
      <c r="K775">
        <v>2118.54</v>
      </c>
      <c r="L775" t="b">
        <v>0</v>
      </c>
    </row>
    <row r="776" spans="1:12" x14ac:dyDescent="0.25">
      <c r="A776" t="s">
        <v>3949</v>
      </c>
      <c r="B776" t="s">
        <v>2235</v>
      </c>
      <c r="C776" t="s">
        <v>3034</v>
      </c>
      <c r="D776" s="1">
        <v>46031.820127314815</v>
      </c>
      <c r="E776">
        <v>934.22</v>
      </c>
      <c r="F776">
        <v>27.39</v>
      </c>
      <c r="G776">
        <v>906.83</v>
      </c>
      <c r="H776" t="s">
        <v>25</v>
      </c>
      <c r="I776" t="s">
        <v>3930</v>
      </c>
      <c r="J776" t="s">
        <v>3036</v>
      </c>
      <c r="K776">
        <v>934.22</v>
      </c>
      <c r="L776" t="b">
        <v>0</v>
      </c>
    </row>
    <row r="777" spans="1:12" x14ac:dyDescent="0.25">
      <c r="A777" t="s">
        <v>3950</v>
      </c>
      <c r="B777" t="s">
        <v>2238</v>
      </c>
      <c r="C777" t="s">
        <v>3034</v>
      </c>
      <c r="D777" s="1">
        <v>46032.8828125</v>
      </c>
      <c r="E777">
        <v>621.07000000000005</v>
      </c>
      <c r="F777">
        <v>18.309999999999999</v>
      </c>
      <c r="G777">
        <v>602.76</v>
      </c>
      <c r="H777" t="s">
        <v>25</v>
      </c>
      <c r="I777" t="s">
        <v>3932</v>
      </c>
      <c r="J777" t="s">
        <v>3036</v>
      </c>
      <c r="K777">
        <v>621.07000000000005</v>
      </c>
      <c r="L777" t="b">
        <v>0</v>
      </c>
    </row>
    <row r="778" spans="1:12" x14ac:dyDescent="0.25">
      <c r="A778" t="s">
        <v>3951</v>
      </c>
      <c r="B778" t="s">
        <v>2241</v>
      </c>
      <c r="C778" t="s">
        <v>3034</v>
      </c>
      <c r="D778" s="1">
        <v>46034.000844907408</v>
      </c>
      <c r="E778">
        <v>1733</v>
      </c>
      <c r="F778">
        <v>50.56</v>
      </c>
      <c r="G778">
        <v>1682.44</v>
      </c>
      <c r="H778" t="s">
        <v>25</v>
      </c>
      <c r="I778" t="s">
        <v>3952</v>
      </c>
      <c r="J778" t="s">
        <v>3036</v>
      </c>
      <c r="K778">
        <v>1733</v>
      </c>
      <c r="L778" t="b">
        <v>0</v>
      </c>
    </row>
    <row r="779" spans="1:12" x14ac:dyDescent="0.25">
      <c r="A779" t="s">
        <v>3953</v>
      </c>
      <c r="B779" t="s">
        <v>2244</v>
      </c>
      <c r="C779" t="s">
        <v>3034</v>
      </c>
      <c r="D779" s="1">
        <v>46035.098587962966</v>
      </c>
      <c r="E779">
        <v>455.6</v>
      </c>
      <c r="F779">
        <v>13.51</v>
      </c>
      <c r="G779">
        <v>442.09</v>
      </c>
      <c r="H779" t="s">
        <v>52</v>
      </c>
      <c r="I779" t="s">
        <v>3954</v>
      </c>
      <c r="J779" t="s">
        <v>3036</v>
      </c>
      <c r="K779">
        <v>455.6</v>
      </c>
      <c r="L779" t="b">
        <v>0</v>
      </c>
    </row>
    <row r="780" spans="1:12" x14ac:dyDescent="0.25">
      <c r="A780" t="s">
        <v>3955</v>
      </c>
      <c r="B780" t="s">
        <v>2247</v>
      </c>
      <c r="C780" t="s">
        <v>3034</v>
      </c>
      <c r="D780" s="1">
        <v>46036.16375</v>
      </c>
      <c r="E780">
        <v>1922.81</v>
      </c>
      <c r="F780">
        <v>56.06</v>
      </c>
      <c r="G780">
        <v>1866.75</v>
      </c>
      <c r="H780" t="s">
        <v>19</v>
      </c>
      <c r="I780" t="s">
        <v>3956</v>
      </c>
      <c r="J780" t="s">
        <v>3036</v>
      </c>
      <c r="K780">
        <v>1922.81</v>
      </c>
      <c r="L780" t="b">
        <v>0</v>
      </c>
    </row>
    <row r="781" spans="1:12" x14ac:dyDescent="0.25">
      <c r="A781" t="s">
        <v>3957</v>
      </c>
      <c r="B781" t="s">
        <v>2250</v>
      </c>
      <c r="C781" t="s">
        <v>3034</v>
      </c>
      <c r="D781" s="1">
        <v>46036.25886574074</v>
      </c>
      <c r="E781">
        <v>2144.38</v>
      </c>
      <c r="F781">
        <v>62.49</v>
      </c>
      <c r="G781">
        <v>2081.89</v>
      </c>
      <c r="H781" t="s">
        <v>25</v>
      </c>
      <c r="I781" t="s">
        <v>3916</v>
      </c>
      <c r="J781" t="s">
        <v>3036</v>
      </c>
      <c r="K781">
        <v>2144.38</v>
      </c>
      <c r="L781" t="b">
        <v>0</v>
      </c>
    </row>
    <row r="782" spans="1:12" x14ac:dyDescent="0.25">
      <c r="A782" t="s">
        <v>3958</v>
      </c>
      <c r="B782" t="s">
        <v>2253</v>
      </c>
      <c r="C782" t="s">
        <v>3034</v>
      </c>
      <c r="D782" s="1">
        <v>46023.34642361111</v>
      </c>
      <c r="E782">
        <v>242.59</v>
      </c>
      <c r="F782">
        <v>7.34</v>
      </c>
      <c r="G782">
        <v>235.25</v>
      </c>
      <c r="H782" t="s">
        <v>25</v>
      </c>
      <c r="I782" t="s">
        <v>3918</v>
      </c>
      <c r="J782" t="s">
        <v>3036</v>
      </c>
      <c r="K782">
        <v>242.59</v>
      </c>
      <c r="L782" t="b">
        <v>0</v>
      </c>
    </row>
    <row r="783" spans="1:12" x14ac:dyDescent="0.25">
      <c r="A783" t="s">
        <v>3959</v>
      </c>
      <c r="B783" t="s">
        <v>2256</v>
      </c>
      <c r="C783" t="s">
        <v>3034</v>
      </c>
      <c r="D783" s="1">
        <v>46024.458101851851</v>
      </c>
      <c r="E783">
        <v>1040.1099999999999</v>
      </c>
      <c r="F783">
        <v>30.46</v>
      </c>
      <c r="G783">
        <v>1009.65</v>
      </c>
      <c r="H783" t="s">
        <v>25</v>
      </c>
      <c r="I783" t="s">
        <v>3890</v>
      </c>
      <c r="J783" t="s">
        <v>3036</v>
      </c>
      <c r="K783">
        <v>1040.1099999999999</v>
      </c>
      <c r="L783" t="b">
        <v>0</v>
      </c>
    </row>
    <row r="784" spans="1:12" x14ac:dyDescent="0.25">
      <c r="A784" t="s">
        <v>3960</v>
      </c>
      <c r="B784" t="s">
        <v>2259</v>
      </c>
      <c r="C784" t="s">
        <v>3034</v>
      </c>
      <c r="D784" s="1">
        <v>46025.522604166668</v>
      </c>
      <c r="E784">
        <v>815.25</v>
      </c>
      <c r="F784">
        <v>23.94</v>
      </c>
      <c r="G784">
        <v>791.31</v>
      </c>
      <c r="H784" t="s">
        <v>25</v>
      </c>
      <c r="I784" t="s">
        <v>3894</v>
      </c>
      <c r="J784" t="s">
        <v>3036</v>
      </c>
      <c r="K784">
        <v>815.25</v>
      </c>
      <c r="L784" t="b">
        <v>0</v>
      </c>
    </row>
    <row r="785" spans="1:12" x14ac:dyDescent="0.25">
      <c r="A785" t="s">
        <v>3961</v>
      </c>
      <c r="B785" t="s">
        <v>2262</v>
      </c>
      <c r="C785" t="s">
        <v>3034</v>
      </c>
      <c r="D785" s="1">
        <v>46026.635439814818</v>
      </c>
      <c r="E785">
        <v>764.09</v>
      </c>
      <c r="F785">
        <v>22.46</v>
      </c>
      <c r="G785">
        <v>741.63</v>
      </c>
      <c r="H785" t="s">
        <v>25</v>
      </c>
      <c r="I785" t="s">
        <v>3896</v>
      </c>
      <c r="J785" t="s">
        <v>3036</v>
      </c>
      <c r="K785">
        <v>764.09</v>
      </c>
      <c r="L785" t="b">
        <v>0</v>
      </c>
    </row>
    <row r="786" spans="1:12" x14ac:dyDescent="0.25">
      <c r="A786" t="s">
        <v>3962</v>
      </c>
      <c r="B786" t="s">
        <v>2262</v>
      </c>
      <c r="C786" t="s">
        <v>3076</v>
      </c>
      <c r="D786" s="1">
        <v>46027.628495370373</v>
      </c>
      <c r="E786">
        <v>-764.09</v>
      </c>
      <c r="F786">
        <v>0</v>
      </c>
      <c r="G786">
        <v>-764.09</v>
      </c>
      <c r="H786" t="s">
        <v>25</v>
      </c>
      <c r="I786" t="s">
        <v>3963</v>
      </c>
      <c r="J786" t="s">
        <v>3036</v>
      </c>
      <c r="K786">
        <v>-764.09</v>
      </c>
      <c r="L786" t="b">
        <v>0</v>
      </c>
    </row>
    <row r="787" spans="1:12" x14ac:dyDescent="0.25">
      <c r="A787" t="s">
        <v>3964</v>
      </c>
      <c r="B787" t="s">
        <v>2265</v>
      </c>
      <c r="C787" t="s">
        <v>3034</v>
      </c>
      <c r="D787" s="1">
        <v>46027.733761574076</v>
      </c>
      <c r="E787">
        <v>994.4</v>
      </c>
      <c r="F787">
        <v>29.14</v>
      </c>
      <c r="G787">
        <v>965.26</v>
      </c>
      <c r="H787" t="s">
        <v>25</v>
      </c>
      <c r="I787" t="s">
        <v>3923</v>
      </c>
      <c r="J787" t="s">
        <v>3036</v>
      </c>
      <c r="K787">
        <v>994.4</v>
      </c>
      <c r="L787" t="b">
        <v>0</v>
      </c>
    </row>
    <row r="788" spans="1:12" x14ac:dyDescent="0.25">
      <c r="A788" t="s">
        <v>3965</v>
      </c>
      <c r="B788" t="s">
        <v>2268</v>
      </c>
      <c r="C788" t="s">
        <v>3034</v>
      </c>
      <c r="D788" s="1">
        <v>46028.799953703703</v>
      </c>
      <c r="E788">
        <v>1499.32</v>
      </c>
      <c r="F788">
        <v>43.78</v>
      </c>
      <c r="G788">
        <v>1455.54</v>
      </c>
      <c r="H788" t="s">
        <v>25</v>
      </c>
      <c r="I788" t="s">
        <v>3900</v>
      </c>
      <c r="J788" t="s">
        <v>3036</v>
      </c>
      <c r="K788">
        <v>1499.32</v>
      </c>
      <c r="L788" t="b">
        <v>0</v>
      </c>
    </row>
    <row r="789" spans="1:12" x14ac:dyDescent="0.25">
      <c r="A789" t="s">
        <v>3966</v>
      </c>
      <c r="B789" t="s">
        <v>2271</v>
      </c>
      <c r="C789" t="s">
        <v>3034</v>
      </c>
      <c r="D789" s="1">
        <v>46029.915613425925</v>
      </c>
      <c r="E789">
        <v>760.04</v>
      </c>
      <c r="F789">
        <v>22.34</v>
      </c>
      <c r="G789">
        <v>737.7</v>
      </c>
      <c r="H789" t="s">
        <v>25</v>
      </c>
      <c r="I789" t="s">
        <v>3902</v>
      </c>
      <c r="J789" t="s">
        <v>3036</v>
      </c>
      <c r="K789">
        <v>760.04</v>
      </c>
      <c r="L789" t="b">
        <v>0</v>
      </c>
    </row>
    <row r="790" spans="1:12" x14ac:dyDescent="0.25">
      <c r="A790" t="s">
        <v>3967</v>
      </c>
      <c r="B790" t="s">
        <v>2274</v>
      </c>
      <c r="C790" t="s">
        <v>3034</v>
      </c>
      <c r="D790" s="1">
        <v>46030.999108796299</v>
      </c>
      <c r="E790">
        <v>153.87</v>
      </c>
      <c r="F790">
        <v>4.76</v>
      </c>
      <c r="G790">
        <v>149.11000000000001</v>
      </c>
      <c r="H790" t="s">
        <v>52</v>
      </c>
      <c r="I790" t="s">
        <v>3968</v>
      </c>
      <c r="J790" t="s">
        <v>3036</v>
      </c>
      <c r="K790">
        <v>153.87</v>
      </c>
      <c r="L790" t="b">
        <v>0</v>
      </c>
    </row>
    <row r="791" spans="1:12" x14ac:dyDescent="0.25">
      <c r="A791" t="s">
        <v>3969</v>
      </c>
      <c r="B791" t="s">
        <v>2277</v>
      </c>
      <c r="C791" t="s">
        <v>3034</v>
      </c>
      <c r="D791" s="1">
        <v>46032.080706018518</v>
      </c>
      <c r="E791">
        <v>1070.48</v>
      </c>
      <c r="F791">
        <v>31.34</v>
      </c>
      <c r="G791">
        <v>1039.1400000000001</v>
      </c>
      <c r="H791" t="s">
        <v>19</v>
      </c>
      <c r="I791" t="s">
        <v>3970</v>
      </c>
      <c r="J791" t="s">
        <v>3036</v>
      </c>
      <c r="K791">
        <v>1070.48</v>
      </c>
      <c r="L791" t="b">
        <v>0</v>
      </c>
    </row>
    <row r="792" spans="1:12" x14ac:dyDescent="0.25">
      <c r="A792" t="s">
        <v>3971</v>
      </c>
      <c r="B792" t="s">
        <v>2277</v>
      </c>
      <c r="C792" t="s">
        <v>3076</v>
      </c>
      <c r="D792" s="1">
        <v>46033.073761574073</v>
      </c>
      <c r="E792">
        <v>-1070.48</v>
      </c>
      <c r="F792">
        <v>0</v>
      </c>
      <c r="G792">
        <v>-1070.48</v>
      </c>
      <c r="H792" t="s">
        <v>19</v>
      </c>
      <c r="I792" t="s">
        <v>3972</v>
      </c>
      <c r="J792" t="s">
        <v>3036</v>
      </c>
      <c r="K792">
        <v>-1070.48</v>
      </c>
      <c r="L792" t="b">
        <v>0</v>
      </c>
    </row>
    <row r="793" spans="1:12" x14ac:dyDescent="0.25">
      <c r="A793" t="s">
        <v>3973</v>
      </c>
      <c r="B793" t="s">
        <v>2280</v>
      </c>
      <c r="C793" t="s">
        <v>3034</v>
      </c>
      <c r="D793" s="1">
        <v>46033.187164351853</v>
      </c>
      <c r="E793">
        <v>693.13</v>
      </c>
      <c r="F793">
        <v>20.399999999999999</v>
      </c>
      <c r="G793">
        <v>672.73</v>
      </c>
      <c r="H793" t="s">
        <v>25</v>
      </c>
      <c r="I793" t="s">
        <v>3974</v>
      </c>
      <c r="J793" t="s">
        <v>3036</v>
      </c>
      <c r="K793">
        <v>693.13</v>
      </c>
      <c r="L793" t="b">
        <v>0</v>
      </c>
    </row>
    <row r="794" spans="1:12" x14ac:dyDescent="0.25">
      <c r="A794" t="s">
        <v>3975</v>
      </c>
      <c r="B794" t="s">
        <v>2283</v>
      </c>
      <c r="C794" t="s">
        <v>3034</v>
      </c>
      <c r="D794" s="1">
        <v>46033.279444444444</v>
      </c>
      <c r="E794">
        <v>83.36</v>
      </c>
      <c r="F794">
        <v>2.72</v>
      </c>
      <c r="G794">
        <v>80.64</v>
      </c>
      <c r="H794" t="s">
        <v>25</v>
      </c>
      <c r="I794" t="s">
        <v>3934</v>
      </c>
      <c r="J794" t="s">
        <v>3036</v>
      </c>
      <c r="K794">
        <v>83.36</v>
      </c>
      <c r="L794" t="b">
        <v>0</v>
      </c>
    </row>
    <row r="795" spans="1:12" x14ac:dyDescent="0.25">
      <c r="A795" t="s">
        <v>3976</v>
      </c>
      <c r="B795" t="s">
        <v>2286</v>
      </c>
      <c r="C795" t="s">
        <v>3034</v>
      </c>
      <c r="D795" s="1">
        <v>46034.355162037034</v>
      </c>
      <c r="E795">
        <v>1081.3900000000001</v>
      </c>
      <c r="F795">
        <v>31.66</v>
      </c>
      <c r="G795">
        <v>1049.73</v>
      </c>
      <c r="H795" t="s">
        <v>25</v>
      </c>
      <c r="I795" t="s">
        <v>3912</v>
      </c>
      <c r="J795" t="s">
        <v>3036</v>
      </c>
      <c r="K795">
        <v>1081.3900000000001</v>
      </c>
      <c r="L795" t="b">
        <v>0</v>
      </c>
    </row>
    <row r="796" spans="1:12" x14ac:dyDescent="0.25">
      <c r="A796" t="s">
        <v>3977</v>
      </c>
      <c r="B796" t="s">
        <v>2289</v>
      </c>
      <c r="C796" t="s">
        <v>3034</v>
      </c>
      <c r="D796" s="1">
        <v>46035.462534722225</v>
      </c>
      <c r="E796">
        <v>1712.52</v>
      </c>
      <c r="F796">
        <v>49.96</v>
      </c>
      <c r="G796">
        <v>1662.56</v>
      </c>
      <c r="H796" t="s">
        <v>25</v>
      </c>
      <c r="I796" t="s">
        <v>3914</v>
      </c>
      <c r="J796" t="s">
        <v>3036</v>
      </c>
      <c r="K796">
        <v>1712.52</v>
      </c>
      <c r="L796" t="b">
        <v>0</v>
      </c>
    </row>
    <row r="797" spans="1:12" x14ac:dyDescent="0.25">
      <c r="A797" t="s">
        <v>3978</v>
      </c>
      <c r="B797" t="s">
        <v>2292</v>
      </c>
      <c r="C797" t="s">
        <v>3034</v>
      </c>
      <c r="D797" s="1">
        <v>46036.531782407408</v>
      </c>
      <c r="E797">
        <v>1273.19</v>
      </c>
      <c r="F797">
        <v>37.22</v>
      </c>
      <c r="G797">
        <v>1235.97</v>
      </c>
      <c r="H797" t="s">
        <v>25</v>
      </c>
      <c r="I797" t="s">
        <v>3916</v>
      </c>
      <c r="J797" t="s">
        <v>3036</v>
      </c>
      <c r="K797">
        <v>1273.19</v>
      </c>
      <c r="L797" t="b">
        <v>0</v>
      </c>
    </row>
    <row r="798" spans="1:12" x14ac:dyDescent="0.25">
      <c r="A798" t="s">
        <v>3979</v>
      </c>
      <c r="B798" t="s">
        <v>2295</v>
      </c>
      <c r="C798" t="s">
        <v>3034</v>
      </c>
      <c r="D798" s="1">
        <v>46023.640983796293</v>
      </c>
      <c r="E798">
        <v>311.19</v>
      </c>
      <c r="F798">
        <v>9.32</v>
      </c>
      <c r="G798">
        <v>301.87</v>
      </c>
      <c r="H798" t="s">
        <v>25</v>
      </c>
      <c r="I798" t="s">
        <v>3918</v>
      </c>
      <c r="J798" t="s">
        <v>3036</v>
      </c>
      <c r="K798">
        <v>311.19</v>
      </c>
      <c r="L798" t="b">
        <v>0</v>
      </c>
    </row>
    <row r="799" spans="1:12" x14ac:dyDescent="0.25">
      <c r="A799" t="s">
        <v>3980</v>
      </c>
      <c r="B799" t="s">
        <v>2298</v>
      </c>
      <c r="C799" t="s">
        <v>3034</v>
      </c>
      <c r="D799" s="1">
        <v>46024.711655092593</v>
      </c>
      <c r="E799">
        <v>993.75</v>
      </c>
      <c r="F799">
        <v>29.12</v>
      </c>
      <c r="G799">
        <v>964.63</v>
      </c>
      <c r="H799" t="s">
        <v>25</v>
      </c>
      <c r="I799" t="s">
        <v>3981</v>
      </c>
      <c r="J799" t="s">
        <v>3036</v>
      </c>
      <c r="K799">
        <v>993.75</v>
      </c>
      <c r="L799" t="b">
        <v>0</v>
      </c>
    </row>
    <row r="800" spans="1:12" x14ac:dyDescent="0.25">
      <c r="A800" t="s">
        <v>3982</v>
      </c>
      <c r="B800" t="s">
        <v>2301</v>
      </c>
      <c r="C800" t="s">
        <v>3034</v>
      </c>
      <c r="D800" s="1">
        <v>46025.825613425928</v>
      </c>
      <c r="E800">
        <v>1958.41</v>
      </c>
      <c r="F800">
        <v>57.09</v>
      </c>
      <c r="G800">
        <v>1901.32</v>
      </c>
      <c r="H800" t="s">
        <v>25</v>
      </c>
      <c r="I800" t="s">
        <v>3894</v>
      </c>
      <c r="J800" t="s">
        <v>3036</v>
      </c>
      <c r="K800">
        <v>1958.41</v>
      </c>
      <c r="L800" t="b">
        <v>0</v>
      </c>
    </row>
    <row r="801" spans="1:12" x14ac:dyDescent="0.25">
      <c r="A801" t="s">
        <v>3983</v>
      </c>
      <c r="B801" t="s">
        <v>2304</v>
      </c>
      <c r="C801" t="s">
        <v>3034</v>
      </c>
      <c r="D801" s="1">
        <v>46026.907025462962</v>
      </c>
      <c r="E801">
        <v>82.57</v>
      </c>
      <c r="F801">
        <v>2.69</v>
      </c>
      <c r="G801">
        <v>79.88</v>
      </c>
      <c r="H801" t="s">
        <v>52</v>
      </c>
      <c r="I801" t="s">
        <v>3984</v>
      </c>
      <c r="J801" t="s">
        <v>3036</v>
      </c>
      <c r="K801">
        <v>82.57</v>
      </c>
      <c r="L801" t="b">
        <v>0</v>
      </c>
    </row>
    <row r="802" spans="1:12" x14ac:dyDescent="0.25">
      <c r="A802" t="s">
        <v>3985</v>
      </c>
      <c r="B802" t="s">
        <v>2307</v>
      </c>
      <c r="C802" t="s">
        <v>3034</v>
      </c>
      <c r="D802" s="1">
        <v>46027.994872685187</v>
      </c>
      <c r="E802">
        <v>2322.2600000000002</v>
      </c>
      <c r="F802">
        <v>67.650000000000006</v>
      </c>
      <c r="G802">
        <v>2254.61</v>
      </c>
      <c r="H802" t="s">
        <v>19</v>
      </c>
      <c r="I802" t="s">
        <v>3986</v>
      </c>
      <c r="J802" t="s">
        <v>3036</v>
      </c>
      <c r="K802">
        <v>2322.2600000000002</v>
      </c>
      <c r="L802" t="b">
        <v>0</v>
      </c>
    </row>
    <row r="803" spans="1:12" x14ac:dyDescent="0.25">
      <c r="A803" t="s">
        <v>3987</v>
      </c>
      <c r="B803" t="s">
        <v>2310</v>
      </c>
      <c r="C803" t="s">
        <v>3034</v>
      </c>
      <c r="D803" s="1">
        <v>46029.102314814816</v>
      </c>
      <c r="E803">
        <v>1351.59</v>
      </c>
      <c r="F803">
        <v>39.5</v>
      </c>
      <c r="G803">
        <v>1312.09</v>
      </c>
      <c r="H803" t="s">
        <v>25</v>
      </c>
      <c r="I803" t="s">
        <v>3900</v>
      </c>
      <c r="J803" t="s">
        <v>3036</v>
      </c>
      <c r="K803">
        <v>1351.59</v>
      </c>
      <c r="L803" t="b">
        <v>0</v>
      </c>
    </row>
    <row r="804" spans="1:12" x14ac:dyDescent="0.25">
      <c r="A804" t="s">
        <v>3988</v>
      </c>
      <c r="B804" t="s">
        <v>2313</v>
      </c>
      <c r="C804" t="s">
        <v>3034</v>
      </c>
      <c r="D804" s="1">
        <v>46030.198113425926</v>
      </c>
      <c r="E804">
        <v>51.36</v>
      </c>
      <c r="F804">
        <v>1.79</v>
      </c>
      <c r="G804">
        <v>49.57</v>
      </c>
      <c r="H804" t="s">
        <v>25</v>
      </c>
      <c r="I804" t="s">
        <v>3902</v>
      </c>
      <c r="J804" t="s">
        <v>3036</v>
      </c>
      <c r="K804">
        <v>51.36</v>
      </c>
      <c r="L804" t="b">
        <v>0</v>
      </c>
    </row>
    <row r="805" spans="1:12" x14ac:dyDescent="0.25">
      <c r="A805" t="s">
        <v>3989</v>
      </c>
      <c r="B805" t="s">
        <v>2316</v>
      </c>
      <c r="C805" t="s">
        <v>3034</v>
      </c>
      <c r="D805" s="1">
        <v>46030.294814814813</v>
      </c>
      <c r="E805">
        <v>1484.46</v>
      </c>
      <c r="F805">
        <v>43.35</v>
      </c>
      <c r="G805">
        <v>1441.11</v>
      </c>
      <c r="H805" t="s">
        <v>25</v>
      </c>
      <c r="I805" t="s">
        <v>3990</v>
      </c>
      <c r="J805" t="s">
        <v>3036</v>
      </c>
      <c r="K805">
        <v>1484.46</v>
      </c>
      <c r="L805" t="b">
        <v>0</v>
      </c>
    </row>
    <row r="806" spans="1:12" x14ac:dyDescent="0.25">
      <c r="A806" t="s">
        <v>3991</v>
      </c>
      <c r="B806" t="s">
        <v>2319</v>
      </c>
      <c r="C806" t="s">
        <v>3034</v>
      </c>
      <c r="D806" s="1">
        <v>46031.363807870373</v>
      </c>
      <c r="E806">
        <v>1933.98</v>
      </c>
      <c r="F806">
        <v>56.39</v>
      </c>
      <c r="G806">
        <v>1877.59</v>
      </c>
      <c r="H806" t="s">
        <v>52</v>
      </c>
      <c r="I806" t="s">
        <v>3992</v>
      </c>
      <c r="J806" t="s">
        <v>3036</v>
      </c>
      <c r="K806">
        <v>1933.98</v>
      </c>
      <c r="L806" t="b">
        <v>0</v>
      </c>
    </row>
    <row r="807" spans="1:12" x14ac:dyDescent="0.25">
      <c r="A807" t="s">
        <v>3993</v>
      </c>
      <c r="B807" t="s">
        <v>2322</v>
      </c>
      <c r="C807" t="s">
        <v>3034</v>
      </c>
      <c r="D807" s="1">
        <v>46032.484699074077</v>
      </c>
      <c r="E807">
        <v>1989.9</v>
      </c>
      <c r="F807">
        <v>58.01</v>
      </c>
      <c r="G807">
        <v>1931.89</v>
      </c>
      <c r="H807" t="s">
        <v>25</v>
      </c>
      <c r="I807" t="s">
        <v>3932</v>
      </c>
      <c r="J807" t="s">
        <v>3036</v>
      </c>
      <c r="K807">
        <v>1989.9</v>
      </c>
      <c r="L807" t="b">
        <v>0</v>
      </c>
    </row>
    <row r="808" spans="1:12" x14ac:dyDescent="0.25">
      <c r="A808" t="s">
        <v>3994</v>
      </c>
      <c r="B808" t="s">
        <v>2325</v>
      </c>
      <c r="C808" t="s">
        <v>3034</v>
      </c>
      <c r="D808" s="1">
        <v>46033.558032407411</v>
      </c>
      <c r="E808">
        <v>191.22</v>
      </c>
      <c r="F808">
        <v>5.85</v>
      </c>
      <c r="G808">
        <v>185.37</v>
      </c>
      <c r="H808" t="s">
        <v>25</v>
      </c>
      <c r="I808" t="s">
        <v>3934</v>
      </c>
      <c r="J808" t="s">
        <v>3036</v>
      </c>
      <c r="K808">
        <v>191.22</v>
      </c>
      <c r="L808" t="b">
        <v>0</v>
      </c>
    </row>
    <row r="809" spans="1:12" x14ac:dyDescent="0.25">
      <c r="A809" t="s">
        <v>3995</v>
      </c>
      <c r="B809" t="s">
        <v>2328</v>
      </c>
      <c r="C809" t="s">
        <v>3034</v>
      </c>
      <c r="D809" s="1">
        <v>46034.666770833333</v>
      </c>
      <c r="E809">
        <v>1271.51</v>
      </c>
      <c r="F809">
        <v>37.17</v>
      </c>
      <c r="G809">
        <v>1234.3399999999999</v>
      </c>
      <c r="H809" t="s">
        <v>25</v>
      </c>
      <c r="I809" t="s">
        <v>3912</v>
      </c>
      <c r="J809" t="s">
        <v>3036</v>
      </c>
      <c r="K809">
        <v>1271.51</v>
      </c>
      <c r="L809" t="b">
        <v>0</v>
      </c>
    </row>
    <row r="810" spans="1:12" x14ac:dyDescent="0.25">
      <c r="A810" t="s">
        <v>3996</v>
      </c>
      <c r="B810" t="s">
        <v>2331</v>
      </c>
      <c r="C810" t="s">
        <v>3034</v>
      </c>
      <c r="D810" s="1">
        <v>46035.750752314816</v>
      </c>
      <c r="E810">
        <v>2242.71</v>
      </c>
      <c r="F810">
        <v>65.34</v>
      </c>
      <c r="G810">
        <v>2177.37</v>
      </c>
      <c r="H810" t="s">
        <v>25</v>
      </c>
      <c r="I810" t="s">
        <v>3914</v>
      </c>
      <c r="J810" t="s">
        <v>3036</v>
      </c>
      <c r="K810">
        <v>2242.71</v>
      </c>
      <c r="L810" t="b">
        <v>0</v>
      </c>
    </row>
    <row r="811" spans="1:12" x14ac:dyDescent="0.25">
      <c r="A811" t="s">
        <v>3997</v>
      </c>
      <c r="B811" t="s">
        <v>2334</v>
      </c>
      <c r="C811" t="s">
        <v>3034</v>
      </c>
      <c r="D811" s="1">
        <v>46036.833564814813</v>
      </c>
      <c r="E811">
        <v>1258.02</v>
      </c>
      <c r="F811">
        <v>36.78</v>
      </c>
      <c r="G811">
        <v>1221.24</v>
      </c>
      <c r="H811" t="s">
        <v>52</v>
      </c>
      <c r="I811" t="s">
        <v>3998</v>
      </c>
      <c r="J811" t="s">
        <v>3036</v>
      </c>
      <c r="K811">
        <v>1258.02</v>
      </c>
      <c r="L811" t="b">
        <v>0</v>
      </c>
    </row>
    <row r="812" spans="1:12" x14ac:dyDescent="0.25">
      <c r="A812" t="s">
        <v>3999</v>
      </c>
      <c r="B812" t="s">
        <v>2337</v>
      </c>
      <c r="C812" t="s">
        <v>3034</v>
      </c>
      <c r="D812" s="1">
        <v>46023.909756944442</v>
      </c>
      <c r="E812">
        <v>2393.19</v>
      </c>
      <c r="F812">
        <v>69.7</v>
      </c>
      <c r="G812">
        <v>2323.4899999999998</v>
      </c>
      <c r="H812" t="s">
        <v>19</v>
      </c>
      <c r="I812" t="s">
        <v>3888</v>
      </c>
      <c r="J812" t="s">
        <v>3036</v>
      </c>
      <c r="K812">
        <v>2393.19</v>
      </c>
      <c r="L812" t="b">
        <v>0</v>
      </c>
    </row>
    <row r="813" spans="1:12" x14ac:dyDescent="0.25">
      <c r="A813" t="s">
        <v>4000</v>
      </c>
      <c r="B813" t="s">
        <v>2340</v>
      </c>
      <c r="C813" t="s">
        <v>3034</v>
      </c>
      <c r="D813" s="1">
        <v>46025.001759259256</v>
      </c>
      <c r="E813">
        <v>198.13</v>
      </c>
      <c r="F813">
        <v>6.05</v>
      </c>
      <c r="G813">
        <v>192.08</v>
      </c>
      <c r="H813" t="s">
        <v>25</v>
      </c>
      <c r="I813" t="s">
        <v>3890</v>
      </c>
      <c r="J813" t="s">
        <v>3036</v>
      </c>
      <c r="K813">
        <v>198.13</v>
      </c>
      <c r="L813" t="b">
        <v>0</v>
      </c>
    </row>
    <row r="814" spans="1:12" x14ac:dyDescent="0.25">
      <c r="A814" t="s">
        <v>4001</v>
      </c>
      <c r="B814" t="s">
        <v>2343</v>
      </c>
      <c r="C814" t="s">
        <v>3034</v>
      </c>
      <c r="D814" s="1">
        <v>46026.118530092594</v>
      </c>
      <c r="E814">
        <v>838.92</v>
      </c>
      <c r="F814">
        <v>24.63</v>
      </c>
      <c r="G814">
        <v>814.29</v>
      </c>
      <c r="H814" t="s">
        <v>25</v>
      </c>
      <c r="I814" t="s">
        <v>3894</v>
      </c>
      <c r="J814" t="s">
        <v>3036</v>
      </c>
      <c r="K814">
        <v>838.92</v>
      </c>
      <c r="L814" t="b">
        <v>0</v>
      </c>
    </row>
    <row r="815" spans="1:12" x14ac:dyDescent="0.25">
      <c r="A815" t="s">
        <v>4002</v>
      </c>
      <c r="B815" t="s">
        <v>2346</v>
      </c>
      <c r="C815" t="s">
        <v>3034</v>
      </c>
      <c r="D815" s="1">
        <v>46027.199884259258</v>
      </c>
      <c r="E815">
        <v>226.38</v>
      </c>
      <c r="F815">
        <v>6.87</v>
      </c>
      <c r="G815">
        <v>219.51</v>
      </c>
      <c r="H815" t="s">
        <v>25</v>
      </c>
      <c r="I815" t="s">
        <v>3896</v>
      </c>
      <c r="J815" t="s">
        <v>3036</v>
      </c>
      <c r="K815">
        <v>226.38</v>
      </c>
      <c r="L815" t="b">
        <v>0</v>
      </c>
    </row>
    <row r="816" spans="1:12" x14ac:dyDescent="0.25">
      <c r="A816" t="s">
        <v>4003</v>
      </c>
      <c r="B816" t="s">
        <v>2349</v>
      </c>
      <c r="C816" t="s">
        <v>3034</v>
      </c>
      <c r="D816" s="1">
        <v>46027.297569444447</v>
      </c>
      <c r="E816">
        <v>1912.86</v>
      </c>
      <c r="F816">
        <v>55.77</v>
      </c>
      <c r="G816">
        <v>1857.09</v>
      </c>
      <c r="H816" t="s">
        <v>25</v>
      </c>
      <c r="I816" t="s">
        <v>3923</v>
      </c>
      <c r="J816" t="s">
        <v>3036</v>
      </c>
      <c r="K816">
        <v>1912.86</v>
      </c>
      <c r="L816" t="b">
        <v>0</v>
      </c>
    </row>
    <row r="817" spans="1:12" x14ac:dyDescent="0.25">
      <c r="A817" t="s">
        <v>4004</v>
      </c>
      <c r="B817" t="s">
        <v>2352</v>
      </c>
      <c r="C817" t="s">
        <v>3034</v>
      </c>
      <c r="D817" s="1">
        <v>46028.382962962962</v>
      </c>
      <c r="E817">
        <v>953.64</v>
      </c>
      <c r="F817">
        <v>27.96</v>
      </c>
      <c r="G817">
        <v>925.68</v>
      </c>
      <c r="H817" t="s">
        <v>25</v>
      </c>
      <c r="I817" t="s">
        <v>3900</v>
      </c>
      <c r="J817" t="s">
        <v>3036</v>
      </c>
      <c r="K817">
        <v>953.64</v>
      </c>
      <c r="L817" t="b">
        <v>0</v>
      </c>
    </row>
    <row r="818" spans="1:12" x14ac:dyDescent="0.25">
      <c r="A818" t="s">
        <v>4005</v>
      </c>
      <c r="B818" t="s">
        <v>2355</v>
      </c>
      <c r="C818" t="s">
        <v>3034</v>
      </c>
      <c r="D818" s="1">
        <v>46029.485243055555</v>
      </c>
      <c r="E818">
        <v>1436.31</v>
      </c>
      <c r="F818">
        <v>41.95</v>
      </c>
      <c r="G818">
        <v>1394.36</v>
      </c>
      <c r="H818" t="s">
        <v>25</v>
      </c>
      <c r="I818" t="s">
        <v>3902</v>
      </c>
      <c r="J818" t="s">
        <v>3036</v>
      </c>
      <c r="K818">
        <v>1436.31</v>
      </c>
      <c r="L818" t="b">
        <v>0</v>
      </c>
    </row>
    <row r="819" spans="1:12" x14ac:dyDescent="0.25">
      <c r="A819" t="s">
        <v>4006</v>
      </c>
      <c r="B819" t="s">
        <v>2358</v>
      </c>
      <c r="C819" t="s">
        <v>3034</v>
      </c>
      <c r="D819" s="1">
        <v>46030.562824074077</v>
      </c>
      <c r="E819">
        <v>83.03</v>
      </c>
      <c r="F819">
        <v>2.71</v>
      </c>
      <c r="G819">
        <v>80.319999999999993</v>
      </c>
      <c r="H819" t="s">
        <v>25</v>
      </c>
      <c r="I819" t="s">
        <v>3904</v>
      </c>
      <c r="J819" t="s">
        <v>3036</v>
      </c>
      <c r="K819">
        <v>83.03</v>
      </c>
      <c r="L819" t="b">
        <v>0</v>
      </c>
    </row>
    <row r="820" spans="1:12" x14ac:dyDescent="0.25">
      <c r="A820" t="s">
        <v>4007</v>
      </c>
      <c r="B820" t="s">
        <v>2361</v>
      </c>
      <c r="C820" t="s">
        <v>3034</v>
      </c>
      <c r="D820" s="1">
        <v>46031.666250000002</v>
      </c>
      <c r="E820">
        <v>1865.8</v>
      </c>
      <c r="F820">
        <v>54.41</v>
      </c>
      <c r="G820">
        <v>1811.39</v>
      </c>
      <c r="H820" t="s">
        <v>25</v>
      </c>
      <c r="I820" t="s">
        <v>3930</v>
      </c>
      <c r="J820" t="s">
        <v>3036</v>
      </c>
      <c r="K820">
        <v>1865.8</v>
      </c>
      <c r="L820" t="b">
        <v>0</v>
      </c>
    </row>
    <row r="821" spans="1:12" x14ac:dyDescent="0.25">
      <c r="A821" t="s">
        <v>4008</v>
      </c>
      <c r="B821" t="s">
        <v>2364</v>
      </c>
      <c r="C821" t="s">
        <v>3034</v>
      </c>
      <c r="D821" s="1">
        <v>46032.727384259262</v>
      </c>
      <c r="E821">
        <v>980.17</v>
      </c>
      <c r="F821">
        <v>28.72</v>
      </c>
      <c r="G821">
        <v>951.45</v>
      </c>
      <c r="H821" t="s">
        <v>52</v>
      </c>
      <c r="I821" t="s">
        <v>3908</v>
      </c>
      <c r="J821" t="s">
        <v>3036</v>
      </c>
      <c r="K821">
        <v>980.17</v>
      </c>
      <c r="L821" t="b">
        <v>0</v>
      </c>
    </row>
    <row r="822" spans="1:12" x14ac:dyDescent="0.25">
      <c r="A822" t="s">
        <v>4009</v>
      </c>
      <c r="B822" t="s">
        <v>2367</v>
      </c>
      <c r="C822" t="s">
        <v>3034</v>
      </c>
      <c r="D822" s="1">
        <v>46033.84</v>
      </c>
      <c r="E822">
        <v>914.15</v>
      </c>
      <c r="F822">
        <v>26.81</v>
      </c>
      <c r="G822">
        <v>887.34</v>
      </c>
      <c r="H822" t="s">
        <v>19</v>
      </c>
      <c r="I822" t="s">
        <v>3910</v>
      </c>
      <c r="J822" t="s">
        <v>3036</v>
      </c>
      <c r="K822">
        <v>914.15</v>
      </c>
      <c r="L822" t="b">
        <v>0</v>
      </c>
    </row>
    <row r="823" spans="1:12" x14ac:dyDescent="0.25">
      <c r="A823" t="s">
        <v>4010</v>
      </c>
      <c r="B823" t="s">
        <v>2370</v>
      </c>
      <c r="C823" t="s">
        <v>3034</v>
      </c>
      <c r="D823" s="1">
        <v>46034.940567129626</v>
      </c>
      <c r="E823">
        <v>1652.33</v>
      </c>
      <c r="F823">
        <v>48.22</v>
      </c>
      <c r="G823">
        <v>1604.11</v>
      </c>
      <c r="H823" t="s">
        <v>25</v>
      </c>
      <c r="I823" t="s">
        <v>3912</v>
      </c>
      <c r="J823" t="s">
        <v>3036</v>
      </c>
      <c r="K823">
        <v>1652.33</v>
      </c>
      <c r="L823" t="b">
        <v>0</v>
      </c>
    </row>
    <row r="824" spans="1:12" x14ac:dyDescent="0.25">
      <c r="A824" t="s">
        <v>4011</v>
      </c>
      <c r="B824" t="s">
        <v>2373</v>
      </c>
      <c r="C824" t="s">
        <v>3034</v>
      </c>
      <c r="D824" s="1">
        <v>46036.041747685187</v>
      </c>
      <c r="E824">
        <v>1722.14</v>
      </c>
      <c r="F824">
        <v>50.24</v>
      </c>
      <c r="G824">
        <v>1671.9</v>
      </c>
      <c r="H824" t="s">
        <v>25</v>
      </c>
      <c r="I824" t="s">
        <v>3914</v>
      </c>
      <c r="J824" t="s">
        <v>3036</v>
      </c>
      <c r="K824">
        <v>1722.14</v>
      </c>
      <c r="L824" t="b">
        <v>0</v>
      </c>
    </row>
    <row r="825" spans="1:12" x14ac:dyDescent="0.25">
      <c r="A825" t="s">
        <v>4012</v>
      </c>
      <c r="B825" t="s">
        <v>2376</v>
      </c>
      <c r="C825" t="s">
        <v>3034</v>
      </c>
      <c r="D825" s="1">
        <v>46037.112569444442</v>
      </c>
      <c r="E825">
        <v>907.35</v>
      </c>
      <c r="F825">
        <v>26.61</v>
      </c>
      <c r="G825">
        <v>880.74</v>
      </c>
      <c r="H825" t="s">
        <v>25</v>
      </c>
      <c r="I825" t="s">
        <v>3916</v>
      </c>
      <c r="J825" t="s">
        <v>3036</v>
      </c>
      <c r="K825">
        <v>907.35</v>
      </c>
      <c r="L825" t="b">
        <v>0</v>
      </c>
    </row>
    <row r="826" spans="1:12" x14ac:dyDescent="0.25">
      <c r="A826" t="s">
        <v>4013</v>
      </c>
      <c r="B826" t="s">
        <v>2379</v>
      </c>
      <c r="C826" t="s">
        <v>3034</v>
      </c>
      <c r="D826" s="1">
        <v>46024.197233796294</v>
      </c>
      <c r="E826">
        <v>130.83000000000001</v>
      </c>
      <c r="F826">
        <v>4.09</v>
      </c>
      <c r="G826">
        <v>126.74</v>
      </c>
      <c r="H826" t="s">
        <v>25</v>
      </c>
      <c r="I826" t="s">
        <v>3918</v>
      </c>
      <c r="J826" t="s">
        <v>3036</v>
      </c>
      <c r="K826">
        <v>130.83000000000001</v>
      </c>
      <c r="L826" t="b">
        <v>0</v>
      </c>
    </row>
    <row r="827" spans="1:12" x14ac:dyDescent="0.25">
      <c r="A827" t="s">
        <v>4014</v>
      </c>
      <c r="B827" t="s">
        <v>2382</v>
      </c>
      <c r="C827" t="s">
        <v>3034</v>
      </c>
      <c r="D827" s="1">
        <v>46024.30164351852</v>
      </c>
      <c r="E827">
        <v>2061</v>
      </c>
      <c r="F827">
        <v>60.07</v>
      </c>
      <c r="G827">
        <v>2000.93</v>
      </c>
      <c r="H827" t="s">
        <v>25</v>
      </c>
      <c r="I827" t="s">
        <v>3890</v>
      </c>
      <c r="J827" t="s">
        <v>3036</v>
      </c>
      <c r="K827">
        <v>2061</v>
      </c>
      <c r="L827" t="b">
        <v>0</v>
      </c>
    </row>
    <row r="828" spans="1:12" x14ac:dyDescent="0.25">
      <c r="A828" t="s">
        <v>4015</v>
      </c>
      <c r="B828" t="s">
        <v>2385</v>
      </c>
      <c r="C828" t="s">
        <v>3034</v>
      </c>
      <c r="D828" s="1">
        <v>46025.371134259258</v>
      </c>
      <c r="E828">
        <v>1029.48</v>
      </c>
      <c r="F828">
        <v>30.15</v>
      </c>
      <c r="G828">
        <v>999.33</v>
      </c>
      <c r="H828" t="s">
        <v>25</v>
      </c>
      <c r="I828" t="s">
        <v>3894</v>
      </c>
      <c r="J828" t="s">
        <v>3036</v>
      </c>
      <c r="K828">
        <v>1029.48</v>
      </c>
      <c r="L828" t="b">
        <v>0</v>
      </c>
    </row>
    <row r="829" spans="1:12" x14ac:dyDescent="0.25">
      <c r="A829" t="s">
        <v>4016</v>
      </c>
      <c r="B829" t="s">
        <v>2388</v>
      </c>
      <c r="C829" t="s">
        <v>3034</v>
      </c>
      <c r="D829" s="1">
        <v>46026.46974537037</v>
      </c>
      <c r="E829">
        <v>1113.27</v>
      </c>
      <c r="F829">
        <v>32.58</v>
      </c>
      <c r="G829">
        <v>1080.69</v>
      </c>
      <c r="H829" t="s">
        <v>25</v>
      </c>
      <c r="I829" t="s">
        <v>3896</v>
      </c>
      <c r="J829" t="s">
        <v>3036</v>
      </c>
      <c r="K829">
        <v>1113.27</v>
      </c>
      <c r="L829" t="b">
        <v>0</v>
      </c>
    </row>
    <row r="830" spans="1:12" x14ac:dyDescent="0.25">
      <c r="A830" t="s">
        <v>4017</v>
      </c>
      <c r="B830" t="s">
        <v>2391</v>
      </c>
      <c r="C830" t="s">
        <v>3034</v>
      </c>
      <c r="D830" s="1">
        <v>46027.56759259259</v>
      </c>
      <c r="E830">
        <v>150.96</v>
      </c>
      <c r="F830">
        <v>4.68</v>
      </c>
      <c r="G830">
        <v>146.28</v>
      </c>
      <c r="H830" t="s">
        <v>25</v>
      </c>
      <c r="I830" t="s">
        <v>3923</v>
      </c>
      <c r="J830" t="s">
        <v>3036</v>
      </c>
      <c r="K830">
        <v>150.96</v>
      </c>
      <c r="L830" t="b">
        <v>0</v>
      </c>
    </row>
    <row r="831" spans="1:12" x14ac:dyDescent="0.25">
      <c r="A831" t="s">
        <v>4018</v>
      </c>
      <c r="B831" t="s">
        <v>2394</v>
      </c>
      <c r="C831" t="s">
        <v>3034</v>
      </c>
      <c r="D831" s="1">
        <v>46028.681944444441</v>
      </c>
      <c r="E831">
        <v>2271.13</v>
      </c>
      <c r="F831">
        <v>66.16</v>
      </c>
      <c r="G831">
        <v>2204.9699999999998</v>
      </c>
      <c r="H831" t="s">
        <v>52</v>
      </c>
      <c r="I831" t="s">
        <v>3925</v>
      </c>
      <c r="J831" t="s">
        <v>3036</v>
      </c>
      <c r="K831">
        <v>2271.13</v>
      </c>
      <c r="L831" t="b">
        <v>0</v>
      </c>
    </row>
    <row r="832" spans="1:12" x14ac:dyDescent="0.25">
      <c r="A832" t="s">
        <v>4019</v>
      </c>
      <c r="B832" t="s">
        <v>2397</v>
      </c>
      <c r="C832" t="s">
        <v>3034</v>
      </c>
      <c r="D832" s="1">
        <v>46029.753946759258</v>
      </c>
      <c r="E832">
        <v>1173</v>
      </c>
      <c r="F832">
        <v>34.32</v>
      </c>
      <c r="G832">
        <v>1138.68</v>
      </c>
      <c r="H832" t="s">
        <v>19</v>
      </c>
      <c r="I832" t="s">
        <v>3927</v>
      </c>
      <c r="J832" t="s">
        <v>3036</v>
      </c>
      <c r="K832">
        <v>1173</v>
      </c>
      <c r="L832" t="b">
        <v>0</v>
      </c>
    </row>
    <row r="833" spans="1:12" x14ac:dyDescent="0.25">
      <c r="A833" t="s">
        <v>4020</v>
      </c>
      <c r="B833" t="s">
        <v>2400</v>
      </c>
      <c r="C833" t="s">
        <v>3034</v>
      </c>
      <c r="D833" s="1">
        <v>46030.845868055556</v>
      </c>
      <c r="E833">
        <v>872.3</v>
      </c>
      <c r="F833">
        <v>25.6</v>
      </c>
      <c r="G833">
        <v>846.7</v>
      </c>
      <c r="H833" t="s">
        <v>25</v>
      </c>
      <c r="I833" t="s">
        <v>3904</v>
      </c>
      <c r="J833" t="s">
        <v>3036</v>
      </c>
      <c r="K833">
        <v>872.3</v>
      </c>
      <c r="L833" t="b">
        <v>0</v>
      </c>
    </row>
    <row r="834" spans="1:12" x14ac:dyDescent="0.25">
      <c r="A834" t="s">
        <v>4021</v>
      </c>
      <c r="B834" t="s">
        <v>2403</v>
      </c>
      <c r="C834" t="s">
        <v>3034</v>
      </c>
      <c r="D834" s="1">
        <v>46031.918657407405</v>
      </c>
      <c r="E834">
        <v>744.72</v>
      </c>
      <c r="F834">
        <v>21.9</v>
      </c>
      <c r="G834">
        <v>722.82</v>
      </c>
      <c r="H834" t="s">
        <v>25</v>
      </c>
      <c r="I834" t="s">
        <v>4022</v>
      </c>
      <c r="J834" t="s">
        <v>3036</v>
      </c>
      <c r="K834">
        <v>744.72</v>
      </c>
      <c r="L834" t="b">
        <v>0</v>
      </c>
    </row>
    <row r="835" spans="1:12" x14ac:dyDescent="0.25">
      <c r="A835" t="s">
        <v>4023</v>
      </c>
      <c r="B835" t="s">
        <v>2406</v>
      </c>
      <c r="C835" t="s">
        <v>3034</v>
      </c>
      <c r="D835" s="1">
        <v>46033.012118055558</v>
      </c>
      <c r="E835">
        <v>88.33</v>
      </c>
      <c r="F835">
        <v>2.86</v>
      </c>
      <c r="G835">
        <v>85.47</v>
      </c>
      <c r="H835" t="s">
        <v>25</v>
      </c>
      <c r="I835" t="s">
        <v>3932</v>
      </c>
      <c r="J835" t="s">
        <v>3036</v>
      </c>
      <c r="K835">
        <v>88.33</v>
      </c>
      <c r="L835" t="b">
        <v>0</v>
      </c>
    </row>
    <row r="836" spans="1:12" x14ac:dyDescent="0.25">
      <c r="A836" t="s">
        <v>4024</v>
      </c>
      <c r="B836" t="s">
        <v>2409</v>
      </c>
      <c r="C836" t="s">
        <v>3034</v>
      </c>
      <c r="D836" s="1">
        <v>46034.136157407411</v>
      </c>
      <c r="E836">
        <v>2092.8200000000002</v>
      </c>
      <c r="F836">
        <v>60.99</v>
      </c>
      <c r="G836">
        <v>2031.83</v>
      </c>
      <c r="H836" t="s">
        <v>25</v>
      </c>
      <c r="I836" t="s">
        <v>3934</v>
      </c>
      <c r="J836" t="s">
        <v>3036</v>
      </c>
      <c r="K836">
        <v>2092.8200000000002</v>
      </c>
      <c r="L836" t="b">
        <v>0</v>
      </c>
    </row>
    <row r="837" spans="1:12" x14ac:dyDescent="0.25">
      <c r="A837" t="s">
        <v>4025</v>
      </c>
      <c r="B837" t="s">
        <v>2409</v>
      </c>
      <c r="C837" t="s">
        <v>3076</v>
      </c>
      <c r="D837" s="1">
        <v>46035.129212962966</v>
      </c>
      <c r="E837">
        <v>-2092.8200000000002</v>
      </c>
      <c r="F837">
        <v>0</v>
      </c>
      <c r="G837">
        <v>-2092.8200000000002</v>
      </c>
      <c r="H837" t="s">
        <v>25</v>
      </c>
      <c r="I837" t="s">
        <v>4026</v>
      </c>
      <c r="J837" t="s">
        <v>3036</v>
      </c>
      <c r="K837">
        <v>-2092.8200000000002</v>
      </c>
      <c r="L837" t="b">
        <v>0</v>
      </c>
    </row>
    <row r="838" spans="1:12" x14ac:dyDescent="0.25">
      <c r="A838" t="s">
        <v>4027</v>
      </c>
      <c r="B838" t="s">
        <v>2412</v>
      </c>
      <c r="C838" t="s">
        <v>3034</v>
      </c>
      <c r="D838" s="1">
        <v>46035.205868055556</v>
      </c>
      <c r="E838">
        <v>758.82</v>
      </c>
      <c r="F838">
        <v>22.31</v>
      </c>
      <c r="G838">
        <v>736.51</v>
      </c>
      <c r="H838" t="s">
        <v>25</v>
      </c>
      <c r="I838" t="s">
        <v>3912</v>
      </c>
      <c r="J838" t="s">
        <v>3036</v>
      </c>
      <c r="K838">
        <v>758.82</v>
      </c>
      <c r="L838" t="b">
        <v>0</v>
      </c>
    </row>
    <row r="839" spans="1:12" x14ac:dyDescent="0.25">
      <c r="A839" t="s">
        <v>4028</v>
      </c>
      <c r="B839" t="s">
        <v>2415</v>
      </c>
      <c r="C839" t="s">
        <v>3034</v>
      </c>
      <c r="D839" s="1">
        <v>46035.300069444442</v>
      </c>
      <c r="E839">
        <v>308.99</v>
      </c>
      <c r="F839">
        <v>9.26</v>
      </c>
      <c r="G839">
        <v>299.73</v>
      </c>
      <c r="H839" t="s">
        <v>25</v>
      </c>
      <c r="I839" t="s">
        <v>3914</v>
      </c>
      <c r="J839" t="s">
        <v>3036</v>
      </c>
      <c r="K839">
        <v>308.99</v>
      </c>
      <c r="L839" t="b">
        <v>0</v>
      </c>
    </row>
    <row r="840" spans="1:12" x14ac:dyDescent="0.25">
      <c r="A840" t="s">
        <v>4029</v>
      </c>
      <c r="B840" t="s">
        <v>2421</v>
      </c>
      <c r="C840" t="s">
        <v>3034</v>
      </c>
      <c r="D840" s="1">
        <v>46023.470312500001</v>
      </c>
      <c r="E840">
        <v>649.36</v>
      </c>
      <c r="F840">
        <v>19.13</v>
      </c>
      <c r="G840">
        <v>630.23</v>
      </c>
      <c r="H840" t="s">
        <v>25</v>
      </c>
      <c r="I840" t="s">
        <v>3918</v>
      </c>
      <c r="J840" t="s">
        <v>3036</v>
      </c>
      <c r="K840">
        <v>649.36</v>
      </c>
      <c r="L840" t="b">
        <v>0</v>
      </c>
    </row>
    <row r="841" spans="1:12" x14ac:dyDescent="0.25">
      <c r="A841" t="s">
        <v>4030</v>
      </c>
      <c r="B841" t="s">
        <v>2424</v>
      </c>
      <c r="C841" t="s">
        <v>3034</v>
      </c>
      <c r="D841" s="1">
        <v>46024.585648148146</v>
      </c>
      <c r="E841">
        <v>239.12</v>
      </c>
      <c r="F841">
        <v>7.23</v>
      </c>
      <c r="G841">
        <v>231.89</v>
      </c>
      <c r="H841" t="s">
        <v>52</v>
      </c>
      <c r="I841" t="s">
        <v>3941</v>
      </c>
      <c r="J841" t="s">
        <v>3036</v>
      </c>
      <c r="K841">
        <v>239.12</v>
      </c>
      <c r="L841" t="b">
        <v>0</v>
      </c>
    </row>
    <row r="842" spans="1:12" x14ac:dyDescent="0.25">
      <c r="A842" t="s">
        <v>4031</v>
      </c>
      <c r="B842" t="s">
        <v>2424</v>
      </c>
      <c r="C842" t="s">
        <v>3034</v>
      </c>
      <c r="D842" s="1">
        <v>46024.586342592593</v>
      </c>
      <c r="E842">
        <v>239.12</v>
      </c>
      <c r="F842">
        <v>7.23</v>
      </c>
      <c r="G842">
        <v>231.89</v>
      </c>
      <c r="H842" t="s">
        <v>52</v>
      </c>
      <c r="I842" t="s">
        <v>3941</v>
      </c>
      <c r="J842" t="s">
        <v>3036</v>
      </c>
      <c r="K842">
        <v>239.12</v>
      </c>
      <c r="L842" t="b">
        <v>0</v>
      </c>
    </row>
    <row r="843" spans="1:12" x14ac:dyDescent="0.25">
      <c r="A843" t="s">
        <v>4032</v>
      </c>
      <c r="B843" t="s">
        <v>2427</v>
      </c>
      <c r="C843" t="s">
        <v>3034</v>
      </c>
      <c r="D843" s="1">
        <v>46025.658333333333</v>
      </c>
      <c r="E843">
        <v>364.14</v>
      </c>
      <c r="F843">
        <v>10.86</v>
      </c>
      <c r="G843">
        <v>353.28</v>
      </c>
      <c r="H843" t="s">
        <v>19</v>
      </c>
      <c r="I843" t="s">
        <v>3943</v>
      </c>
      <c r="J843" t="s">
        <v>3036</v>
      </c>
      <c r="K843">
        <v>364.14</v>
      </c>
      <c r="L843" t="b">
        <v>0</v>
      </c>
    </row>
    <row r="844" spans="1:12" x14ac:dyDescent="0.25">
      <c r="A844" t="s">
        <v>4033</v>
      </c>
      <c r="B844" t="s">
        <v>2430</v>
      </c>
      <c r="C844" t="s">
        <v>3034</v>
      </c>
      <c r="D844" s="1">
        <v>46026.770324074074</v>
      </c>
      <c r="E844">
        <v>756.77</v>
      </c>
      <c r="F844">
        <v>22.25</v>
      </c>
      <c r="G844">
        <v>734.52</v>
      </c>
      <c r="H844" t="s">
        <v>25</v>
      </c>
      <c r="I844" t="s">
        <v>3896</v>
      </c>
      <c r="J844" t="s">
        <v>3036</v>
      </c>
      <c r="K844">
        <v>756.77</v>
      </c>
      <c r="L844" t="b">
        <v>0</v>
      </c>
    </row>
    <row r="845" spans="1:12" x14ac:dyDescent="0.25">
      <c r="A845" t="s">
        <v>4034</v>
      </c>
      <c r="B845" t="s">
        <v>2433</v>
      </c>
      <c r="C845" t="s">
        <v>3034</v>
      </c>
      <c r="D845" s="1">
        <v>46027.861180555556</v>
      </c>
      <c r="E845">
        <v>1726.11</v>
      </c>
      <c r="F845">
        <v>50.36</v>
      </c>
      <c r="G845">
        <v>1675.75</v>
      </c>
      <c r="H845" t="s">
        <v>25</v>
      </c>
      <c r="I845" t="s">
        <v>3923</v>
      </c>
      <c r="J845" t="s">
        <v>3036</v>
      </c>
      <c r="K845">
        <v>1726.11</v>
      </c>
      <c r="L845" t="b">
        <v>0</v>
      </c>
    </row>
    <row r="846" spans="1:12" x14ac:dyDescent="0.25">
      <c r="A846" t="s">
        <v>4035</v>
      </c>
      <c r="B846" t="s">
        <v>2436</v>
      </c>
      <c r="C846" t="s">
        <v>3034</v>
      </c>
      <c r="D846" s="1">
        <v>46028.932754629626</v>
      </c>
      <c r="E846">
        <v>1160.32</v>
      </c>
      <c r="F846">
        <v>33.950000000000003</v>
      </c>
      <c r="G846">
        <v>1126.3699999999999</v>
      </c>
      <c r="H846" t="s">
        <v>25</v>
      </c>
      <c r="I846" t="s">
        <v>3900</v>
      </c>
      <c r="J846" t="s">
        <v>3036</v>
      </c>
      <c r="K846">
        <v>1160.32</v>
      </c>
      <c r="L846" t="b">
        <v>0</v>
      </c>
    </row>
    <row r="847" spans="1:12" x14ac:dyDescent="0.25">
      <c r="A847" t="s">
        <v>4036</v>
      </c>
      <c r="B847" t="s">
        <v>2439</v>
      </c>
      <c r="C847" t="s">
        <v>3034</v>
      </c>
      <c r="D847" s="1">
        <v>46030.028449074074</v>
      </c>
      <c r="E847">
        <v>45.69</v>
      </c>
      <c r="F847">
        <v>1.63</v>
      </c>
      <c r="G847">
        <v>44.06</v>
      </c>
      <c r="H847" t="s">
        <v>25</v>
      </c>
      <c r="I847" t="s">
        <v>4037</v>
      </c>
      <c r="J847" t="s">
        <v>3036</v>
      </c>
      <c r="K847">
        <v>45.69</v>
      </c>
      <c r="L847" t="b">
        <v>0</v>
      </c>
    </row>
    <row r="848" spans="1:12" x14ac:dyDescent="0.25">
      <c r="A848" t="s">
        <v>4038</v>
      </c>
      <c r="B848" t="s">
        <v>2442</v>
      </c>
      <c r="C848" t="s">
        <v>3034</v>
      </c>
      <c r="D848" s="1">
        <v>46031.145856481482</v>
      </c>
      <c r="E848">
        <v>171.61</v>
      </c>
      <c r="F848">
        <v>5.28</v>
      </c>
      <c r="G848">
        <v>166.33</v>
      </c>
      <c r="H848" t="s">
        <v>25</v>
      </c>
      <c r="I848" t="s">
        <v>3904</v>
      </c>
      <c r="J848" t="s">
        <v>3036</v>
      </c>
      <c r="K848">
        <v>171.61</v>
      </c>
      <c r="L848" t="b">
        <v>0</v>
      </c>
    </row>
    <row r="849" spans="1:12" x14ac:dyDescent="0.25">
      <c r="A849" t="s">
        <v>4039</v>
      </c>
      <c r="B849" t="s">
        <v>2445</v>
      </c>
      <c r="C849" t="s">
        <v>3034</v>
      </c>
      <c r="D849" s="1">
        <v>46032.207858796297</v>
      </c>
      <c r="E849">
        <v>941.13</v>
      </c>
      <c r="F849">
        <v>27.59</v>
      </c>
      <c r="G849">
        <v>913.54</v>
      </c>
      <c r="H849" t="s">
        <v>25</v>
      </c>
      <c r="I849" t="s">
        <v>3930</v>
      </c>
      <c r="J849" t="s">
        <v>3036</v>
      </c>
      <c r="K849">
        <v>941.13</v>
      </c>
      <c r="L849" t="b">
        <v>0</v>
      </c>
    </row>
    <row r="850" spans="1:12" x14ac:dyDescent="0.25">
      <c r="A850" t="s">
        <v>4040</v>
      </c>
      <c r="B850" t="s">
        <v>2445</v>
      </c>
      <c r="C850" t="s">
        <v>3034</v>
      </c>
      <c r="D850" s="1">
        <v>46032.208553240744</v>
      </c>
      <c r="E850">
        <v>941.13</v>
      </c>
      <c r="F850">
        <v>27.59</v>
      </c>
      <c r="G850">
        <v>913.54</v>
      </c>
      <c r="H850" t="s">
        <v>25</v>
      </c>
      <c r="I850" t="s">
        <v>3930</v>
      </c>
      <c r="J850" t="s">
        <v>3036</v>
      </c>
      <c r="K850">
        <v>941.13</v>
      </c>
      <c r="L850" t="b">
        <v>0</v>
      </c>
    </row>
    <row r="851" spans="1:12" x14ac:dyDescent="0.25">
      <c r="A851" t="s">
        <v>4041</v>
      </c>
      <c r="B851" t="s">
        <v>2448</v>
      </c>
      <c r="C851" t="s">
        <v>3034</v>
      </c>
      <c r="D851" s="1">
        <v>46032.316354166665</v>
      </c>
      <c r="E851">
        <v>357.63</v>
      </c>
      <c r="F851">
        <v>10.67</v>
      </c>
      <c r="G851">
        <v>346.96</v>
      </c>
      <c r="H851" t="s">
        <v>25</v>
      </c>
      <c r="I851" t="s">
        <v>3932</v>
      </c>
      <c r="J851" t="s">
        <v>3036</v>
      </c>
      <c r="K851">
        <v>357.63</v>
      </c>
      <c r="L851" t="b">
        <v>0</v>
      </c>
    </row>
    <row r="852" spans="1:12" x14ac:dyDescent="0.25">
      <c r="A852" t="s">
        <v>4042</v>
      </c>
      <c r="B852" t="s">
        <v>2451</v>
      </c>
      <c r="C852" t="s">
        <v>3034</v>
      </c>
      <c r="D852" s="1">
        <v>46033.387662037036</v>
      </c>
      <c r="E852">
        <v>667.18</v>
      </c>
      <c r="F852">
        <v>19.649999999999999</v>
      </c>
      <c r="G852">
        <v>647.53</v>
      </c>
      <c r="H852" t="s">
        <v>25</v>
      </c>
      <c r="I852" t="s">
        <v>3934</v>
      </c>
      <c r="J852" t="s">
        <v>3036</v>
      </c>
      <c r="K852">
        <v>667.18</v>
      </c>
      <c r="L852" t="b">
        <v>0</v>
      </c>
    </row>
    <row r="853" spans="1:12" x14ac:dyDescent="0.25">
      <c r="A853" t="s">
        <v>4043</v>
      </c>
      <c r="B853" t="s">
        <v>2454</v>
      </c>
      <c r="C853" t="s">
        <v>3034</v>
      </c>
      <c r="D853" s="1">
        <v>46034.490543981483</v>
      </c>
      <c r="E853">
        <v>2252.71</v>
      </c>
      <c r="F853">
        <v>65.63</v>
      </c>
      <c r="G853">
        <v>2187.08</v>
      </c>
      <c r="H853" t="s">
        <v>52</v>
      </c>
      <c r="I853" t="s">
        <v>3954</v>
      </c>
      <c r="J853" t="s">
        <v>3036</v>
      </c>
      <c r="K853">
        <v>2252.71</v>
      </c>
      <c r="L853" t="b">
        <v>0</v>
      </c>
    </row>
    <row r="854" spans="1:12" x14ac:dyDescent="0.25">
      <c r="A854" t="s">
        <v>4044</v>
      </c>
      <c r="B854" t="s">
        <v>2457</v>
      </c>
      <c r="C854" t="s">
        <v>3034</v>
      </c>
      <c r="D854" s="1">
        <v>46035.600856481484</v>
      </c>
      <c r="E854">
        <v>1384.95</v>
      </c>
      <c r="F854">
        <v>40.46</v>
      </c>
      <c r="G854">
        <v>1344.49</v>
      </c>
      <c r="H854" t="s">
        <v>19</v>
      </c>
      <c r="I854" t="s">
        <v>4045</v>
      </c>
      <c r="J854" t="s">
        <v>3036</v>
      </c>
      <c r="K854">
        <v>1384.95</v>
      </c>
      <c r="L854" t="b">
        <v>0</v>
      </c>
    </row>
    <row r="855" spans="1:12" x14ac:dyDescent="0.25">
      <c r="A855" t="s">
        <v>4046</v>
      </c>
      <c r="B855" t="s">
        <v>2460</v>
      </c>
      <c r="C855" t="s">
        <v>3034</v>
      </c>
      <c r="D855" s="1">
        <v>46036.662141203706</v>
      </c>
      <c r="E855">
        <v>1222.06</v>
      </c>
      <c r="F855">
        <v>35.74</v>
      </c>
      <c r="G855">
        <v>1186.32</v>
      </c>
      <c r="H855" t="s">
        <v>25</v>
      </c>
      <c r="I855" t="s">
        <v>3916</v>
      </c>
      <c r="J855" t="s">
        <v>3036</v>
      </c>
      <c r="K855">
        <v>1222.06</v>
      </c>
      <c r="L855" t="b">
        <v>0</v>
      </c>
    </row>
    <row r="856" spans="1:12" x14ac:dyDescent="0.25">
      <c r="A856" t="s">
        <v>4047</v>
      </c>
      <c r="B856" t="s">
        <v>2463</v>
      </c>
      <c r="C856" t="s">
        <v>3034</v>
      </c>
      <c r="D856" s="1">
        <v>46023.791273148148</v>
      </c>
      <c r="E856">
        <v>451.64</v>
      </c>
      <c r="F856">
        <v>13.4</v>
      </c>
      <c r="G856">
        <v>438.24</v>
      </c>
      <c r="H856" t="s">
        <v>25</v>
      </c>
      <c r="I856" t="s">
        <v>3918</v>
      </c>
      <c r="J856" t="s">
        <v>3036</v>
      </c>
      <c r="K856">
        <v>451.64</v>
      </c>
      <c r="L856" t="b">
        <v>0</v>
      </c>
    </row>
    <row r="857" spans="1:12" x14ac:dyDescent="0.25">
      <c r="A857" t="s">
        <v>4048</v>
      </c>
      <c r="B857" t="s">
        <v>2466</v>
      </c>
      <c r="C857" t="s">
        <v>3034</v>
      </c>
      <c r="D857" s="1">
        <v>46024.863009259258</v>
      </c>
      <c r="E857">
        <v>2354.9</v>
      </c>
      <c r="F857">
        <v>68.59</v>
      </c>
      <c r="G857">
        <v>2286.31</v>
      </c>
      <c r="H857" t="s">
        <v>25</v>
      </c>
      <c r="I857" t="s">
        <v>3890</v>
      </c>
      <c r="J857" t="s">
        <v>3036</v>
      </c>
      <c r="K857">
        <v>2354.9</v>
      </c>
      <c r="L857" t="b">
        <v>0</v>
      </c>
    </row>
    <row r="858" spans="1:12" x14ac:dyDescent="0.25">
      <c r="A858" t="s">
        <v>4049</v>
      </c>
      <c r="B858" t="s">
        <v>2469</v>
      </c>
      <c r="C858" t="s">
        <v>3034</v>
      </c>
      <c r="D858" s="1">
        <v>46025.969166666669</v>
      </c>
      <c r="E858">
        <v>1816.49</v>
      </c>
      <c r="F858">
        <v>52.98</v>
      </c>
      <c r="G858">
        <v>1763.51</v>
      </c>
      <c r="H858" t="s">
        <v>25</v>
      </c>
      <c r="I858" t="s">
        <v>3894</v>
      </c>
      <c r="J858" t="s">
        <v>3036</v>
      </c>
      <c r="K858">
        <v>1816.49</v>
      </c>
      <c r="L858" t="b">
        <v>0</v>
      </c>
    </row>
    <row r="859" spans="1:12" x14ac:dyDescent="0.25">
      <c r="A859" t="s">
        <v>4050</v>
      </c>
      <c r="B859" t="s">
        <v>2472</v>
      </c>
      <c r="C859" t="s">
        <v>3034</v>
      </c>
      <c r="D859" s="1">
        <v>46027.055983796294</v>
      </c>
      <c r="E859">
        <v>1883.82</v>
      </c>
      <c r="F859">
        <v>54.93</v>
      </c>
      <c r="G859">
        <v>1828.89</v>
      </c>
      <c r="H859" t="s">
        <v>25</v>
      </c>
      <c r="I859" t="s">
        <v>3896</v>
      </c>
      <c r="J859" t="s">
        <v>3036</v>
      </c>
      <c r="K859">
        <v>1883.82</v>
      </c>
      <c r="L859" t="b">
        <v>0</v>
      </c>
    </row>
    <row r="860" spans="1:12" x14ac:dyDescent="0.25">
      <c r="A860" t="s">
        <v>4051</v>
      </c>
      <c r="B860" t="s">
        <v>2475</v>
      </c>
      <c r="C860" t="s">
        <v>3034</v>
      </c>
      <c r="D860" s="1">
        <v>46028.138726851852</v>
      </c>
      <c r="E860">
        <v>519.66999999999996</v>
      </c>
      <c r="F860">
        <v>15.37</v>
      </c>
      <c r="G860">
        <v>504.3</v>
      </c>
      <c r="H860" t="s">
        <v>25</v>
      </c>
      <c r="I860" t="s">
        <v>3923</v>
      </c>
      <c r="J860" t="s">
        <v>3036</v>
      </c>
      <c r="K860">
        <v>519.66999999999996</v>
      </c>
      <c r="L860" t="b">
        <v>0</v>
      </c>
    </row>
    <row r="861" spans="1:12" x14ac:dyDescent="0.25">
      <c r="A861" t="s">
        <v>4052</v>
      </c>
      <c r="B861" t="s">
        <v>2478</v>
      </c>
      <c r="C861" t="s">
        <v>3034</v>
      </c>
      <c r="D861" s="1">
        <v>46028.242546296293</v>
      </c>
      <c r="E861">
        <v>1520.71</v>
      </c>
      <c r="F861">
        <v>44.4</v>
      </c>
      <c r="G861">
        <v>1476.31</v>
      </c>
      <c r="H861" t="s">
        <v>25</v>
      </c>
      <c r="I861" t="s">
        <v>3900</v>
      </c>
      <c r="J861" t="s">
        <v>3036</v>
      </c>
      <c r="K861">
        <v>1520.71</v>
      </c>
      <c r="L861" t="b">
        <v>0</v>
      </c>
    </row>
    <row r="862" spans="1:12" x14ac:dyDescent="0.25">
      <c r="A862" t="s">
        <v>4053</v>
      </c>
      <c r="B862" t="s">
        <v>2481</v>
      </c>
      <c r="C862" t="s">
        <v>3034</v>
      </c>
      <c r="D862" s="1">
        <v>46029.310416666667</v>
      </c>
      <c r="E862">
        <v>440.96</v>
      </c>
      <c r="F862">
        <v>13.09</v>
      </c>
      <c r="G862">
        <v>427.87</v>
      </c>
      <c r="H862" t="s">
        <v>25</v>
      </c>
      <c r="I862" t="s">
        <v>3902</v>
      </c>
      <c r="J862" t="s">
        <v>3036</v>
      </c>
      <c r="K862">
        <v>440.96</v>
      </c>
      <c r="L862" t="b">
        <v>0</v>
      </c>
    </row>
    <row r="863" spans="1:12" x14ac:dyDescent="0.25">
      <c r="A863" t="s">
        <v>4054</v>
      </c>
      <c r="B863" t="s">
        <v>2484</v>
      </c>
      <c r="C863" t="s">
        <v>3034</v>
      </c>
      <c r="D863" s="1">
        <v>46030.408587962964</v>
      </c>
      <c r="E863">
        <v>119.92</v>
      </c>
      <c r="F863">
        <v>3.78</v>
      </c>
      <c r="G863">
        <v>116.14</v>
      </c>
      <c r="H863" t="s">
        <v>52</v>
      </c>
      <c r="I863" t="s">
        <v>3968</v>
      </c>
      <c r="J863" t="s">
        <v>3036</v>
      </c>
      <c r="K863">
        <v>119.92</v>
      </c>
      <c r="L863" t="b">
        <v>0</v>
      </c>
    </row>
    <row r="864" spans="1:12" x14ac:dyDescent="0.25">
      <c r="A864" t="s">
        <v>4055</v>
      </c>
      <c r="B864" t="s">
        <v>2487</v>
      </c>
      <c r="C864" t="s">
        <v>3034</v>
      </c>
      <c r="D864" s="1">
        <v>46031.487175925926</v>
      </c>
      <c r="E864">
        <v>1112.6400000000001</v>
      </c>
      <c r="F864">
        <v>32.57</v>
      </c>
      <c r="G864">
        <v>1080.07</v>
      </c>
      <c r="H864" t="s">
        <v>19</v>
      </c>
      <c r="I864" t="s">
        <v>3970</v>
      </c>
      <c r="J864" t="s">
        <v>3036</v>
      </c>
      <c r="K864">
        <v>1112.6400000000001</v>
      </c>
      <c r="L864" t="b">
        <v>0</v>
      </c>
    </row>
    <row r="865" spans="1:12" x14ac:dyDescent="0.25">
      <c r="A865" t="s">
        <v>4056</v>
      </c>
      <c r="B865" t="s">
        <v>2490</v>
      </c>
      <c r="C865" t="s">
        <v>3034</v>
      </c>
      <c r="D865" s="1">
        <v>46032.601979166669</v>
      </c>
      <c r="E865">
        <v>736.05</v>
      </c>
      <c r="F865">
        <v>21.65</v>
      </c>
      <c r="G865">
        <v>714.4</v>
      </c>
      <c r="H865" t="s">
        <v>25</v>
      </c>
      <c r="I865" t="s">
        <v>3932</v>
      </c>
      <c r="J865" t="s">
        <v>3036</v>
      </c>
      <c r="K865">
        <v>736.05</v>
      </c>
      <c r="L865" t="b">
        <v>0</v>
      </c>
    </row>
    <row r="866" spans="1:12" x14ac:dyDescent="0.25">
      <c r="A866" t="s">
        <v>4057</v>
      </c>
      <c r="B866" t="s">
        <v>2493</v>
      </c>
      <c r="C866" t="s">
        <v>3034</v>
      </c>
      <c r="D866" s="1">
        <v>46033.707997685182</v>
      </c>
      <c r="E866">
        <v>2262.61</v>
      </c>
      <c r="F866">
        <v>65.92</v>
      </c>
      <c r="G866">
        <v>2196.69</v>
      </c>
      <c r="H866" t="s">
        <v>25</v>
      </c>
      <c r="I866" t="s">
        <v>3934</v>
      </c>
      <c r="J866" t="s">
        <v>3036</v>
      </c>
      <c r="K866">
        <v>2262.61</v>
      </c>
      <c r="L866" t="b">
        <v>0</v>
      </c>
    </row>
    <row r="867" spans="1:12" x14ac:dyDescent="0.25">
      <c r="A867" t="s">
        <v>4058</v>
      </c>
      <c r="B867" t="s">
        <v>2496</v>
      </c>
      <c r="C867" t="s">
        <v>3034</v>
      </c>
      <c r="D867" s="1">
        <v>46034.761770833335</v>
      </c>
      <c r="E867">
        <v>2482.88</v>
      </c>
      <c r="F867">
        <v>72.3</v>
      </c>
      <c r="G867">
        <v>2410.58</v>
      </c>
      <c r="H867" t="s">
        <v>25</v>
      </c>
      <c r="I867" t="s">
        <v>3912</v>
      </c>
      <c r="J867" t="s">
        <v>3036</v>
      </c>
      <c r="K867">
        <v>2482.88</v>
      </c>
      <c r="L867" t="b">
        <v>0</v>
      </c>
    </row>
    <row r="868" spans="1:12" x14ac:dyDescent="0.25">
      <c r="A868" t="s">
        <v>4059</v>
      </c>
      <c r="B868" t="s">
        <v>2499</v>
      </c>
      <c r="C868" t="s">
        <v>3034</v>
      </c>
      <c r="D868" s="1">
        <v>46035.882164351853</v>
      </c>
      <c r="E868">
        <v>1609.55</v>
      </c>
      <c r="F868">
        <v>46.98</v>
      </c>
      <c r="G868">
        <v>1562.57</v>
      </c>
      <c r="H868" t="s">
        <v>25</v>
      </c>
      <c r="I868" t="s">
        <v>3914</v>
      </c>
      <c r="J868" t="s">
        <v>3036</v>
      </c>
      <c r="K868">
        <v>1609.55</v>
      </c>
      <c r="L868" t="b">
        <v>0</v>
      </c>
    </row>
    <row r="869" spans="1:12" x14ac:dyDescent="0.25">
      <c r="A869" t="s">
        <v>4060</v>
      </c>
      <c r="B869" t="s">
        <v>2502</v>
      </c>
      <c r="C869" t="s">
        <v>3034</v>
      </c>
      <c r="D869" s="1">
        <v>46036.979664351849</v>
      </c>
      <c r="E869">
        <v>2213.2399999999998</v>
      </c>
      <c r="F869">
        <v>64.48</v>
      </c>
      <c r="G869">
        <v>2148.7600000000002</v>
      </c>
      <c r="H869" t="s">
        <v>25</v>
      </c>
      <c r="I869" t="s">
        <v>3916</v>
      </c>
      <c r="J869" t="s">
        <v>3036</v>
      </c>
      <c r="K869">
        <v>2213.2399999999998</v>
      </c>
      <c r="L869" t="b">
        <v>0</v>
      </c>
    </row>
    <row r="870" spans="1:12" x14ac:dyDescent="0.25">
      <c r="A870" t="s">
        <v>4061</v>
      </c>
      <c r="B870" t="s">
        <v>2502</v>
      </c>
      <c r="C870" t="s">
        <v>3034</v>
      </c>
      <c r="D870" s="1">
        <v>46036.980358796296</v>
      </c>
      <c r="E870">
        <v>2213.2399999999998</v>
      </c>
      <c r="F870">
        <v>64.48</v>
      </c>
      <c r="G870">
        <v>2148.7600000000002</v>
      </c>
      <c r="H870" t="s">
        <v>25</v>
      </c>
      <c r="I870" t="s">
        <v>3916</v>
      </c>
      <c r="J870" t="s">
        <v>3036</v>
      </c>
      <c r="K870">
        <v>2213.2399999999998</v>
      </c>
      <c r="L870" t="b">
        <v>0</v>
      </c>
    </row>
    <row r="871" spans="1:12" x14ac:dyDescent="0.25">
      <c r="A871" t="s">
        <v>4062</v>
      </c>
      <c r="B871" t="s">
        <v>2505</v>
      </c>
      <c r="C871" t="s">
        <v>3034</v>
      </c>
      <c r="D871" s="1">
        <v>46024.035451388889</v>
      </c>
      <c r="E871">
        <v>1446.01</v>
      </c>
      <c r="F871">
        <v>42.23</v>
      </c>
      <c r="G871">
        <v>1403.78</v>
      </c>
      <c r="H871" t="s">
        <v>25</v>
      </c>
      <c r="I871" t="s">
        <v>3918</v>
      </c>
      <c r="J871" t="s">
        <v>3036</v>
      </c>
      <c r="K871">
        <v>1446.01</v>
      </c>
      <c r="L871" t="b">
        <v>0</v>
      </c>
    </row>
    <row r="872" spans="1:12" x14ac:dyDescent="0.25">
      <c r="A872" t="s">
        <v>4063</v>
      </c>
      <c r="B872" t="s">
        <v>2508</v>
      </c>
      <c r="C872" t="s">
        <v>3034</v>
      </c>
      <c r="D872" s="1">
        <v>46025.13554398148</v>
      </c>
      <c r="E872">
        <v>931.01</v>
      </c>
      <c r="F872">
        <v>27.3</v>
      </c>
      <c r="G872">
        <v>903.71</v>
      </c>
      <c r="H872" t="s">
        <v>25</v>
      </c>
      <c r="I872" t="s">
        <v>3890</v>
      </c>
      <c r="J872" t="s">
        <v>3036</v>
      </c>
      <c r="K872">
        <v>931.01</v>
      </c>
      <c r="L872" t="b">
        <v>0</v>
      </c>
    </row>
    <row r="873" spans="1:12" x14ac:dyDescent="0.25">
      <c r="A873" t="s">
        <v>4064</v>
      </c>
      <c r="B873" t="s">
        <v>2511</v>
      </c>
      <c r="C873" t="s">
        <v>3034</v>
      </c>
      <c r="D873" s="1">
        <v>46026.225960648146</v>
      </c>
      <c r="E873">
        <v>629.83000000000004</v>
      </c>
      <c r="F873">
        <v>18.57</v>
      </c>
      <c r="G873">
        <v>611.26</v>
      </c>
      <c r="H873" t="s">
        <v>25</v>
      </c>
      <c r="I873" t="s">
        <v>3894</v>
      </c>
      <c r="J873" t="s">
        <v>3036</v>
      </c>
      <c r="K873">
        <v>629.83000000000004</v>
      </c>
      <c r="L873" t="b">
        <v>0</v>
      </c>
    </row>
    <row r="874" spans="1:12" x14ac:dyDescent="0.25">
      <c r="A874" t="s">
        <v>4065</v>
      </c>
      <c r="B874" t="s">
        <v>2514</v>
      </c>
      <c r="C874" t="s">
        <v>3034</v>
      </c>
      <c r="D874" s="1">
        <v>46026.34070601852</v>
      </c>
      <c r="E874">
        <v>498.47</v>
      </c>
      <c r="F874">
        <v>14.76</v>
      </c>
      <c r="G874">
        <v>483.71</v>
      </c>
      <c r="H874" t="s">
        <v>52</v>
      </c>
      <c r="I874" t="s">
        <v>3984</v>
      </c>
      <c r="J874" t="s">
        <v>3036</v>
      </c>
      <c r="K874">
        <v>498.47</v>
      </c>
      <c r="L874" t="b">
        <v>0</v>
      </c>
    </row>
    <row r="875" spans="1:12" x14ac:dyDescent="0.25">
      <c r="A875" t="s">
        <v>4066</v>
      </c>
      <c r="B875" t="s">
        <v>2517</v>
      </c>
      <c r="C875" t="s">
        <v>3034</v>
      </c>
      <c r="D875" s="1">
        <v>46027.442627314813</v>
      </c>
      <c r="E875">
        <v>1406.05</v>
      </c>
      <c r="F875">
        <v>41.08</v>
      </c>
      <c r="G875">
        <v>1364.97</v>
      </c>
      <c r="H875" t="s">
        <v>19</v>
      </c>
      <c r="I875" t="s">
        <v>3986</v>
      </c>
      <c r="J875" t="s">
        <v>3036</v>
      </c>
      <c r="K875">
        <v>1406.05</v>
      </c>
      <c r="L875" t="b">
        <v>0</v>
      </c>
    </row>
    <row r="876" spans="1:12" x14ac:dyDescent="0.25">
      <c r="A876" t="s">
        <v>4067</v>
      </c>
      <c r="B876" t="s">
        <v>2517</v>
      </c>
      <c r="C876" t="s">
        <v>3034</v>
      </c>
      <c r="D876" s="1">
        <v>46027.44332175926</v>
      </c>
      <c r="E876">
        <v>1406.05</v>
      </c>
      <c r="F876">
        <v>41.08</v>
      </c>
      <c r="G876">
        <v>1364.97</v>
      </c>
      <c r="H876" t="s">
        <v>19</v>
      </c>
      <c r="I876" t="s">
        <v>3986</v>
      </c>
      <c r="J876" t="s">
        <v>3036</v>
      </c>
      <c r="K876">
        <v>1406.05</v>
      </c>
      <c r="L876" t="b">
        <v>0</v>
      </c>
    </row>
    <row r="877" spans="1:12" x14ac:dyDescent="0.25">
      <c r="A877" t="s">
        <v>4068</v>
      </c>
      <c r="B877" t="s">
        <v>2520</v>
      </c>
      <c r="C877" t="s">
        <v>3034</v>
      </c>
      <c r="D877" s="1">
        <v>46028.498900462961</v>
      </c>
      <c r="E877">
        <v>2488.2800000000002</v>
      </c>
      <c r="F877">
        <v>72.459999999999994</v>
      </c>
      <c r="G877">
        <v>2415.8200000000002</v>
      </c>
      <c r="H877" t="s">
        <v>25</v>
      </c>
      <c r="I877" t="s">
        <v>3900</v>
      </c>
      <c r="J877" t="s">
        <v>3036</v>
      </c>
      <c r="K877">
        <v>2488.2800000000002</v>
      </c>
      <c r="L877" t="b">
        <v>0</v>
      </c>
    </row>
    <row r="878" spans="1:12" x14ac:dyDescent="0.25">
      <c r="A878" t="s">
        <v>4069</v>
      </c>
      <c r="B878" t="s">
        <v>2523</v>
      </c>
      <c r="C878" t="s">
        <v>3034</v>
      </c>
      <c r="D878" s="1">
        <v>46029.614988425928</v>
      </c>
      <c r="E878">
        <v>1228.23</v>
      </c>
      <c r="F878">
        <v>35.92</v>
      </c>
      <c r="G878">
        <v>1192.31</v>
      </c>
      <c r="H878" t="s">
        <v>25</v>
      </c>
      <c r="I878" t="s">
        <v>3902</v>
      </c>
      <c r="J878" t="s">
        <v>3036</v>
      </c>
      <c r="K878">
        <v>1228.23</v>
      </c>
      <c r="L878" t="b">
        <v>0</v>
      </c>
    </row>
    <row r="879" spans="1:12" x14ac:dyDescent="0.25">
      <c r="A879" t="s">
        <v>4070</v>
      </c>
      <c r="B879" t="s">
        <v>2526</v>
      </c>
      <c r="C879" t="s">
        <v>3034</v>
      </c>
      <c r="D879" s="1">
        <v>46030.710358796299</v>
      </c>
      <c r="E879">
        <v>513.73</v>
      </c>
      <c r="F879">
        <v>15.2</v>
      </c>
      <c r="G879">
        <v>498.53</v>
      </c>
      <c r="H879" t="s">
        <v>25</v>
      </c>
      <c r="I879" t="s">
        <v>3904</v>
      </c>
      <c r="J879" t="s">
        <v>3036</v>
      </c>
      <c r="K879">
        <v>513.73</v>
      </c>
      <c r="L879" t="b">
        <v>0</v>
      </c>
    </row>
    <row r="880" spans="1:12" x14ac:dyDescent="0.25">
      <c r="A880" t="s">
        <v>4071</v>
      </c>
      <c r="B880" t="s">
        <v>2529</v>
      </c>
      <c r="C880" t="s">
        <v>3034</v>
      </c>
      <c r="D880" s="1">
        <v>46031.800497685188</v>
      </c>
      <c r="E880">
        <v>184.44</v>
      </c>
      <c r="F880">
        <v>5.65</v>
      </c>
      <c r="G880">
        <v>178.79</v>
      </c>
      <c r="H880" t="s">
        <v>25</v>
      </c>
      <c r="I880" t="s">
        <v>3930</v>
      </c>
      <c r="J880" t="s">
        <v>3036</v>
      </c>
      <c r="K880">
        <v>184.44</v>
      </c>
      <c r="L880" t="b">
        <v>0</v>
      </c>
    </row>
    <row r="881" spans="1:12" x14ac:dyDescent="0.25">
      <c r="A881" t="s">
        <v>4072</v>
      </c>
      <c r="B881" t="s">
        <v>2532</v>
      </c>
      <c r="C881" t="s">
        <v>3034</v>
      </c>
      <c r="D881" s="1">
        <v>46032.864965277775</v>
      </c>
      <c r="E881">
        <v>1596.84</v>
      </c>
      <c r="F881">
        <v>46.61</v>
      </c>
      <c r="G881">
        <v>1550.23</v>
      </c>
      <c r="H881" t="s">
        <v>25</v>
      </c>
      <c r="I881" t="s">
        <v>3932</v>
      </c>
      <c r="J881" t="s">
        <v>3036</v>
      </c>
      <c r="K881">
        <v>1596.84</v>
      </c>
      <c r="L881" t="b">
        <v>0</v>
      </c>
    </row>
    <row r="882" spans="1:12" x14ac:dyDescent="0.25">
      <c r="A882" t="s">
        <v>4073</v>
      </c>
      <c r="B882" t="s">
        <v>2535</v>
      </c>
      <c r="C882" t="s">
        <v>3034</v>
      </c>
      <c r="D882" s="1">
        <v>46033.969768518517</v>
      </c>
      <c r="E882">
        <v>2494.73</v>
      </c>
      <c r="F882">
        <v>72.650000000000006</v>
      </c>
      <c r="G882">
        <v>2422.08</v>
      </c>
      <c r="H882" t="s">
        <v>25</v>
      </c>
      <c r="I882" t="s">
        <v>3934</v>
      </c>
      <c r="J882" t="s">
        <v>3036</v>
      </c>
      <c r="K882">
        <v>2494.73</v>
      </c>
      <c r="L882" t="b">
        <v>0</v>
      </c>
    </row>
    <row r="883" spans="1:12" x14ac:dyDescent="0.25">
      <c r="A883" t="s">
        <v>4074</v>
      </c>
      <c r="B883" t="s">
        <v>2538</v>
      </c>
      <c r="C883" t="s">
        <v>3034</v>
      </c>
      <c r="D883" s="1">
        <v>46035.077164351853</v>
      </c>
      <c r="E883">
        <v>1252.46</v>
      </c>
      <c r="F883">
        <v>36.619999999999997</v>
      </c>
      <c r="G883">
        <v>1215.8399999999999</v>
      </c>
      <c r="H883" t="s">
        <v>25</v>
      </c>
      <c r="I883" t="s">
        <v>4075</v>
      </c>
      <c r="J883" t="s">
        <v>3036</v>
      </c>
      <c r="K883">
        <v>1252.46</v>
      </c>
      <c r="L883" t="b">
        <v>0</v>
      </c>
    </row>
    <row r="884" spans="1:12" x14ac:dyDescent="0.25">
      <c r="A884" t="s">
        <v>4076</v>
      </c>
      <c r="B884" t="s">
        <v>2541</v>
      </c>
      <c r="C884" t="s">
        <v>3034</v>
      </c>
      <c r="D884" s="1">
        <v>46036.135277777779</v>
      </c>
      <c r="E884">
        <v>247.5</v>
      </c>
      <c r="F884">
        <v>7.48</v>
      </c>
      <c r="G884">
        <v>240.02</v>
      </c>
      <c r="H884" t="s">
        <v>25</v>
      </c>
      <c r="I884" t="s">
        <v>3914</v>
      </c>
      <c r="J884" t="s">
        <v>3036</v>
      </c>
      <c r="K884">
        <v>247.5</v>
      </c>
      <c r="L884" t="b">
        <v>0</v>
      </c>
    </row>
    <row r="885" spans="1:12" x14ac:dyDescent="0.25">
      <c r="A885" t="s">
        <v>4077</v>
      </c>
      <c r="B885" t="s">
        <v>2544</v>
      </c>
      <c r="C885" t="s">
        <v>3034</v>
      </c>
      <c r="D885" s="1">
        <v>46036.265821759262</v>
      </c>
      <c r="E885">
        <v>1900.31</v>
      </c>
      <c r="F885">
        <v>55.41</v>
      </c>
      <c r="G885">
        <v>1844.9</v>
      </c>
      <c r="H885" t="s">
        <v>52</v>
      </c>
      <c r="I885" t="s">
        <v>3998</v>
      </c>
      <c r="J885" t="s">
        <v>3036</v>
      </c>
      <c r="K885">
        <v>1900.31</v>
      </c>
      <c r="L885" t="b">
        <v>0</v>
      </c>
    </row>
    <row r="886" spans="1:12" x14ac:dyDescent="0.25">
      <c r="A886" t="s">
        <v>4078</v>
      </c>
      <c r="B886" t="s">
        <v>2547</v>
      </c>
      <c r="C886" t="s">
        <v>3034</v>
      </c>
      <c r="D886" s="1">
        <v>46023.334490740737</v>
      </c>
      <c r="E886">
        <v>2189.75</v>
      </c>
      <c r="F886">
        <v>63.8</v>
      </c>
      <c r="G886">
        <v>2125.9499999999998</v>
      </c>
      <c r="H886" t="s">
        <v>19</v>
      </c>
      <c r="I886" t="s">
        <v>3888</v>
      </c>
      <c r="J886" t="s">
        <v>3036</v>
      </c>
      <c r="K886">
        <v>2189.75</v>
      </c>
      <c r="L886" t="b">
        <v>0</v>
      </c>
    </row>
    <row r="887" spans="1:12" x14ac:dyDescent="0.25">
      <c r="A887" t="s">
        <v>4079</v>
      </c>
      <c r="B887" t="s">
        <v>2550</v>
      </c>
      <c r="C887" t="s">
        <v>3034</v>
      </c>
      <c r="D887" s="1">
        <v>46024.417951388888</v>
      </c>
      <c r="E887">
        <v>979</v>
      </c>
      <c r="F887">
        <v>28.69</v>
      </c>
      <c r="G887">
        <v>950.31</v>
      </c>
      <c r="H887" t="s">
        <v>25</v>
      </c>
      <c r="I887" t="s">
        <v>3890</v>
      </c>
      <c r="J887" t="s">
        <v>3036</v>
      </c>
      <c r="K887">
        <v>979</v>
      </c>
      <c r="L887" t="b">
        <v>0</v>
      </c>
    </row>
    <row r="888" spans="1:12" x14ac:dyDescent="0.25">
      <c r="A888" t="s">
        <v>4080</v>
      </c>
      <c r="B888" t="s">
        <v>2553</v>
      </c>
      <c r="C888" t="s">
        <v>3034</v>
      </c>
      <c r="D888" s="1">
        <v>46025.526388888888</v>
      </c>
      <c r="E888">
        <v>2307.96</v>
      </c>
      <c r="F888">
        <v>67.23</v>
      </c>
      <c r="G888">
        <v>2240.73</v>
      </c>
      <c r="H888" t="s">
        <v>25</v>
      </c>
      <c r="I888" t="s">
        <v>3894</v>
      </c>
      <c r="J888" t="s">
        <v>3036</v>
      </c>
      <c r="K888">
        <v>2307.96</v>
      </c>
      <c r="L888" t="b">
        <v>0</v>
      </c>
    </row>
    <row r="889" spans="1:12" x14ac:dyDescent="0.25">
      <c r="A889" t="s">
        <v>4081</v>
      </c>
      <c r="B889" t="s">
        <v>2559</v>
      </c>
      <c r="C889" t="s">
        <v>3034</v>
      </c>
      <c r="D889" s="1">
        <v>46027.704583333332</v>
      </c>
      <c r="E889">
        <v>698.88</v>
      </c>
      <c r="F889">
        <v>20.57</v>
      </c>
      <c r="G889">
        <v>678.31</v>
      </c>
      <c r="H889" t="s">
        <v>25</v>
      </c>
      <c r="I889" t="s">
        <v>3923</v>
      </c>
      <c r="J889" t="s">
        <v>3036</v>
      </c>
      <c r="K889">
        <v>698.88</v>
      </c>
      <c r="L889" t="b">
        <v>0</v>
      </c>
    </row>
    <row r="890" spans="1:12" x14ac:dyDescent="0.25">
      <c r="A890" t="s">
        <v>4082</v>
      </c>
      <c r="B890" t="s">
        <v>2562</v>
      </c>
      <c r="C890" t="s">
        <v>3034</v>
      </c>
      <c r="D890" s="1">
        <v>46028.813043981485</v>
      </c>
      <c r="E890">
        <v>2457.91</v>
      </c>
      <c r="F890">
        <v>71.58</v>
      </c>
      <c r="G890">
        <v>2386.33</v>
      </c>
      <c r="H890" t="s">
        <v>25</v>
      </c>
      <c r="I890" t="s">
        <v>3900</v>
      </c>
      <c r="J890" t="s">
        <v>3036</v>
      </c>
      <c r="K890">
        <v>2457.91</v>
      </c>
      <c r="L890" t="b">
        <v>0</v>
      </c>
    </row>
    <row r="891" spans="1:12" x14ac:dyDescent="0.25">
      <c r="A891" t="s">
        <v>4083</v>
      </c>
      <c r="B891" t="s">
        <v>2565</v>
      </c>
      <c r="C891" t="s">
        <v>3034</v>
      </c>
      <c r="D891" s="1">
        <v>46029.88857638889</v>
      </c>
      <c r="E891">
        <v>340.94</v>
      </c>
      <c r="F891">
        <v>10.19</v>
      </c>
      <c r="G891">
        <v>330.75</v>
      </c>
      <c r="H891" t="s">
        <v>25</v>
      </c>
      <c r="I891" t="s">
        <v>3902</v>
      </c>
      <c r="J891" t="s">
        <v>3036</v>
      </c>
      <c r="K891">
        <v>340.94</v>
      </c>
      <c r="L891" t="b">
        <v>0</v>
      </c>
    </row>
    <row r="892" spans="1:12" x14ac:dyDescent="0.25">
      <c r="A892" t="s">
        <v>4084</v>
      </c>
      <c r="B892" t="s">
        <v>2568</v>
      </c>
      <c r="C892" t="s">
        <v>3034</v>
      </c>
      <c r="D892" s="1">
        <v>46030.993009259262</v>
      </c>
      <c r="E892">
        <v>360.82</v>
      </c>
      <c r="F892">
        <v>10.76</v>
      </c>
      <c r="G892">
        <v>350.06</v>
      </c>
      <c r="H892" t="s">
        <v>25</v>
      </c>
      <c r="I892" t="s">
        <v>3904</v>
      </c>
      <c r="J892" t="s">
        <v>3036</v>
      </c>
      <c r="K892">
        <v>360.82</v>
      </c>
      <c r="L892" t="b">
        <v>0</v>
      </c>
    </row>
    <row r="893" spans="1:12" x14ac:dyDescent="0.25">
      <c r="A893" t="s">
        <v>4085</v>
      </c>
      <c r="B893" t="s">
        <v>2571</v>
      </c>
      <c r="C893" t="s">
        <v>3034</v>
      </c>
      <c r="D893" s="1">
        <v>46032.076655092591</v>
      </c>
      <c r="E893">
        <v>265.27999999999997</v>
      </c>
      <c r="F893">
        <v>7.99</v>
      </c>
      <c r="G893">
        <v>257.29000000000002</v>
      </c>
      <c r="H893" t="s">
        <v>25</v>
      </c>
      <c r="I893" t="s">
        <v>4086</v>
      </c>
      <c r="J893" t="s">
        <v>3036</v>
      </c>
      <c r="K893">
        <v>265.27999999999997</v>
      </c>
      <c r="L893" t="b">
        <v>0</v>
      </c>
    </row>
    <row r="894" spans="1:12" x14ac:dyDescent="0.25">
      <c r="A894" t="s">
        <v>4087</v>
      </c>
      <c r="B894" t="s">
        <v>2574</v>
      </c>
      <c r="C894" t="s">
        <v>3034</v>
      </c>
      <c r="D894" s="1">
        <v>46033.179120370369</v>
      </c>
      <c r="E894">
        <v>42.48</v>
      </c>
      <c r="F894">
        <v>1.53</v>
      </c>
      <c r="G894">
        <v>40.950000000000003</v>
      </c>
      <c r="H894" t="s">
        <v>52</v>
      </c>
      <c r="I894" t="s">
        <v>3908</v>
      </c>
      <c r="J894" t="s">
        <v>3036</v>
      </c>
      <c r="K894">
        <v>42.48</v>
      </c>
      <c r="L894" t="b">
        <v>0</v>
      </c>
    </row>
    <row r="895" spans="1:12" x14ac:dyDescent="0.25">
      <c r="A895" t="s">
        <v>4088</v>
      </c>
      <c r="B895" t="s">
        <v>2577</v>
      </c>
      <c r="C895" t="s">
        <v>3034</v>
      </c>
      <c r="D895" s="1">
        <v>46033.239317129628</v>
      </c>
      <c r="E895">
        <v>41.73</v>
      </c>
      <c r="F895">
        <v>1.51</v>
      </c>
      <c r="G895">
        <v>40.22</v>
      </c>
      <c r="H895" t="s">
        <v>19</v>
      </c>
      <c r="I895" t="s">
        <v>3910</v>
      </c>
      <c r="J895" t="s">
        <v>3036</v>
      </c>
      <c r="K895">
        <v>41.73</v>
      </c>
      <c r="L895" t="b">
        <v>0</v>
      </c>
    </row>
    <row r="896" spans="1:12" x14ac:dyDescent="0.25">
      <c r="A896" t="s">
        <v>4089</v>
      </c>
      <c r="B896" t="s">
        <v>2577</v>
      </c>
      <c r="C896" t="s">
        <v>3076</v>
      </c>
      <c r="D896" s="1">
        <v>46034.232372685183</v>
      </c>
      <c r="E896">
        <v>-20.87</v>
      </c>
      <c r="F896">
        <v>0</v>
      </c>
      <c r="G896">
        <v>-20.87</v>
      </c>
      <c r="H896" t="s">
        <v>19</v>
      </c>
      <c r="I896" t="s">
        <v>4090</v>
      </c>
      <c r="J896" t="s">
        <v>3036</v>
      </c>
      <c r="K896">
        <v>-20.87</v>
      </c>
      <c r="L896" t="b">
        <v>0</v>
      </c>
    </row>
    <row r="897" spans="1:12" x14ac:dyDescent="0.25">
      <c r="A897" t="s">
        <v>4091</v>
      </c>
      <c r="B897" t="s">
        <v>2580</v>
      </c>
      <c r="C897" t="s">
        <v>3034</v>
      </c>
      <c r="D897" s="1">
        <v>46034.334108796298</v>
      </c>
      <c r="E897">
        <v>63.11</v>
      </c>
      <c r="F897">
        <v>2.13</v>
      </c>
      <c r="G897">
        <v>60.98</v>
      </c>
      <c r="H897" t="s">
        <v>25</v>
      </c>
      <c r="I897" t="s">
        <v>3912</v>
      </c>
      <c r="J897" t="s">
        <v>3036</v>
      </c>
      <c r="K897">
        <v>63.11</v>
      </c>
      <c r="L897" t="b">
        <v>0</v>
      </c>
    </row>
    <row r="898" spans="1:12" x14ac:dyDescent="0.25">
      <c r="A898" t="s">
        <v>4091</v>
      </c>
      <c r="B898" t="s">
        <v>2580</v>
      </c>
      <c r="C898" t="s">
        <v>3034</v>
      </c>
      <c r="D898" s="1">
        <v>46034.334108796298</v>
      </c>
      <c r="E898">
        <v>63.11</v>
      </c>
      <c r="F898">
        <v>2.13</v>
      </c>
      <c r="G898">
        <v>60.98</v>
      </c>
      <c r="H898" t="s">
        <v>25</v>
      </c>
      <c r="I898" t="s">
        <v>3912</v>
      </c>
      <c r="J898" t="s">
        <v>3036</v>
      </c>
      <c r="K898">
        <v>63.11</v>
      </c>
      <c r="L898" t="b">
        <v>0</v>
      </c>
    </row>
    <row r="899" spans="1:12" x14ac:dyDescent="0.25">
      <c r="A899" t="s">
        <v>4092</v>
      </c>
      <c r="B899" t="s">
        <v>2583</v>
      </c>
      <c r="C899" t="s">
        <v>3034</v>
      </c>
      <c r="D899" s="1">
        <v>46035.438449074078</v>
      </c>
      <c r="E899">
        <v>1748.28</v>
      </c>
      <c r="F899">
        <v>51</v>
      </c>
      <c r="G899">
        <v>1697.28</v>
      </c>
      <c r="H899" t="s">
        <v>25</v>
      </c>
      <c r="I899" t="s">
        <v>3914</v>
      </c>
      <c r="J899" t="s">
        <v>3036</v>
      </c>
      <c r="K899">
        <v>1748.28</v>
      </c>
      <c r="L899" t="b">
        <v>0</v>
      </c>
    </row>
    <row r="900" spans="1:12" x14ac:dyDescent="0.25">
      <c r="A900" t="s">
        <v>4093</v>
      </c>
      <c r="B900" t="s">
        <v>2586</v>
      </c>
      <c r="C900" t="s">
        <v>3034</v>
      </c>
      <c r="D900" s="1">
        <v>46036.534861111111</v>
      </c>
      <c r="E900">
        <v>594.07000000000005</v>
      </c>
      <c r="F900">
        <v>17.53</v>
      </c>
      <c r="G900">
        <v>576.54</v>
      </c>
      <c r="H900" t="s">
        <v>25</v>
      </c>
      <c r="I900" t="s">
        <v>3916</v>
      </c>
      <c r="J900" t="s">
        <v>3036</v>
      </c>
      <c r="K900">
        <v>594.07000000000005</v>
      </c>
      <c r="L900" t="b">
        <v>0</v>
      </c>
    </row>
    <row r="901" spans="1:12" x14ac:dyDescent="0.25">
      <c r="A901" t="s">
        <v>4094</v>
      </c>
      <c r="B901" t="s">
        <v>2589</v>
      </c>
      <c r="C901" t="s">
        <v>3034</v>
      </c>
      <c r="D901" s="1">
        <v>46023.60796296296</v>
      </c>
      <c r="E901">
        <v>2094.6999999999998</v>
      </c>
      <c r="F901">
        <v>61.05</v>
      </c>
      <c r="G901">
        <v>2033.65</v>
      </c>
      <c r="H901" t="s">
        <v>25</v>
      </c>
      <c r="I901" t="s">
        <v>3918</v>
      </c>
      <c r="J901" t="s">
        <v>3036</v>
      </c>
      <c r="K901">
        <v>2094.6999999999998</v>
      </c>
      <c r="L901" t="b">
        <v>0</v>
      </c>
    </row>
    <row r="902" spans="1:12" x14ac:dyDescent="0.25">
      <c r="A902" t="s">
        <v>4095</v>
      </c>
      <c r="B902" t="s">
        <v>2592</v>
      </c>
      <c r="C902" t="s">
        <v>3034</v>
      </c>
      <c r="D902" s="1">
        <v>46024.704918981479</v>
      </c>
      <c r="E902">
        <v>798.51</v>
      </c>
      <c r="F902">
        <v>23.46</v>
      </c>
      <c r="G902">
        <v>775.05</v>
      </c>
      <c r="H902" t="s">
        <v>25</v>
      </c>
      <c r="I902" t="s">
        <v>3890</v>
      </c>
      <c r="J902" t="s">
        <v>3036</v>
      </c>
      <c r="K902">
        <v>798.51</v>
      </c>
      <c r="L902" t="b">
        <v>0</v>
      </c>
    </row>
    <row r="903" spans="1:12" x14ac:dyDescent="0.25">
      <c r="A903" t="s">
        <v>4096</v>
      </c>
      <c r="B903" t="s">
        <v>2595</v>
      </c>
      <c r="C903" t="s">
        <v>3034</v>
      </c>
      <c r="D903" s="1">
        <v>46025.808657407404</v>
      </c>
      <c r="E903">
        <v>2321.09</v>
      </c>
      <c r="F903">
        <v>67.61</v>
      </c>
      <c r="G903">
        <v>2253.48</v>
      </c>
      <c r="H903" t="s">
        <v>25</v>
      </c>
      <c r="I903" t="s">
        <v>3894</v>
      </c>
      <c r="J903" t="s">
        <v>3036</v>
      </c>
      <c r="K903">
        <v>2321.09</v>
      </c>
      <c r="L903" t="b">
        <v>0</v>
      </c>
    </row>
    <row r="904" spans="1:12" x14ac:dyDescent="0.25">
      <c r="A904" t="s">
        <v>4097</v>
      </c>
      <c r="B904" t="s">
        <v>2598</v>
      </c>
      <c r="C904" t="s">
        <v>3034</v>
      </c>
      <c r="D904" s="1">
        <v>46026.880196759259</v>
      </c>
      <c r="E904">
        <v>2148.77</v>
      </c>
      <c r="F904">
        <v>62.61</v>
      </c>
      <c r="G904">
        <v>2086.16</v>
      </c>
      <c r="H904" t="s">
        <v>25</v>
      </c>
      <c r="I904" t="s">
        <v>3896</v>
      </c>
      <c r="J904" t="s">
        <v>3036</v>
      </c>
      <c r="K904">
        <v>2148.77</v>
      </c>
      <c r="L904" t="b">
        <v>0</v>
      </c>
    </row>
    <row r="905" spans="1:12" x14ac:dyDescent="0.25">
      <c r="A905" t="s">
        <v>4098</v>
      </c>
      <c r="B905" t="s">
        <v>2601</v>
      </c>
      <c r="C905" t="s">
        <v>3034</v>
      </c>
      <c r="D905" s="1">
        <v>46027.980034722219</v>
      </c>
      <c r="E905">
        <v>1021.65</v>
      </c>
      <c r="F905">
        <v>29.93</v>
      </c>
      <c r="G905">
        <v>991.72</v>
      </c>
      <c r="H905" t="s">
        <v>25</v>
      </c>
      <c r="I905" t="s">
        <v>3923</v>
      </c>
      <c r="J905" t="s">
        <v>3036</v>
      </c>
      <c r="K905">
        <v>1021.65</v>
      </c>
      <c r="L905" t="b">
        <v>0</v>
      </c>
    </row>
    <row r="906" spans="1:12" x14ac:dyDescent="0.25">
      <c r="A906" t="s">
        <v>4099</v>
      </c>
      <c r="B906" t="s">
        <v>2604</v>
      </c>
      <c r="C906" t="s">
        <v>3034</v>
      </c>
      <c r="D906" s="1">
        <v>46029.06695601852</v>
      </c>
      <c r="E906">
        <v>2088.59</v>
      </c>
      <c r="F906">
        <v>60.87</v>
      </c>
      <c r="G906">
        <v>2027.72</v>
      </c>
      <c r="H906" t="s">
        <v>52</v>
      </c>
      <c r="I906" t="s">
        <v>3925</v>
      </c>
      <c r="J906" t="s">
        <v>3036</v>
      </c>
      <c r="K906">
        <v>2088.59</v>
      </c>
      <c r="L906" t="b">
        <v>0</v>
      </c>
    </row>
    <row r="907" spans="1:12" x14ac:dyDescent="0.25">
      <c r="A907" t="s">
        <v>4100</v>
      </c>
      <c r="B907" t="s">
        <v>2607</v>
      </c>
      <c r="C907" t="s">
        <v>3034</v>
      </c>
      <c r="D907" s="1">
        <v>46030.189814814818</v>
      </c>
      <c r="E907">
        <v>2103.84</v>
      </c>
      <c r="F907">
        <v>61.31</v>
      </c>
      <c r="G907">
        <v>2042.53</v>
      </c>
      <c r="H907" t="s">
        <v>19</v>
      </c>
      <c r="I907" t="s">
        <v>3927</v>
      </c>
      <c r="J907" t="s">
        <v>3036</v>
      </c>
      <c r="K907">
        <v>2103.84</v>
      </c>
      <c r="L907" t="b">
        <v>0</v>
      </c>
    </row>
    <row r="908" spans="1:12" x14ac:dyDescent="0.25">
      <c r="A908" t="s">
        <v>4101</v>
      </c>
      <c r="B908" t="s">
        <v>2610</v>
      </c>
      <c r="C908" t="s">
        <v>3034</v>
      </c>
      <c r="D908" s="1">
        <v>46030.263506944444</v>
      </c>
      <c r="E908">
        <v>635.57000000000005</v>
      </c>
      <c r="F908">
        <v>18.73</v>
      </c>
      <c r="G908">
        <v>616.84</v>
      </c>
      <c r="H908" t="s">
        <v>25</v>
      </c>
      <c r="I908" t="s">
        <v>3904</v>
      </c>
      <c r="J908" t="s">
        <v>3036</v>
      </c>
      <c r="K908">
        <v>635.57000000000005</v>
      </c>
      <c r="L908" t="b">
        <v>0</v>
      </c>
    </row>
    <row r="909" spans="1:12" x14ac:dyDescent="0.25">
      <c r="A909" t="s">
        <v>4102</v>
      </c>
      <c r="B909" t="s">
        <v>2613</v>
      </c>
      <c r="C909" t="s">
        <v>3034</v>
      </c>
      <c r="D909" s="1">
        <v>46031.337199074071</v>
      </c>
      <c r="E909">
        <v>421.29</v>
      </c>
      <c r="F909">
        <v>12.52</v>
      </c>
      <c r="G909">
        <v>408.77</v>
      </c>
      <c r="H909" t="s">
        <v>25</v>
      </c>
      <c r="I909" t="s">
        <v>3930</v>
      </c>
      <c r="J909" t="s">
        <v>3036</v>
      </c>
      <c r="K909">
        <v>421.29</v>
      </c>
      <c r="L909" t="b">
        <v>0</v>
      </c>
    </row>
    <row r="910" spans="1:12" x14ac:dyDescent="0.25">
      <c r="A910" t="s">
        <v>4103</v>
      </c>
      <c r="B910" t="s">
        <v>2613</v>
      </c>
      <c r="C910" t="s">
        <v>3034</v>
      </c>
      <c r="D910" s="1">
        <v>46031.337893518517</v>
      </c>
      <c r="E910">
        <v>421.29</v>
      </c>
      <c r="F910">
        <v>12.52</v>
      </c>
      <c r="G910">
        <v>408.77</v>
      </c>
      <c r="H910" t="s">
        <v>25</v>
      </c>
      <c r="I910" t="s">
        <v>3930</v>
      </c>
      <c r="J910" t="s">
        <v>3036</v>
      </c>
      <c r="K910">
        <v>421.29</v>
      </c>
      <c r="L910" t="b">
        <v>0</v>
      </c>
    </row>
    <row r="911" spans="1:12" x14ac:dyDescent="0.25">
      <c r="A911" t="s">
        <v>4104</v>
      </c>
      <c r="B911" t="s">
        <v>2616</v>
      </c>
      <c r="C911" t="s">
        <v>3034</v>
      </c>
      <c r="D911" s="1">
        <v>46032.463958333334</v>
      </c>
      <c r="E911">
        <v>2129.65</v>
      </c>
      <c r="F911">
        <v>62.06</v>
      </c>
      <c r="G911">
        <v>2067.59</v>
      </c>
      <c r="H911" t="s">
        <v>25</v>
      </c>
      <c r="I911" t="s">
        <v>3932</v>
      </c>
      <c r="J911" t="s">
        <v>3036</v>
      </c>
      <c r="K911">
        <v>2129.65</v>
      </c>
      <c r="L911" t="b">
        <v>0</v>
      </c>
    </row>
    <row r="912" spans="1:12" x14ac:dyDescent="0.25">
      <c r="A912" t="s">
        <v>4105</v>
      </c>
      <c r="B912" t="s">
        <v>2619</v>
      </c>
      <c r="C912" t="s">
        <v>3034</v>
      </c>
      <c r="D912" s="1">
        <v>46033.529537037037</v>
      </c>
      <c r="E912">
        <v>1845.84</v>
      </c>
      <c r="F912">
        <v>53.83</v>
      </c>
      <c r="G912">
        <v>1792.01</v>
      </c>
      <c r="H912" t="s">
        <v>25</v>
      </c>
      <c r="I912" t="s">
        <v>3934</v>
      </c>
      <c r="J912" t="s">
        <v>3036</v>
      </c>
      <c r="K912">
        <v>1845.84</v>
      </c>
      <c r="L912" t="b">
        <v>0</v>
      </c>
    </row>
    <row r="913" spans="1:12" x14ac:dyDescent="0.25">
      <c r="A913" t="s">
        <v>4106</v>
      </c>
      <c r="B913" t="s">
        <v>2622</v>
      </c>
      <c r="C913" t="s">
        <v>3034</v>
      </c>
      <c r="D913" s="1">
        <v>46034.629328703704</v>
      </c>
      <c r="E913">
        <v>1148.5</v>
      </c>
      <c r="F913">
        <v>33.61</v>
      </c>
      <c r="G913">
        <v>1114.8900000000001</v>
      </c>
      <c r="H913" t="s">
        <v>25</v>
      </c>
      <c r="I913" t="s">
        <v>3912</v>
      </c>
      <c r="J913" t="s">
        <v>3036</v>
      </c>
      <c r="K913">
        <v>1148.5</v>
      </c>
      <c r="L913" t="b">
        <v>0</v>
      </c>
    </row>
    <row r="914" spans="1:12" x14ac:dyDescent="0.25">
      <c r="A914" t="s">
        <v>4107</v>
      </c>
      <c r="B914" t="s">
        <v>2625</v>
      </c>
      <c r="C914" t="s">
        <v>3034</v>
      </c>
      <c r="D914" s="1">
        <v>46035.702407407407</v>
      </c>
      <c r="E914">
        <v>785.53</v>
      </c>
      <c r="F914">
        <v>23.08</v>
      </c>
      <c r="G914">
        <v>762.45</v>
      </c>
      <c r="H914" t="s">
        <v>25</v>
      </c>
      <c r="I914" t="s">
        <v>3914</v>
      </c>
      <c r="J914" t="s">
        <v>3036</v>
      </c>
      <c r="K914">
        <v>785.53</v>
      </c>
      <c r="L914" t="b">
        <v>0</v>
      </c>
    </row>
    <row r="915" spans="1:12" x14ac:dyDescent="0.25">
      <c r="A915" t="s">
        <v>4108</v>
      </c>
      <c r="B915" t="s">
        <v>2628</v>
      </c>
      <c r="C915" t="s">
        <v>3034</v>
      </c>
      <c r="D915" s="1">
        <v>46036.814745370371</v>
      </c>
      <c r="E915">
        <v>1896.81</v>
      </c>
      <c r="F915">
        <v>55.31</v>
      </c>
      <c r="G915">
        <v>1841.5</v>
      </c>
      <c r="H915" t="s">
        <v>25</v>
      </c>
      <c r="I915" t="s">
        <v>3916</v>
      </c>
      <c r="J915" t="s">
        <v>3036</v>
      </c>
      <c r="K915">
        <v>1896.81</v>
      </c>
      <c r="L915" t="b">
        <v>0</v>
      </c>
    </row>
    <row r="916" spans="1:12" x14ac:dyDescent="0.25">
      <c r="A916" t="s">
        <v>4109</v>
      </c>
      <c r="B916" t="s">
        <v>2631</v>
      </c>
      <c r="C916" t="s">
        <v>3034</v>
      </c>
      <c r="D916" s="1">
        <v>46023.917442129627</v>
      </c>
      <c r="E916">
        <v>2480.9</v>
      </c>
      <c r="F916">
        <v>72.25</v>
      </c>
      <c r="G916">
        <v>2408.65</v>
      </c>
      <c r="H916" t="s">
        <v>25</v>
      </c>
      <c r="I916" t="s">
        <v>3918</v>
      </c>
      <c r="J916" t="s">
        <v>3036</v>
      </c>
      <c r="K916">
        <v>2480.9</v>
      </c>
      <c r="L916" t="b">
        <v>0</v>
      </c>
    </row>
    <row r="917" spans="1:12" x14ac:dyDescent="0.25">
      <c r="A917" t="s">
        <v>4110</v>
      </c>
      <c r="B917" t="s">
        <v>2634</v>
      </c>
      <c r="C917" t="s">
        <v>3034</v>
      </c>
      <c r="D917" s="1">
        <v>46025.007650462961</v>
      </c>
      <c r="E917">
        <v>2369.58</v>
      </c>
      <c r="F917">
        <v>69.02</v>
      </c>
      <c r="G917">
        <v>2300.56</v>
      </c>
      <c r="H917" t="s">
        <v>52</v>
      </c>
      <c r="I917" t="s">
        <v>3941</v>
      </c>
      <c r="J917" t="s">
        <v>3036</v>
      </c>
      <c r="K917">
        <v>2369.58</v>
      </c>
      <c r="L917" t="b">
        <v>0</v>
      </c>
    </row>
    <row r="918" spans="1:12" x14ac:dyDescent="0.25">
      <c r="A918" t="s">
        <v>4111</v>
      </c>
      <c r="B918" t="s">
        <v>2637</v>
      </c>
      <c r="C918" t="s">
        <v>3034</v>
      </c>
      <c r="D918" s="1">
        <v>46026.10497685185</v>
      </c>
      <c r="E918">
        <v>2348.33</v>
      </c>
      <c r="F918">
        <v>68.400000000000006</v>
      </c>
      <c r="G918">
        <v>2279.9299999999998</v>
      </c>
      <c r="H918" t="s">
        <v>19</v>
      </c>
      <c r="I918" t="s">
        <v>3943</v>
      </c>
      <c r="J918" t="s">
        <v>3036</v>
      </c>
      <c r="K918">
        <v>2348.33</v>
      </c>
      <c r="L918" t="b">
        <v>0</v>
      </c>
    </row>
    <row r="919" spans="1:12" x14ac:dyDescent="0.25">
      <c r="A919" t="s">
        <v>4112</v>
      </c>
      <c r="B919" t="s">
        <v>2637</v>
      </c>
      <c r="C919" t="s">
        <v>3076</v>
      </c>
      <c r="D919" s="1">
        <v>46027.098032407404</v>
      </c>
      <c r="E919">
        <v>-1174.17</v>
      </c>
      <c r="F919">
        <v>0</v>
      </c>
      <c r="G919">
        <v>-1174.17</v>
      </c>
      <c r="H919" t="s">
        <v>19</v>
      </c>
      <c r="I919" t="s">
        <v>4113</v>
      </c>
      <c r="J919" t="s">
        <v>3036</v>
      </c>
      <c r="K919">
        <v>-1174.17</v>
      </c>
      <c r="L919" t="b">
        <v>0</v>
      </c>
    </row>
    <row r="920" spans="1:12" x14ac:dyDescent="0.25">
      <c r="A920" t="s">
        <v>4114</v>
      </c>
      <c r="B920" t="s">
        <v>2640</v>
      </c>
      <c r="C920" t="s">
        <v>3034</v>
      </c>
      <c r="D920" s="1">
        <v>46027.184282407405</v>
      </c>
      <c r="E920">
        <v>2330.98</v>
      </c>
      <c r="F920">
        <v>67.900000000000006</v>
      </c>
      <c r="G920">
        <v>2263.08</v>
      </c>
      <c r="H920" t="s">
        <v>25</v>
      </c>
      <c r="I920" t="s">
        <v>3896</v>
      </c>
      <c r="J920" t="s">
        <v>3036</v>
      </c>
      <c r="K920">
        <v>2330.98</v>
      </c>
      <c r="L920" t="b">
        <v>0</v>
      </c>
    </row>
    <row r="921" spans="1:12" x14ac:dyDescent="0.25">
      <c r="A921" t="s">
        <v>4115</v>
      </c>
      <c r="B921" t="s">
        <v>2643</v>
      </c>
      <c r="C921" t="s">
        <v>3034</v>
      </c>
      <c r="D921" s="1">
        <v>46027.289687500001</v>
      </c>
      <c r="E921">
        <v>335.56</v>
      </c>
      <c r="F921">
        <v>10.029999999999999</v>
      </c>
      <c r="G921">
        <v>325.52999999999997</v>
      </c>
      <c r="H921" t="s">
        <v>25</v>
      </c>
      <c r="I921" t="s">
        <v>3923</v>
      </c>
      <c r="J921" t="s">
        <v>3036</v>
      </c>
      <c r="K921">
        <v>335.56</v>
      </c>
      <c r="L921" t="b">
        <v>0</v>
      </c>
    </row>
    <row r="922" spans="1:12" x14ac:dyDescent="0.25">
      <c r="A922" t="s">
        <v>4116</v>
      </c>
      <c r="B922" t="s">
        <v>2646</v>
      </c>
      <c r="C922" t="s">
        <v>3034</v>
      </c>
      <c r="D922" s="1">
        <v>46028.375393518516</v>
      </c>
      <c r="E922">
        <v>1215.7</v>
      </c>
      <c r="F922">
        <v>35.56</v>
      </c>
      <c r="G922">
        <v>1180.1400000000001</v>
      </c>
      <c r="H922" t="s">
        <v>25</v>
      </c>
      <c r="I922" t="s">
        <v>3900</v>
      </c>
      <c r="J922" t="s">
        <v>3036</v>
      </c>
      <c r="K922">
        <v>1215.7</v>
      </c>
      <c r="L922" t="b">
        <v>0</v>
      </c>
    </row>
    <row r="923" spans="1:12" x14ac:dyDescent="0.25">
      <c r="A923" t="s">
        <v>4117</v>
      </c>
      <c r="B923" t="s">
        <v>2649</v>
      </c>
      <c r="C923" t="s">
        <v>3034</v>
      </c>
      <c r="D923" s="1">
        <v>46029.46675925926</v>
      </c>
      <c r="E923">
        <v>1605.02</v>
      </c>
      <c r="F923">
        <v>46.85</v>
      </c>
      <c r="G923">
        <v>1558.17</v>
      </c>
      <c r="H923" t="s">
        <v>25</v>
      </c>
      <c r="I923" t="s">
        <v>4118</v>
      </c>
      <c r="J923" t="s">
        <v>3036</v>
      </c>
      <c r="K923">
        <v>1605.02</v>
      </c>
      <c r="L923" t="b">
        <v>0</v>
      </c>
    </row>
    <row r="924" spans="1:12" x14ac:dyDescent="0.25">
      <c r="A924" t="s">
        <v>4119</v>
      </c>
      <c r="B924" t="s">
        <v>2652</v>
      </c>
      <c r="C924" t="s">
        <v>3034</v>
      </c>
      <c r="D924" s="1">
        <v>46030.532106481478</v>
      </c>
      <c r="E924">
        <v>557.58000000000004</v>
      </c>
      <c r="F924">
        <v>16.47</v>
      </c>
      <c r="G924">
        <v>541.11</v>
      </c>
      <c r="H924" t="s">
        <v>25</v>
      </c>
      <c r="I924" t="s">
        <v>3904</v>
      </c>
      <c r="J924" t="s">
        <v>3036</v>
      </c>
      <c r="K924">
        <v>557.58000000000004</v>
      </c>
      <c r="L924" t="b">
        <v>0</v>
      </c>
    </row>
    <row r="925" spans="1:12" x14ac:dyDescent="0.25">
      <c r="A925" t="s">
        <v>4120</v>
      </c>
      <c r="B925" t="s">
        <v>2655</v>
      </c>
      <c r="C925" t="s">
        <v>3034</v>
      </c>
      <c r="D925" s="1">
        <v>46031.639560185184</v>
      </c>
      <c r="E925">
        <v>2168.86</v>
      </c>
      <c r="F925">
        <v>63.2</v>
      </c>
      <c r="G925">
        <v>2105.66</v>
      </c>
      <c r="H925" t="s">
        <v>25</v>
      </c>
      <c r="I925" t="s">
        <v>3930</v>
      </c>
      <c r="J925" t="s">
        <v>3036</v>
      </c>
      <c r="K925">
        <v>2168.86</v>
      </c>
      <c r="L925" t="b">
        <v>0</v>
      </c>
    </row>
    <row r="926" spans="1:12" x14ac:dyDescent="0.25">
      <c r="A926" t="s">
        <v>4121</v>
      </c>
      <c r="B926" t="s">
        <v>2658</v>
      </c>
      <c r="C926" t="s">
        <v>3034</v>
      </c>
      <c r="D926" s="1">
        <v>46032.727731481478</v>
      </c>
      <c r="E926">
        <v>394.83</v>
      </c>
      <c r="F926">
        <v>11.75</v>
      </c>
      <c r="G926">
        <v>383.08</v>
      </c>
      <c r="H926" t="s">
        <v>25</v>
      </c>
      <c r="I926" t="s">
        <v>3932</v>
      </c>
      <c r="J926" t="s">
        <v>3036</v>
      </c>
      <c r="K926">
        <v>394.83</v>
      </c>
      <c r="L926" t="b">
        <v>0</v>
      </c>
    </row>
    <row r="927" spans="1:12" x14ac:dyDescent="0.25">
      <c r="A927" t="s">
        <v>4122</v>
      </c>
      <c r="B927" t="s">
        <v>2661</v>
      </c>
      <c r="C927" t="s">
        <v>3034</v>
      </c>
      <c r="D927" s="1">
        <v>46033.82534722222</v>
      </c>
      <c r="E927">
        <v>85.57</v>
      </c>
      <c r="F927">
        <v>2.78</v>
      </c>
      <c r="G927">
        <v>82.79</v>
      </c>
      <c r="H927" t="s">
        <v>25</v>
      </c>
      <c r="I927" t="s">
        <v>3934</v>
      </c>
      <c r="J927" t="s">
        <v>3036</v>
      </c>
      <c r="K927">
        <v>85.57</v>
      </c>
      <c r="L927" t="b">
        <v>0</v>
      </c>
    </row>
    <row r="928" spans="1:12" x14ac:dyDescent="0.25">
      <c r="A928" t="s">
        <v>4123</v>
      </c>
      <c r="B928" t="s">
        <v>2664</v>
      </c>
      <c r="C928" t="s">
        <v>3034</v>
      </c>
      <c r="D928" s="1">
        <v>46034.900729166664</v>
      </c>
      <c r="E928">
        <v>113.44</v>
      </c>
      <c r="F928">
        <v>3.59</v>
      </c>
      <c r="G928">
        <v>109.85</v>
      </c>
      <c r="H928" t="s">
        <v>52</v>
      </c>
      <c r="I928" t="s">
        <v>3954</v>
      </c>
      <c r="J928" t="s">
        <v>3036</v>
      </c>
      <c r="K928">
        <v>113.44</v>
      </c>
      <c r="L928" t="b">
        <v>0</v>
      </c>
    </row>
    <row r="929" spans="1:12" x14ac:dyDescent="0.25">
      <c r="A929" t="s">
        <v>4124</v>
      </c>
      <c r="B929" t="s">
        <v>2667</v>
      </c>
      <c r="C929" t="s">
        <v>3034</v>
      </c>
      <c r="D929" s="1">
        <v>46036.005300925928</v>
      </c>
      <c r="E929">
        <v>1001.11</v>
      </c>
      <c r="F929">
        <v>29.33</v>
      </c>
      <c r="G929">
        <v>971.78</v>
      </c>
      <c r="H929" t="s">
        <v>19</v>
      </c>
      <c r="I929" t="s">
        <v>4125</v>
      </c>
      <c r="J929" t="s">
        <v>3036</v>
      </c>
      <c r="K929">
        <v>1001.11</v>
      </c>
      <c r="L929" t="b">
        <v>0</v>
      </c>
    </row>
    <row r="930" spans="1:12" x14ac:dyDescent="0.25">
      <c r="A930" t="s">
        <v>4126</v>
      </c>
      <c r="B930" t="s">
        <v>2667</v>
      </c>
      <c r="C930" t="s">
        <v>3076</v>
      </c>
      <c r="D930" s="1">
        <v>46036.998356481483</v>
      </c>
      <c r="E930">
        <v>-500.56</v>
      </c>
      <c r="F930">
        <v>0</v>
      </c>
      <c r="G930">
        <v>-500.56</v>
      </c>
      <c r="H930" t="s">
        <v>19</v>
      </c>
      <c r="I930" t="s">
        <v>4127</v>
      </c>
      <c r="J930" t="s">
        <v>3036</v>
      </c>
      <c r="K930">
        <v>-500.56</v>
      </c>
      <c r="L930" t="b">
        <v>0</v>
      </c>
    </row>
    <row r="931" spans="1:12" x14ac:dyDescent="0.25">
      <c r="A931" t="s">
        <v>4128</v>
      </c>
      <c r="B931" t="s">
        <v>2673</v>
      </c>
      <c r="C931" t="s">
        <v>3034</v>
      </c>
      <c r="D931" s="1">
        <v>46024.195636574077</v>
      </c>
      <c r="E931">
        <v>1823.75</v>
      </c>
      <c r="F931">
        <v>53.19</v>
      </c>
      <c r="G931">
        <v>1770.56</v>
      </c>
      <c r="H931" t="s">
        <v>25</v>
      </c>
      <c r="I931" t="s">
        <v>3918</v>
      </c>
      <c r="J931" t="s">
        <v>3036</v>
      </c>
      <c r="K931">
        <v>1823.75</v>
      </c>
      <c r="L931" t="b">
        <v>0</v>
      </c>
    </row>
    <row r="932" spans="1:12" x14ac:dyDescent="0.25">
      <c r="A932" t="s">
        <v>4129</v>
      </c>
      <c r="B932" t="s">
        <v>2676</v>
      </c>
      <c r="C932" t="s">
        <v>3034</v>
      </c>
      <c r="D932" s="1">
        <v>46024.28875</v>
      </c>
      <c r="E932">
        <v>735.46</v>
      </c>
      <c r="F932">
        <v>21.63</v>
      </c>
      <c r="G932">
        <v>713.83</v>
      </c>
      <c r="H932" t="s">
        <v>25</v>
      </c>
      <c r="I932" t="s">
        <v>3890</v>
      </c>
      <c r="J932" t="s">
        <v>3036</v>
      </c>
      <c r="K932">
        <v>735.46</v>
      </c>
      <c r="L932" t="b">
        <v>0</v>
      </c>
    </row>
    <row r="933" spans="1:12" x14ac:dyDescent="0.25">
      <c r="A933" t="s">
        <v>4130</v>
      </c>
      <c r="B933" t="s">
        <v>2679</v>
      </c>
      <c r="C933" t="s">
        <v>3034</v>
      </c>
      <c r="D933" s="1">
        <v>46025.385972222219</v>
      </c>
      <c r="E933">
        <v>2045.81</v>
      </c>
      <c r="F933">
        <v>59.63</v>
      </c>
      <c r="G933">
        <v>1986.18</v>
      </c>
      <c r="H933" t="s">
        <v>25</v>
      </c>
      <c r="I933" t="s">
        <v>3894</v>
      </c>
      <c r="J933" t="s">
        <v>3036</v>
      </c>
      <c r="K933">
        <v>2045.81</v>
      </c>
      <c r="L933" t="b">
        <v>0</v>
      </c>
    </row>
    <row r="934" spans="1:12" x14ac:dyDescent="0.25">
      <c r="A934" t="s">
        <v>4131</v>
      </c>
      <c r="B934" t="s">
        <v>2682</v>
      </c>
      <c r="C934" t="s">
        <v>3034</v>
      </c>
      <c r="D934" s="1">
        <v>46026.459537037037</v>
      </c>
      <c r="E934">
        <v>1843.92</v>
      </c>
      <c r="F934">
        <v>53.77</v>
      </c>
      <c r="G934">
        <v>1790.15</v>
      </c>
      <c r="H934" t="s">
        <v>25</v>
      </c>
      <c r="I934" t="s">
        <v>4132</v>
      </c>
      <c r="J934" t="s">
        <v>3036</v>
      </c>
      <c r="K934">
        <v>1843.92</v>
      </c>
      <c r="L934" t="b">
        <v>0</v>
      </c>
    </row>
    <row r="935" spans="1:12" x14ac:dyDescent="0.25">
      <c r="A935" t="s">
        <v>4133</v>
      </c>
      <c r="B935" t="s">
        <v>2688</v>
      </c>
      <c r="C935" t="s">
        <v>3034</v>
      </c>
      <c r="D935" s="1">
        <v>46028.640277777777</v>
      </c>
      <c r="E935">
        <v>993.25</v>
      </c>
      <c r="F935">
        <v>29.1</v>
      </c>
      <c r="G935">
        <v>964.15</v>
      </c>
      <c r="H935" t="s">
        <v>25</v>
      </c>
      <c r="I935" t="s">
        <v>3900</v>
      </c>
      <c r="J935" t="s">
        <v>3036</v>
      </c>
      <c r="K935">
        <v>993.25</v>
      </c>
      <c r="L935" t="b">
        <v>0</v>
      </c>
    </row>
    <row r="936" spans="1:12" x14ac:dyDescent="0.25">
      <c r="A936" t="s">
        <v>4134</v>
      </c>
      <c r="B936" t="s">
        <v>2691</v>
      </c>
      <c r="C936" t="s">
        <v>3034</v>
      </c>
      <c r="D936" s="1">
        <v>46029.750162037039</v>
      </c>
      <c r="E936">
        <v>974.31</v>
      </c>
      <c r="F936">
        <v>28.55</v>
      </c>
      <c r="G936">
        <v>945.76</v>
      </c>
      <c r="H936" t="s">
        <v>25</v>
      </c>
      <c r="I936" t="s">
        <v>3902</v>
      </c>
      <c r="J936" t="s">
        <v>3036</v>
      </c>
      <c r="K936">
        <v>974.31</v>
      </c>
      <c r="L936" t="b">
        <v>0</v>
      </c>
    </row>
    <row r="937" spans="1:12" x14ac:dyDescent="0.25">
      <c r="A937" t="s">
        <v>4135</v>
      </c>
      <c r="B937" t="s">
        <v>2694</v>
      </c>
      <c r="C937" t="s">
        <v>3034</v>
      </c>
      <c r="D937" s="1">
        <v>46030.826516203706</v>
      </c>
      <c r="E937">
        <v>511.71</v>
      </c>
      <c r="F937">
        <v>15.14</v>
      </c>
      <c r="G937">
        <v>496.57</v>
      </c>
      <c r="H937" t="s">
        <v>52</v>
      </c>
      <c r="I937" t="s">
        <v>3968</v>
      </c>
      <c r="J937" t="s">
        <v>3036</v>
      </c>
      <c r="K937">
        <v>511.71</v>
      </c>
      <c r="L937" t="b">
        <v>0</v>
      </c>
    </row>
    <row r="938" spans="1:12" x14ac:dyDescent="0.25">
      <c r="A938" t="s">
        <v>4136</v>
      </c>
      <c r="B938" t="s">
        <v>2697</v>
      </c>
      <c r="C938" t="s">
        <v>3034</v>
      </c>
      <c r="D938" s="1">
        <v>46031.907337962963</v>
      </c>
      <c r="E938">
        <v>1864.24</v>
      </c>
      <c r="F938">
        <v>54.36</v>
      </c>
      <c r="G938">
        <v>1809.88</v>
      </c>
      <c r="H938" t="s">
        <v>19</v>
      </c>
      <c r="I938" t="s">
        <v>3970</v>
      </c>
      <c r="J938" t="s">
        <v>3036</v>
      </c>
      <c r="K938">
        <v>1864.24</v>
      </c>
      <c r="L938" t="b">
        <v>0</v>
      </c>
    </row>
    <row r="939" spans="1:12" x14ac:dyDescent="0.25">
      <c r="A939" t="s">
        <v>4137</v>
      </c>
      <c r="B939" t="s">
        <v>2700</v>
      </c>
      <c r="C939" t="s">
        <v>3034</v>
      </c>
      <c r="D939" s="1">
        <v>46033.013692129629</v>
      </c>
      <c r="E939">
        <v>1935.98</v>
      </c>
      <c r="F939">
        <v>56.44</v>
      </c>
      <c r="G939">
        <v>1879.54</v>
      </c>
      <c r="H939" t="s">
        <v>25</v>
      </c>
      <c r="I939" t="s">
        <v>3932</v>
      </c>
      <c r="J939" t="s">
        <v>3036</v>
      </c>
      <c r="K939">
        <v>1935.98</v>
      </c>
      <c r="L939" t="b">
        <v>0</v>
      </c>
    </row>
    <row r="940" spans="1:12" x14ac:dyDescent="0.25">
      <c r="A940" t="s">
        <v>4138</v>
      </c>
      <c r="B940" t="s">
        <v>2703</v>
      </c>
      <c r="C940" t="s">
        <v>3034</v>
      </c>
      <c r="D940" s="1">
        <v>46034.124490740738</v>
      </c>
      <c r="E940">
        <v>1808.05</v>
      </c>
      <c r="F940">
        <v>52.73</v>
      </c>
      <c r="G940">
        <v>1755.32</v>
      </c>
      <c r="H940" t="s">
        <v>25</v>
      </c>
      <c r="I940" t="s">
        <v>4139</v>
      </c>
      <c r="J940" t="s">
        <v>3036</v>
      </c>
      <c r="K940">
        <v>1808.05</v>
      </c>
      <c r="L940" t="b">
        <v>0</v>
      </c>
    </row>
    <row r="941" spans="1:12" x14ac:dyDescent="0.25">
      <c r="A941" t="s">
        <v>4140</v>
      </c>
      <c r="B941" t="s">
        <v>2706</v>
      </c>
      <c r="C941" t="s">
        <v>3034</v>
      </c>
      <c r="D941" s="1">
        <v>46035.209328703706</v>
      </c>
      <c r="E941">
        <v>2447.9499999999998</v>
      </c>
      <c r="F941">
        <v>71.290000000000006</v>
      </c>
      <c r="G941">
        <v>2376.66</v>
      </c>
      <c r="H941" t="s">
        <v>25</v>
      </c>
      <c r="I941" t="s">
        <v>3912</v>
      </c>
      <c r="J941" t="s">
        <v>3036</v>
      </c>
      <c r="K941">
        <v>2447.9499999999998</v>
      </c>
      <c r="L941" t="b">
        <v>0</v>
      </c>
    </row>
    <row r="942" spans="1:12" x14ac:dyDescent="0.25">
      <c r="A942" t="s">
        <v>4141</v>
      </c>
      <c r="B942" t="s">
        <v>2709</v>
      </c>
      <c r="C942" t="s">
        <v>3034</v>
      </c>
      <c r="D942" s="1">
        <v>46035.293530092589</v>
      </c>
      <c r="E942">
        <v>646.74</v>
      </c>
      <c r="F942">
        <v>19.059999999999999</v>
      </c>
      <c r="G942">
        <v>627.67999999999995</v>
      </c>
      <c r="H942" t="s">
        <v>25</v>
      </c>
      <c r="I942" t="s">
        <v>3914</v>
      </c>
      <c r="J942" t="s">
        <v>3036</v>
      </c>
      <c r="K942">
        <v>646.74</v>
      </c>
      <c r="L942" t="b">
        <v>0</v>
      </c>
    </row>
    <row r="943" spans="1:12" x14ac:dyDescent="0.25">
      <c r="A943" t="s">
        <v>4142</v>
      </c>
      <c r="B943" t="s">
        <v>2712</v>
      </c>
      <c r="C943" t="s">
        <v>3034</v>
      </c>
      <c r="D943" s="1">
        <v>46036.381041666667</v>
      </c>
      <c r="E943">
        <v>1530.95</v>
      </c>
      <c r="F943">
        <v>44.7</v>
      </c>
      <c r="G943">
        <v>1486.25</v>
      </c>
      <c r="H943" t="s">
        <v>25</v>
      </c>
      <c r="I943" t="s">
        <v>3916</v>
      </c>
      <c r="J943" t="s">
        <v>3036</v>
      </c>
      <c r="K943">
        <v>1530.95</v>
      </c>
      <c r="L943" t="b">
        <v>0</v>
      </c>
    </row>
    <row r="944" spans="1:12" x14ac:dyDescent="0.25">
      <c r="A944" t="s">
        <v>4143</v>
      </c>
      <c r="B944" t="s">
        <v>2715</v>
      </c>
      <c r="C944" t="s">
        <v>3034</v>
      </c>
      <c r="D944" s="1">
        <v>46023.486527777779</v>
      </c>
      <c r="E944">
        <v>373.69</v>
      </c>
      <c r="F944">
        <v>11.14</v>
      </c>
      <c r="G944">
        <v>362.55</v>
      </c>
      <c r="H944" t="s">
        <v>25</v>
      </c>
      <c r="I944" t="s">
        <v>3918</v>
      </c>
      <c r="J944" t="s">
        <v>3036</v>
      </c>
      <c r="K944">
        <v>373.69</v>
      </c>
      <c r="L944" t="b">
        <v>0</v>
      </c>
    </row>
    <row r="945" spans="1:12" x14ac:dyDescent="0.25">
      <c r="A945" t="s">
        <v>4144</v>
      </c>
      <c r="B945" t="s">
        <v>2718</v>
      </c>
      <c r="C945" t="s">
        <v>3034</v>
      </c>
      <c r="D945" s="1">
        <v>46024.54241898148</v>
      </c>
      <c r="E945">
        <v>2370.52</v>
      </c>
      <c r="F945">
        <v>69.05</v>
      </c>
      <c r="G945">
        <v>2301.4699999999998</v>
      </c>
      <c r="H945" t="s">
        <v>25</v>
      </c>
      <c r="I945" t="s">
        <v>3890</v>
      </c>
      <c r="J945" t="s">
        <v>3036</v>
      </c>
      <c r="K945">
        <v>2370.52</v>
      </c>
      <c r="L945" t="b">
        <v>0</v>
      </c>
    </row>
    <row r="946" spans="1:12" x14ac:dyDescent="0.25">
      <c r="A946" t="s">
        <v>4145</v>
      </c>
      <c r="B946" t="s">
        <v>2718</v>
      </c>
      <c r="C946" t="s">
        <v>3076</v>
      </c>
      <c r="D946" s="1">
        <v>46025.535474537035</v>
      </c>
      <c r="E946">
        <v>-2370.52</v>
      </c>
      <c r="F946">
        <v>0</v>
      </c>
      <c r="G946">
        <v>-2370.52</v>
      </c>
      <c r="H946" t="s">
        <v>25</v>
      </c>
      <c r="I946" t="s">
        <v>4146</v>
      </c>
      <c r="J946" t="s">
        <v>3036</v>
      </c>
      <c r="K946">
        <v>-2370.52</v>
      </c>
      <c r="L946" t="b">
        <v>0</v>
      </c>
    </row>
    <row r="947" spans="1:12" x14ac:dyDescent="0.25">
      <c r="A947" t="s">
        <v>4147</v>
      </c>
      <c r="B947" t="s">
        <v>2721</v>
      </c>
      <c r="C947" t="s">
        <v>3034</v>
      </c>
      <c r="D947" s="1">
        <v>46025.674629629626</v>
      </c>
      <c r="E947">
        <v>1460.54</v>
      </c>
      <c r="F947">
        <v>42.66</v>
      </c>
      <c r="G947">
        <v>1417.88</v>
      </c>
      <c r="H947" t="s">
        <v>25</v>
      </c>
      <c r="I947" t="s">
        <v>3894</v>
      </c>
      <c r="J947" t="s">
        <v>3036</v>
      </c>
      <c r="K947">
        <v>1460.54</v>
      </c>
      <c r="L947" t="b">
        <v>0</v>
      </c>
    </row>
    <row r="948" spans="1:12" x14ac:dyDescent="0.25">
      <c r="A948" t="s">
        <v>4148</v>
      </c>
      <c r="B948" t="s">
        <v>2724</v>
      </c>
      <c r="C948" t="s">
        <v>3034</v>
      </c>
      <c r="D948" s="1">
        <v>46026.741238425922</v>
      </c>
      <c r="E948">
        <v>1267.3399999999999</v>
      </c>
      <c r="F948">
        <v>37.049999999999997</v>
      </c>
      <c r="G948">
        <v>1230.29</v>
      </c>
      <c r="H948" t="s">
        <v>52</v>
      </c>
      <c r="I948" t="s">
        <v>3984</v>
      </c>
      <c r="J948" t="s">
        <v>3036</v>
      </c>
      <c r="K948">
        <v>1267.3399999999999</v>
      </c>
      <c r="L948" t="b">
        <v>0</v>
      </c>
    </row>
    <row r="949" spans="1:12" x14ac:dyDescent="0.25">
      <c r="A949" t="s">
        <v>4149</v>
      </c>
      <c r="B949" t="s">
        <v>2727</v>
      </c>
      <c r="C949" t="s">
        <v>3034</v>
      </c>
      <c r="D949" s="1">
        <v>46027.818692129629</v>
      </c>
      <c r="E949">
        <v>2112.7199999999998</v>
      </c>
      <c r="F949">
        <v>61.57</v>
      </c>
      <c r="G949">
        <v>2051.15</v>
      </c>
      <c r="H949" t="s">
        <v>19</v>
      </c>
      <c r="I949" t="s">
        <v>3986</v>
      </c>
      <c r="J949" t="s">
        <v>3036</v>
      </c>
      <c r="K949">
        <v>2112.7199999999998</v>
      </c>
      <c r="L949" t="b">
        <v>0</v>
      </c>
    </row>
    <row r="950" spans="1:12" x14ac:dyDescent="0.25">
      <c r="A950" t="s">
        <v>4150</v>
      </c>
      <c r="B950" t="s">
        <v>2730</v>
      </c>
      <c r="C950" t="s">
        <v>3034</v>
      </c>
      <c r="D950" s="1">
        <v>46028.919594907406</v>
      </c>
      <c r="E950">
        <v>699.68</v>
      </c>
      <c r="F950">
        <v>20.59</v>
      </c>
      <c r="G950">
        <v>679.09</v>
      </c>
      <c r="H950" t="s">
        <v>25</v>
      </c>
      <c r="I950" t="s">
        <v>3900</v>
      </c>
      <c r="J950" t="s">
        <v>3036</v>
      </c>
      <c r="K950">
        <v>699.68</v>
      </c>
      <c r="L950" t="b">
        <v>0</v>
      </c>
    </row>
    <row r="951" spans="1:12" x14ac:dyDescent="0.25">
      <c r="A951" t="s">
        <v>4150</v>
      </c>
      <c r="B951" t="s">
        <v>2730</v>
      </c>
      <c r="C951" t="s">
        <v>3034</v>
      </c>
      <c r="D951" s="1">
        <v>46028.919594907406</v>
      </c>
      <c r="E951">
        <v>699.68</v>
      </c>
      <c r="F951">
        <v>20.59</v>
      </c>
      <c r="G951">
        <v>679.09</v>
      </c>
      <c r="H951" t="s">
        <v>25</v>
      </c>
      <c r="I951" t="s">
        <v>3900</v>
      </c>
      <c r="J951" t="s">
        <v>3036</v>
      </c>
      <c r="K951">
        <v>699.68</v>
      </c>
      <c r="L951" t="b">
        <v>0</v>
      </c>
    </row>
    <row r="952" spans="1:12" x14ac:dyDescent="0.25">
      <c r="A952" t="s">
        <v>4151</v>
      </c>
      <c r="B952" t="s">
        <v>2733</v>
      </c>
      <c r="C952" t="s">
        <v>3034</v>
      </c>
      <c r="D952" s="1">
        <v>46030.0234837963</v>
      </c>
      <c r="E952">
        <v>1213.06</v>
      </c>
      <c r="F952">
        <v>35.479999999999997</v>
      </c>
      <c r="G952">
        <v>1177.58</v>
      </c>
      <c r="H952" t="s">
        <v>25</v>
      </c>
      <c r="I952" t="s">
        <v>3902</v>
      </c>
      <c r="J952" t="s">
        <v>3036</v>
      </c>
      <c r="K952">
        <v>1213.06</v>
      </c>
      <c r="L952" t="b">
        <v>0</v>
      </c>
    </row>
    <row r="953" spans="1:12" x14ac:dyDescent="0.25">
      <c r="A953" t="s">
        <v>4152</v>
      </c>
      <c r="B953" t="s">
        <v>2736</v>
      </c>
      <c r="C953" t="s">
        <v>3034</v>
      </c>
      <c r="D953" s="1">
        <v>46031.096250000002</v>
      </c>
      <c r="E953">
        <v>1255.8</v>
      </c>
      <c r="F953">
        <v>36.72</v>
      </c>
      <c r="G953">
        <v>1219.08</v>
      </c>
      <c r="H953" t="s">
        <v>25</v>
      </c>
      <c r="I953" t="s">
        <v>3904</v>
      </c>
      <c r="J953" t="s">
        <v>3036</v>
      </c>
      <c r="K953">
        <v>1255.8</v>
      </c>
      <c r="L953" t="b">
        <v>0</v>
      </c>
    </row>
    <row r="954" spans="1:12" x14ac:dyDescent="0.25">
      <c r="A954" t="s">
        <v>4153</v>
      </c>
      <c r="B954" t="s">
        <v>2739</v>
      </c>
      <c r="C954" t="s">
        <v>3034</v>
      </c>
      <c r="D954" s="1">
        <v>46032.185208333336</v>
      </c>
      <c r="E954">
        <v>1351.66</v>
      </c>
      <c r="F954">
        <v>39.5</v>
      </c>
      <c r="G954">
        <v>1312.16</v>
      </c>
      <c r="H954" t="s">
        <v>25</v>
      </c>
      <c r="I954" t="s">
        <v>3930</v>
      </c>
      <c r="J954" t="s">
        <v>3036</v>
      </c>
      <c r="K954">
        <v>1351.66</v>
      </c>
      <c r="L954" t="b">
        <v>0</v>
      </c>
    </row>
    <row r="955" spans="1:12" x14ac:dyDescent="0.25">
      <c r="A955" t="s">
        <v>4154</v>
      </c>
      <c r="B955" t="s">
        <v>2742</v>
      </c>
      <c r="C955" t="s">
        <v>3034</v>
      </c>
      <c r="D955" s="1">
        <v>46032.288877314815</v>
      </c>
      <c r="E955">
        <v>1863.47</v>
      </c>
      <c r="F955">
        <v>54.34</v>
      </c>
      <c r="G955">
        <v>1809.13</v>
      </c>
      <c r="H955" t="s">
        <v>25</v>
      </c>
      <c r="I955" t="s">
        <v>3932</v>
      </c>
      <c r="J955" t="s">
        <v>3036</v>
      </c>
      <c r="K955">
        <v>1863.47</v>
      </c>
      <c r="L955" t="b">
        <v>0</v>
      </c>
    </row>
    <row r="956" spans="1:12" x14ac:dyDescent="0.25">
      <c r="A956" t="s">
        <v>4155</v>
      </c>
      <c r="B956" t="s">
        <v>2745</v>
      </c>
      <c r="C956" t="s">
        <v>3034</v>
      </c>
      <c r="D956" s="1">
        <v>46033.401932870373</v>
      </c>
      <c r="E956">
        <v>998.64</v>
      </c>
      <c r="F956">
        <v>29.26</v>
      </c>
      <c r="G956">
        <v>969.38</v>
      </c>
      <c r="H956" t="s">
        <v>25</v>
      </c>
      <c r="I956" t="s">
        <v>3934</v>
      </c>
      <c r="J956" t="s">
        <v>3036</v>
      </c>
      <c r="K956">
        <v>998.64</v>
      </c>
      <c r="L956" t="b">
        <v>0</v>
      </c>
    </row>
    <row r="957" spans="1:12" x14ac:dyDescent="0.25">
      <c r="A957" t="s">
        <v>4156</v>
      </c>
      <c r="B957" t="s">
        <v>2748</v>
      </c>
      <c r="C957" t="s">
        <v>3034</v>
      </c>
      <c r="D957" s="1">
        <v>46034.497152777774</v>
      </c>
      <c r="E957">
        <v>2177.5500000000002</v>
      </c>
      <c r="F957">
        <v>63.45</v>
      </c>
      <c r="G957">
        <v>2114.1</v>
      </c>
      <c r="H957" t="s">
        <v>25</v>
      </c>
      <c r="I957" t="s">
        <v>3912</v>
      </c>
      <c r="J957" t="s">
        <v>3036</v>
      </c>
      <c r="K957">
        <v>2177.5500000000002</v>
      </c>
      <c r="L957" t="b">
        <v>0</v>
      </c>
    </row>
    <row r="958" spans="1:12" x14ac:dyDescent="0.25">
      <c r="A958" t="s">
        <v>4157</v>
      </c>
      <c r="B958" t="s">
        <v>2751</v>
      </c>
      <c r="C958" t="s">
        <v>3034</v>
      </c>
      <c r="D958" s="1">
        <v>46035.585972222223</v>
      </c>
      <c r="E958">
        <v>1129.57</v>
      </c>
      <c r="F958">
        <v>33.06</v>
      </c>
      <c r="G958">
        <v>1096.51</v>
      </c>
      <c r="H958" t="s">
        <v>25</v>
      </c>
      <c r="I958" t="s">
        <v>3914</v>
      </c>
      <c r="J958" t="s">
        <v>3036</v>
      </c>
      <c r="K958">
        <v>1129.57</v>
      </c>
      <c r="L958" t="b">
        <v>0</v>
      </c>
    </row>
    <row r="959" spans="1:12" x14ac:dyDescent="0.25">
      <c r="A959" t="s">
        <v>4158</v>
      </c>
      <c r="B959" t="s">
        <v>2754</v>
      </c>
      <c r="C959" t="s">
        <v>3034</v>
      </c>
      <c r="D959" s="1">
        <v>46036.666585648149</v>
      </c>
      <c r="E959">
        <v>862.82</v>
      </c>
      <c r="F959">
        <v>25.32</v>
      </c>
      <c r="G959">
        <v>837.5</v>
      </c>
      <c r="H959" t="s">
        <v>52</v>
      </c>
      <c r="I959" t="s">
        <v>3998</v>
      </c>
      <c r="J959" t="s">
        <v>3036</v>
      </c>
      <c r="K959">
        <v>862.82</v>
      </c>
      <c r="L959" t="b">
        <v>0</v>
      </c>
    </row>
    <row r="960" spans="1:12" x14ac:dyDescent="0.25">
      <c r="A960" t="s">
        <v>4159</v>
      </c>
      <c r="B960" t="s">
        <v>2757</v>
      </c>
      <c r="C960" t="s">
        <v>3034</v>
      </c>
      <c r="D960" s="1">
        <v>46023.758842592593</v>
      </c>
      <c r="E960">
        <v>796.22</v>
      </c>
      <c r="F960">
        <v>23.39</v>
      </c>
      <c r="G960">
        <v>772.83</v>
      </c>
      <c r="H960" t="s">
        <v>19</v>
      </c>
      <c r="I960" t="s">
        <v>3888</v>
      </c>
      <c r="J960" t="s">
        <v>3036</v>
      </c>
      <c r="K960">
        <v>796.22</v>
      </c>
      <c r="L960" t="b">
        <v>0</v>
      </c>
    </row>
    <row r="961" spans="1:12" x14ac:dyDescent="0.25">
      <c r="A961" t="s">
        <v>4160</v>
      </c>
      <c r="B961" t="s">
        <v>2760</v>
      </c>
      <c r="C961" t="s">
        <v>3034</v>
      </c>
      <c r="D961" s="1">
        <v>46024.830335648148</v>
      </c>
      <c r="E961">
        <v>664.89</v>
      </c>
      <c r="F961">
        <v>19.579999999999998</v>
      </c>
      <c r="G961">
        <v>645.30999999999995</v>
      </c>
      <c r="H961" t="s">
        <v>25</v>
      </c>
      <c r="I961" t="s">
        <v>3890</v>
      </c>
      <c r="J961" t="s">
        <v>3036</v>
      </c>
      <c r="K961">
        <v>664.89</v>
      </c>
      <c r="L961" t="b">
        <v>0</v>
      </c>
    </row>
    <row r="962" spans="1:12" x14ac:dyDescent="0.25">
      <c r="A962" t="s">
        <v>4161</v>
      </c>
      <c r="B962" t="s">
        <v>2760</v>
      </c>
      <c r="C962" t="s">
        <v>3076</v>
      </c>
      <c r="D962" s="1">
        <v>46025.823391203703</v>
      </c>
      <c r="E962">
        <v>-332.45</v>
      </c>
      <c r="F962">
        <v>0</v>
      </c>
      <c r="G962">
        <v>-332.45</v>
      </c>
      <c r="H962" t="s">
        <v>25</v>
      </c>
      <c r="I962" t="s">
        <v>4162</v>
      </c>
      <c r="J962" t="s">
        <v>3036</v>
      </c>
      <c r="K962">
        <v>-332.45</v>
      </c>
      <c r="L962" t="b">
        <v>0</v>
      </c>
    </row>
    <row r="963" spans="1:12" x14ac:dyDescent="0.25">
      <c r="A963" t="s">
        <v>4163</v>
      </c>
      <c r="B963" t="s">
        <v>2763</v>
      </c>
      <c r="C963" t="s">
        <v>3034</v>
      </c>
      <c r="D963" s="1">
        <v>46025.943819444445</v>
      </c>
      <c r="E963">
        <v>2126.34</v>
      </c>
      <c r="F963">
        <v>61.96</v>
      </c>
      <c r="G963">
        <v>2064.38</v>
      </c>
      <c r="H963" t="s">
        <v>25</v>
      </c>
      <c r="I963" t="s">
        <v>3894</v>
      </c>
      <c r="J963" t="s">
        <v>3036</v>
      </c>
      <c r="K963">
        <v>2126.34</v>
      </c>
      <c r="L963" t="b">
        <v>0</v>
      </c>
    </row>
    <row r="964" spans="1:12" x14ac:dyDescent="0.25">
      <c r="A964" t="s">
        <v>4164</v>
      </c>
      <c r="B964" t="s">
        <v>2766</v>
      </c>
      <c r="C964" t="s">
        <v>3034</v>
      </c>
      <c r="D964" s="1">
        <v>46027.03019675926</v>
      </c>
      <c r="E964">
        <v>192.78</v>
      </c>
      <c r="F964">
        <v>5.89</v>
      </c>
      <c r="G964">
        <v>186.89</v>
      </c>
      <c r="H964" t="s">
        <v>25</v>
      </c>
      <c r="I964" t="s">
        <v>3896</v>
      </c>
      <c r="J964" t="s">
        <v>3036</v>
      </c>
      <c r="K964">
        <v>192.78</v>
      </c>
      <c r="L964" t="b">
        <v>0</v>
      </c>
    </row>
    <row r="965" spans="1:12" x14ac:dyDescent="0.25">
      <c r="A965" t="s">
        <v>4165</v>
      </c>
      <c r="B965" t="s">
        <v>2769</v>
      </c>
      <c r="C965" t="s">
        <v>3034</v>
      </c>
      <c r="D965" s="1">
        <v>46028.107071759259</v>
      </c>
      <c r="E965">
        <v>1999.24</v>
      </c>
      <c r="F965">
        <v>58.28</v>
      </c>
      <c r="G965">
        <v>1940.96</v>
      </c>
      <c r="H965" t="s">
        <v>25</v>
      </c>
      <c r="I965" t="s">
        <v>3923</v>
      </c>
      <c r="J965" t="s">
        <v>3036</v>
      </c>
      <c r="K965">
        <v>1999.24</v>
      </c>
      <c r="L965" t="b">
        <v>0</v>
      </c>
    </row>
    <row r="966" spans="1:12" x14ac:dyDescent="0.25">
      <c r="A966" t="s">
        <v>4166</v>
      </c>
      <c r="B966" t="s">
        <v>2772</v>
      </c>
      <c r="C966" t="s">
        <v>3034</v>
      </c>
      <c r="D966" s="1">
        <v>46029.204328703701</v>
      </c>
      <c r="E966">
        <v>720.22</v>
      </c>
      <c r="F966">
        <v>21.19</v>
      </c>
      <c r="G966">
        <v>699.03</v>
      </c>
      <c r="H966" t="s">
        <v>25</v>
      </c>
      <c r="I966" t="s">
        <v>3900</v>
      </c>
      <c r="J966" t="s">
        <v>3036</v>
      </c>
      <c r="K966">
        <v>720.22</v>
      </c>
      <c r="L966" t="b">
        <v>0</v>
      </c>
    </row>
    <row r="967" spans="1:12" x14ac:dyDescent="0.25">
      <c r="A967" t="s">
        <v>4167</v>
      </c>
      <c r="B967" t="s">
        <v>2775</v>
      </c>
      <c r="C967" t="s">
        <v>3034</v>
      </c>
      <c r="D967" s="1">
        <v>46029.325069444443</v>
      </c>
      <c r="E967">
        <v>1380.99</v>
      </c>
      <c r="F967">
        <v>40.35</v>
      </c>
      <c r="G967">
        <v>1340.64</v>
      </c>
      <c r="H967" t="s">
        <v>25</v>
      </c>
      <c r="I967" t="s">
        <v>3902</v>
      </c>
      <c r="J967" t="s">
        <v>3036</v>
      </c>
      <c r="K967">
        <v>1380.99</v>
      </c>
      <c r="L967" t="b">
        <v>0</v>
      </c>
    </row>
    <row r="968" spans="1:12" x14ac:dyDescent="0.25">
      <c r="A968" t="s">
        <v>4168</v>
      </c>
      <c r="B968" t="s">
        <v>2778</v>
      </c>
      <c r="C968" t="s">
        <v>3034</v>
      </c>
      <c r="D968" s="1">
        <v>46030.388182870367</v>
      </c>
      <c r="E968">
        <v>1523.19</v>
      </c>
      <c r="F968">
        <v>44.47</v>
      </c>
      <c r="G968">
        <v>1478.72</v>
      </c>
      <c r="H968" t="s">
        <v>25</v>
      </c>
      <c r="I968" t="s">
        <v>3904</v>
      </c>
      <c r="J968" t="s">
        <v>3036</v>
      </c>
      <c r="K968">
        <v>1523.19</v>
      </c>
      <c r="L968" t="b">
        <v>0</v>
      </c>
    </row>
    <row r="969" spans="1:12" x14ac:dyDescent="0.25">
      <c r="A969" t="s">
        <v>4169</v>
      </c>
      <c r="B969" t="s">
        <v>2781</v>
      </c>
      <c r="C969" t="s">
        <v>3034</v>
      </c>
      <c r="D969" s="1">
        <v>46031.496932870374</v>
      </c>
      <c r="E969">
        <v>2028.85</v>
      </c>
      <c r="F969">
        <v>59.14</v>
      </c>
      <c r="G969">
        <v>1969.71</v>
      </c>
      <c r="H969" t="s">
        <v>25</v>
      </c>
      <c r="I969" t="s">
        <v>3930</v>
      </c>
      <c r="J969" t="s">
        <v>3036</v>
      </c>
      <c r="K969">
        <v>2028.85</v>
      </c>
      <c r="L969" t="b">
        <v>0</v>
      </c>
    </row>
    <row r="970" spans="1:12" x14ac:dyDescent="0.25">
      <c r="A970" t="s">
        <v>4170</v>
      </c>
      <c r="B970" t="s">
        <v>2784</v>
      </c>
      <c r="C970" t="s">
        <v>3034</v>
      </c>
      <c r="D970" s="1">
        <v>46032.590925925928</v>
      </c>
      <c r="E970">
        <v>1344.26</v>
      </c>
      <c r="F970">
        <v>39.28</v>
      </c>
      <c r="G970">
        <v>1304.98</v>
      </c>
      <c r="H970" t="s">
        <v>52</v>
      </c>
      <c r="I970" t="s">
        <v>4171</v>
      </c>
      <c r="J970" t="s">
        <v>3036</v>
      </c>
      <c r="K970">
        <v>1344.26</v>
      </c>
      <c r="L970" t="b">
        <v>0</v>
      </c>
    </row>
    <row r="971" spans="1:12" x14ac:dyDescent="0.25">
      <c r="A971" t="s">
        <v>4172</v>
      </c>
      <c r="B971" t="s">
        <v>2787</v>
      </c>
      <c r="C971" t="s">
        <v>3034</v>
      </c>
      <c r="D971" s="1">
        <v>46033.679502314815</v>
      </c>
      <c r="E971">
        <v>1562.2</v>
      </c>
      <c r="F971">
        <v>45.6</v>
      </c>
      <c r="G971">
        <v>1516.6</v>
      </c>
      <c r="H971" t="s">
        <v>19</v>
      </c>
      <c r="I971" t="s">
        <v>3910</v>
      </c>
      <c r="J971" t="s">
        <v>3036</v>
      </c>
      <c r="K971">
        <v>1562.2</v>
      </c>
      <c r="L971" t="b">
        <v>0</v>
      </c>
    </row>
    <row r="972" spans="1:12" x14ac:dyDescent="0.25">
      <c r="A972" t="s">
        <v>4173</v>
      </c>
      <c r="B972" t="s">
        <v>2790</v>
      </c>
      <c r="C972" t="s">
        <v>3034</v>
      </c>
      <c r="D972" s="1">
        <v>46034.768993055557</v>
      </c>
      <c r="E972">
        <v>1660.32</v>
      </c>
      <c r="F972">
        <v>48.45</v>
      </c>
      <c r="G972">
        <v>1611.87</v>
      </c>
      <c r="H972" t="s">
        <v>25</v>
      </c>
      <c r="I972" t="s">
        <v>3912</v>
      </c>
      <c r="J972" t="s">
        <v>3036</v>
      </c>
      <c r="K972">
        <v>1660.32</v>
      </c>
      <c r="L972" t="b">
        <v>0</v>
      </c>
    </row>
    <row r="973" spans="1:12" x14ac:dyDescent="0.25">
      <c r="A973" t="s">
        <v>4174</v>
      </c>
      <c r="B973" t="s">
        <v>2793</v>
      </c>
      <c r="C973" t="s">
        <v>3034</v>
      </c>
      <c r="D973" s="1">
        <v>46035.860925925925</v>
      </c>
      <c r="E973">
        <v>2303.59</v>
      </c>
      <c r="F973">
        <v>67.099999999999994</v>
      </c>
      <c r="G973">
        <v>2236.4899999999998</v>
      </c>
      <c r="H973" t="s">
        <v>25</v>
      </c>
      <c r="I973" t="s">
        <v>3914</v>
      </c>
      <c r="J973" t="s">
        <v>3036</v>
      </c>
      <c r="K973">
        <v>2303.59</v>
      </c>
      <c r="L973" t="b">
        <v>0</v>
      </c>
    </row>
    <row r="974" spans="1:12" x14ac:dyDescent="0.25">
      <c r="A974" t="s">
        <v>4175</v>
      </c>
      <c r="B974" t="s">
        <v>2796</v>
      </c>
      <c r="C974" t="s">
        <v>3034</v>
      </c>
      <c r="D974" s="1">
        <v>46036.950208333335</v>
      </c>
      <c r="E974">
        <v>692.78</v>
      </c>
      <c r="F974">
        <v>20.39</v>
      </c>
      <c r="G974">
        <v>672.39</v>
      </c>
      <c r="H974" t="s">
        <v>25</v>
      </c>
      <c r="I974" t="s">
        <v>3916</v>
      </c>
      <c r="J974" t="s">
        <v>3036</v>
      </c>
      <c r="K974">
        <v>692.78</v>
      </c>
      <c r="L974" t="b">
        <v>0</v>
      </c>
    </row>
    <row r="975" spans="1:12" x14ac:dyDescent="0.25">
      <c r="A975" t="s">
        <v>4176</v>
      </c>
      <c r="B975" t="s">
        <v>2799</v>
      </c>
      <c r="C975" t="s">
        <v>3034</v>
      </c>
      <c r="D975" s="1">
        <v>46024.020810185182</v>
      </c>
      <c r="E975">
        <v>1412.34</v>
      </c>
      <c r="F975">
        <v>41.26</v>
      </c>
      <c r="G975">
        <v>1371.08</v>
      </c>
      <c r="H975" t="s">
        <v>25</v>
      </c>
      <c r="I975" t="s">
        <v>3918</v>
      </c>
      <c r="J975" t="s">
        <v>3036</v>
      </c>
      <c r="K975">
        <v>1412.34</v>
      </c>
      <c r="L975" t="b">
        <v>0</v>
      </c>
    </row>
    <row r="976" spans="1:12" x14ac:dyDescent="0.25">
      <c r="A976" t="s">
        <v>4177</v>
      </c>
      <c r="B976" t="s">
        <v>2802</v>
      </c>
      <c r="C976" t="s">
        <v>3034</v>
      </c>
      <c r="D976" s="1">
        <v>46025.131643518522</v>
      </c>
      <c r="E976">
        <v>1743.14</v>
      </c>
      <c r="F976">
        <v>50.85</v>
      </c>
      <c r="G976">
        <v>1692.29</v>
      </c>
      <c r="H976" t="s">
        <v>25</v>
      </c>
      <c r="I976" t="s">
        <v>4178</v>
      </c>
      <c r="J976" t="s">
        <v>3036</v>
      </c>
      <c r="K976">
        <v>1743.14</v>
      </c>
      <c r="L976" t="b">
        <v>0</v>
      </c>
    </row>
    <row r="977" spans="1:12" x14ac:dyDescent="0.25">
      <c r="A977" t="s">
        <v>4179</v>
      </c>
      <c r="B977" t="s">
        <v>2805</v>
      </c>
      <c r="C977" t="s">
        <v>3034</v>
      </c>
      <c r="D977" s="1">
        <v>46026.225486111114</v>
      </c>
      <c r="E977">
        <v>898.59</v>
      </c>
      <c r="F977">
        <v>26.36</v>
      </c>
      <c r="G977">
        <v>872.23</v>
      </c>
      <c r="H977" t="s">
        <v>25</v>
      </c>
      <c r="I977" t="s">
        <v>3894</v>
      </c>
      <c r="J977" t="s">
        <v>3036</v>
      </c>
      <c r="K977">
        <v>898.59</v>
      </c>
      <c r="L977" t="b">
        <v>0</v>
      </c>
    </row>
    <row r="978" spans="1:12" x14ac:dyDescent="0.25">
      <c r="A978" t="s">
        <v>4180</v>
      </c>
      <c r="B978" t="s">
        <v>2808</v>
      </c>
      <c r="C978" t="s">
        <v>3034</v>
      </c>
      <c r="D978" s="1">
        <v>46026.312210648146</v>
      </c>
      <c r="E978">
        <v>1025.76</v>
      </c>
      <c r="F978">
        <v>30.42</v>
      </c>
      <c r="G978">
        <v>995.34</v>
      </c>
      <c r="H978" t="s">
        <v>25</v>
      </c>
      <c r="I978" t="s">
        <v>3896</v>
      </c>
      <c r="J978" t="s">
        <v>3036</v>
      </c>
      <c r="K978">
        <v>1025.76</v>
      </c>
      <c r="L978" t="b">
        <v>0</v>
      </c>
    </row>
    <row r="979" spans="1:12" x14ac:dyDescent="0.25">
      <c r="A979" t="s">
        <v>4181</v>
      </c>
      <c r="B979" t="s">
        <v>2811</v>
      </c>
      <c r="C979" t="s">
        <v>3034</v>
      </c>
      <c r="D979" s="1">
        <v>46027.404027777775</v>
      </c>
      <c r="E979">
        <v>701.47</v>
      </c>
      <c r="F979">
        <v>20.64</v>
      </c>
      <c r="G979">
        <v>680.83</v>
      </c>
      <c r="H979" t="s">
        <v>25</v>
      </c>
      <c r="I979" t="s">
        <v>3923</v>
      </c>
      <c r="J979" t="s">
        <v>3036</v>
      </c>
      <c r="K979">
        <v>701.47</v>
      </c>
      <c r="L979" t="b">
        <v>0</v>
      </c>
    </row>
    <row r="980" spans="1:12" x14ac:dyDescent="0.25">
      <c r="A980" t="s">
        <v>4182</v>
      </c>
      <c r="B980" t="s">
        <v>2811</v>
      </c>
      <c r="C980" t="s">
        <v>3076</v>
      </c>
      <c r="D980" s="1">
        <v>46028.397083333337</v>
      </c>
      <c r="E980">
        <v>-701.47</v>
      </c>
      <c r="F980">
        <v>0</v>
      </c>
      <c r="G980">
        <v>-701.47</v>
      </c>
      <c r="H980" t="s">
        <v>25</v>
      </c>
      <c r="I980" t="s">
        <v>4183</v>
      </c>
      <c r="J980" t="s">
        <v>3036</v>
      </c>
      <c r="K980">
        <v>-701.47</v>
      </c>
      <c r="L980" t="b">
        <v>0</v>
      </c>
    </row>
    <row r="981" spans="1:12" x14ac:dyDescent="0.25">
      <c r="A981" t="s">
        <v>4184</v>
      </c>
      <c r="B981" t="s">
        <v>2814</v>
      </c>
      <c r="C981" t="s">
        <v>3034</v>
      </c>
      <c r="D981" s="1">
        <v>46028.509791666664</v>
      </c>
      <c r="E981">
        <v>1223</v>
      </c>
      <c r="F981">
        <v>35.770000000000003</v>
      </c>
      <c r="G981">
        <v>1187.23</v>
      </c>
      <c r="H981" t="s">
        <v>52</v>
      </c>
      <c r="I981" t="s">
        <v>3925</v>
      </c>
      <c r="J981" t="s">
        <v>3036</v>
      </c>
      <c r="K981">
        <v>1223</v>
      </c>
      <c r="L981" t="b">
        <v>0</v>
      </c>
    </row>
    <row r="982" spans="1:12" x14ac:dyDescent="0.25">
      <c r="A982" t="s">
        <v>4185</v>
      </c>
      <c r="B982" t="s">
        <v>2817</v>
      </c>
      <c r="C982" t="s">
        <v>3034</v>
      </c>
      <c r="D982" s="1">
        <v>46029.591435185182</v>
      </c>
      <c r="E982">
        <v>673.63</v>
      </c>
      <c r="F982">
        <v>19.84</v>
      </c>
      <c r="G982">
        <v>653.79</v>
      </c>
      <c r="H982" t="s">
        <v>19</v>
      </c>
      <c r="I982" t="s">
        <v>3927</v>
      </c>
      <c r="J982" t="s">
        <v>3036</v>
      </c>
      <c r="K982">
        <v>673.63</v>
      </c>
      <c r="L982" t="b">
        <v>0</v>
      </c>
    </row>
    <row r="983" spans="1:12" x14ac:dyDescent="0.25">
      <c r="A983" t="s">
        <v>4186</v>
      </c>
      <c r="B983" t="s">
        <v>2820</v>
      </c>
      <c r="C983" t="s">
        <v>3034</v>
      </c>
      <c r="D983" s="1">
        <v>46030.690081018518</v>
      </c>
      <c r="E983">
        <v>1154.96</v>
      </c>
      <c r="F983">
        <v>33.79</v>
      </c>
      <c r="G983">
        <v>1121.17</v>
      </c>
      <c r="H983" t="s">
        <v>25</v>
      </c>
      <c r="I983" t="s">
        <v>3904</v>
      </c>
      <c r="J983" t="s">
        <v>3036</v>
      </c>
      <c r="K983">
        <v>1154.96</v>
      </c>
      <c r="L983" t="b">
        <v>0</v>
      </c>
    </row>
    <row r="984" spans="1:12" x14ac:dyDescent="0.25">
      <c r="A984" t="s">
        <v>4187</v>
      </c>
      <c r="B984" t="s">
        <v>2823</v>
      </c>
      <c r="C984" t="s">
        <v>3034</v>
      </c>
      <c r="D984" s="1">
        <v>46031.781828703701</v>
      </c>
      <c r="E984">
        <v>221.56</v>
      </c>
      <c r="F984">
        <v>6.73</v>
      </c>
      <c r="G984">
        <v>214.83</v>
      </c>
      <c r="H984" t="s">
        <v>25</v>
      </c>
      <c r="I984" t="s">
        <v>3930</v>
      </c>
      <c r="J984" t="s">
        <v>3036</v>
      </c>
      <c r="K984">
        <v>221.56</v>
      </c>
      <c r="L984" t="b">
        <v>0</v>
      </c>
    </row>
    <row r="985" spans="1:12" x14ac:dyDescent="0.25">
      <c r="A985" t="s">
        <v>4188</v>
      </c>
      <c r="B985" t="s">
        <v>2826</v>
      </c>
      <c r="C985" t="s">
        <v>3034</v>
      </c>
      <c r="D985" s="1">
        <v>46032.872939814813</v>
      </c>
      <c r="E985">
        <v>311.74</v>
      </c>
      <c r="F985">
        <v>9.34</v>
      </c>
      <c r="G985">
        <v>302.39999999999998</v>
      </c>
      <c r="H985" t="s">
        <v>25</v>
      </c>
      <c r="I985" t="s">
        <v>3932</v>
      </c>
      <c r="J985" t="s">
        <v>3036</v>
      </c>
      <c r="K985">
        <v>311.74</v>
      </c>
      <c r="L985" t="b">
        <v>0</v>
      </c>
    </row>
    <row r="986" spans="1:12" x14ac:dyDescent="0.25">
      <c r="A986" t="s">
        <v>4189</v>
      </c>
      <c r="B986" t="s">
        <v>2829</v>
      </c>
      <c r="C986" t="s">
        <v>3034</v>
      </c>
      <c r="D986" s="1">
        <v>46033.966898148145</v>
      </c>
      <c r="E986">
        <v>329.74</v>
      </c>
      <c r="F986">
        <v>9.86</v>
      </c>
      <c r="G986">
        <v>319.88</v>
      </c>
      <c r="H986" t="s">
        <v>25</v>
      </c>
      <c r="I986" t="s">
        <v>3934</v>
      </c>
      <c r="J986" t="s">
        <v>3036</v>
      </c>
      <c r="K986">
        <v>329.74</v>
      </c>
      <c r="L986" t="b">
        <v>0</v>
      </c>
    </row>
    <row r="987" spans="1:12" x14ac:dyDescent="0.25">
      <c r="A987" t="s">
        <v>4190</v>
      </c>
      <c r="B987" t="s">
        <v>2832</v>
      </c>
      <c r="C987" t="s">
        <v>3034</v>
      </c>
      <c r="D987" s="1">
        <v>46035.049490740741</v>
      </c>
      <c r="E987">
        <v>769.31</v>
      </c>
      <c r="F987">
        <v>22.61</v>
      </c>
      <c r="G987">
        <v>746.7</v>
      </c>
      <c r="H987" t="s">
        <v>25</v>
      </c>
      <c r="I987" t="s">
        <v>3912</v>
      </c>
      <c r="J987" t="s">
        <v>3036</v>
      </c>
      <c r="K987">
        <v>769.31</v>
      </c>
      <c r="L987" t="b">
        <v>0</v>
      </c>
    </row>
    <row r="988" spans="1:12" x14ac:dyDescent="0.25">
      <c r="A988" t="s">
        <v>4191</v>
      </c>
      <c r="B988" t="s">
        <v>2835</v>
      </c>
      <c r="C988" t="s">
        <v>3034</v>
      </c>
      <c r="D988" s="1">
        <v>46036.134710648148</v>
      </c>
      <c r="E988">
        <v>1694.21</v>
      </c>
      <c r="F988">
        <v>49.43</v>
      </c>
      <c r="G988">
        <v>1644.78</v>
      </c>
      <c r="H988" t="s">
        <v>25</v>
      </c>
      <c r="I988" t="s">
        <v>3914</v>
      </c>
      <c r="J988" t="s">
        <v>3036</v>
      </c>
      <c r="K988">
        <v>1694.21</v>
      </c>
      <c r="L988" t="b">
        <v>0</v>
      </c>
    </row>
    <row r="989" spans="1:12" x14ac:dyDescent="0.25">
      <c r="A989" t="s">
        <v>4192</v>
      </c>
      <c r="B989" t="s">
        <v>2838</v>
      </c>
      <c r="C989" t="s">
        <v>3034</v>
      </c>
      <c r="D989" s="1">
        <v>46037.230381944442</v>
      </c>
      <c r="E989">
        <v>1881.46</v>
      </c>
      <c r="F989">
        <v>54.86</v>
      </c>
      <c r="G989">
        <v>1826.6</v>
      </c>
      <c r="H989" t="s">
        <v>25</v>
      </c>
      <c r="I989" t="s">
        <v>3916</v>
      </c>
      <c r="J989" t="s">
        <v>3036</v>
      </c>
      <c r="K989">
        <v>1881.46</v>
      </c>
      <c r="L989" t="b">
        <v>0</v>
      </c>
    </row>
    <row r="990" spans="1:12" x14ac:dyDescent="0.25">
      <c r="A990" t="s">
        <v>4193</v>
      </c>
      <c r="B990" t="s">
        <v>2841</v>
      </c>
      <c r="C990" t="s">
        <v>3034</v>
      </c>
      <c r="D990" s="1">
        <v>46023.331759259258</v>
      </c>
      <c r="E990">
        <v>1049.93</v>
      </c>
      <c r="F990">
        <v>30.75</v>
      </c>
      <c r="G990">
        <v>1019.18</v>
      </c>
      <c r="H990" t="s">
        <v>25</v>
      </c>
      <c r="I990" t="s">
        <v>3918</v>
      </c>
      <c r="J990" t="s">
        <v>3036</v>
      </c>
      <c r="K990">
        <v>1049.93</v>
      </c>
      <c r="L990" t="b">
        <v>0</v>
      </c>
    </row>
    <row r="991" spans="1:12" x14ac:dyDescent="0.25">
      <c r="A991" t="s">
        <v>4194</v>
      </c>
      <c r="B991" t="s">
        <v>2844</v>
      </c>
      <c r="C991" t="s">
        <v>3034</v>
      </c>
      <c r="D991" s="1">
        <v>46024.421747685185</v>
      </c>
      <c r="E991">
        <v>1592.93</v>
      </c>
      <c r="F991">
        <v>46.49</v>
      </c>
      <c r="G991">
        <v>1546.44</v>
      </c>
      <c r="H991" t="s">
        <v>52</v>
      </c>
      <c r="I991" t="s">
        <v>3941</v>
      </c>
      <c r="J991" t="s">
        <v>3036</v>
      </c>
      <c r="K991">
        <v>1592.93</v>
      </c>
      <c r="L991" t="b">
        <v>0</v>
      </c>
    </row>
    <row r="992" spans="1:12" x14ac:dyDescent="0.25">
      <c r="A992" t="s">
        <v>4195</v>
      </c>
      <c r="B992" t="s">
        <v>2847</v>
      </c>
      <c r="C992" t="s">
        <v>3034</v>
      </c>
      <c r="D992" s="1">
        <v>46025.507592592592</v>
      </c>
      <c r="E992">
        <v>411.28</v>
      </c>
      <c r="F992">
        <v>12.23</v>
      </c>
      <c r="G992">
        <v>399.05</v>
      </c>
      <c r="H992" t="s">
        <v>19</v>
      </c>
      <c r="I992" t="s">
        <v>3943</v>
      </c>
      <c r="J992" t="s">
        <v>3036</v>
      </c>
      <c r="K992">
        <v>411.28</v>
      </c>
      <c r="L992" t="b">
        <v>0</v>
      </c>
    </row>
    <row r="993" spans="1:12" x14ac:dyDescent="0.25">
      <c r="A993" t="s">
        <v>4196</v>
      </c>
      <c r="B993" t="s">
        <v>2850</v>
      </c>
      <c r="C993" t="s">
        <v>3034</v>
      </c>
      <c r="D993" s="1">
        <v>46026.59170138889</v>
      </c>
      <c r="E993">
        <v>2486.5700000000002</v>
      </c>
      <c r="F993">
        <v>72.41</v>
      </c>
      <c r="G993">
        <v>2414.16</v>
      </c>
      <c r="H993" t="s">
        <v>25</v>
      </c>
      <c r="I993" t="s">
        <v>3896</v>
      </c>
      <c r="J993" t="s">
        <v>3036</v>
      </c>
      <c r="K993">
        <v>2486.5700000000002</v>
      </c>
      <c r="L993" t="b">
        <v>0</v>
      </c>
    </row>
    <row r="994" spans="1:12" x14ac:dyDescent="0.25">
      <c r="A994" t="s">
        <v>4197</v>
      </c>
      <c r="B994" t="s">
        <v>2853</v>
      </c>
      <c r="C994" t="s">
        <v>3034</v>
      </c>
      <c r="D994" s="1">
        <v>46027.681909722225</v>
      </c>
      <c r="E994">
        <v>716.63</v>
      </c>
      <c r="F994">
        <v>21.08</v>
      </c>
      <c r="G994">
        <v>695.55</v>
      </c>
      <c r="H994" t="s">
        <v>25</v>
      </c>
      <c r="I994" t="s">
        <v>3923</v>
      </c>
      <c r="J994" t="s">
        <v>3036</v>
      </c>
      <c r="K994">
        <v>716.63</v>
      </c>
      <c r="L994" t="b">
        <v>0</v>
      </c>
    </row>
    <row r="995" spans="1:12" x14ac:dyDescent="0.25">
      <c r="A995" t="s">
        <v>4198</v>
      </c>
      <c r="B995" t="s">
        <v>2856</v>
      </c>
      <c r="C995" t="s">
        <v>3034</v>
      </c>
      <c r="D995" s="1">
        <v>46028.768599537034</v>
      </c>
      <c r="E995">
        <v>1844.5</v>
      </c>
      <c r="F995">
        <v>53.79</v>
      </c>
      <c r="G995">
        <v>1790.71</v>
      </c>
      <c r="H995" t="s">
        <v>25</v>
      </c>
      <c r="I995" t="s">
        <v>3900</v>
      </c>
      <c r="J995" t="s">
        <v>3036</v>
      </c>
      <c r="K995">
        <v>1844.5</v>
      </c>
      <c r="L995" t="b">
        <v>0</v>
      </c>
    </row>
    <row r="996" spans="1:12" x14ac:dyDescent="0.25">
      <c r="A996" t="s">
        <v>4199</v>
      </c>
      <c r="B996" t="s">
        <v>2859</v>
      </c>
      <c r="C996" t="s">
        <v>3034</v>
      </c>
      <c r="D996" s="1">
        <v>46029.858726851853</v>
      </c>
      <c r="E996">
        <v>148.65</v>
      </c>
      <c r="F996">
        <v>4.6100000000000003</v>
      </c>
      <c r="G996">
        <v>144.04</v>
      </c>
      <c r="H996" t="s">
        <v>25</v>
      </c>
      <c r="I996" t="s">
        <v>3902</v>
      </c>
      <c r="J996" t="s">
        <v>3036</v>
      </c>
      <c r="K996">
        <v>148.65</v>
      </c>
      <c r="L996" t="b">
        <v>0</v>
      </c>
    </row>
    <row r="997" spans="1:12" x14ac:dyDescent="0.25">
      <c r="A997" t="s">
        <v>4200</v>
      </c>
      <c r="B997" t="s">
        <v>2862</v>
      </c>
      <c r="C997" t="s">
        <v>3034</v>
      </c>
      <c r="D997" s="1">
        <v>46030.967083333337</v>
      </c>
      <c r="E997">
        <v>2473.92</v>
      </c>
      <c r="F997">
        <v>72.040000000000006</v>
      </c>
      <c r="G997">
        <v>2401.88</v>
      </c>
      <c r="H997" t="s">
        <v>25</v>
      </c>
      <c r="I997" t="s">
        <v>3904</v>
      </c>
      <c r="J997" t="s">
        <v>3036</v>
      </c>
      <c r="K997">
        <v>2473.92</v>
      </c>
      <c r="L997" t="b">
        <v>0</v>
      </c>
    </row>
    <row r="998" spans="1:12" x14ac:dyDescent="0.25">
      <c r="A998" t="s">
        <v>4201</v>
      </c>
      <c r="B998" t="s">
        <v>2865</v>
      </c>
      <c r="C998" t="s">
        <v>3034</v>
      </c>
      <c r="D998" s="1">
        <v>46032.061643518522</v>
      </c>
      <c r="E998">
        <v>41.4</v>
      </c>
      <c r="F998">
        <v>1.5</v>
      </c>
      <c r="G998">
        <v>39.9</v>
      </c>
      <c r="H998" t="s">
        <v>25</v>
      </c>
      <c r="I998" t="s">
        <v>3930</v>
      </c>
      <c r="J998" t="s">
        <v>3036</v>
      </c>
      <c r="K998">
        <v>41.4</v>
      </c>
      <c r="L998" t="b">
        <v>0</v>
      </c>
    </row>
    <row r="999" spans="1:12" x14ac:dyDescent="0.25">
      <c r="A999" t="s">
        <v>4201</v>
      </c>
      <c r="B999" t="s">
        <v>2865</v>
      </c>
      <c r="C999" t="s">
        <v>3034</v>
      </c>
      <c r="D999" s="1">
        <v>46032.061643518522</v>
      </c>
      <c r="E999">
        <v>41.4</v>
      </c>
      <c r="F999">
        <v>1.5</v>
      </c>
      <c r="G999">
        <v>39.9</v>
      </c>
      <c r="H999" t="s">
        <v>25</v>
      </c>
      <c r="I999" t="s">
        <v>3930</v>
      </c>
      <c r="J999" t="s">
        <v>3036</v>
      </c>
      <c r="K999">
        <v>41.4</v>
      </c>
      <c r="L999" t="b">
        <v>0</v>
      </c>
    </row>
    <row r="1000" spans="1:12" x14ac:dyDescent="0.25">
      <c r="A1000" t="s">
        <v>4202</v>
      </c>
      <c r="B1000" t="s">
        <v>2868</v>
      </c>
      <c r="C1000" t="s">
        <v>3034</v>
      </c>
      <c r="D1000" s="1">
        <v>46033.157604166663</v>
      </c>
      <c r="E1000">
        <v>2400.1799999999998</v>
      </c>
      <c r="F1000">
        <v>69.91</v>
      </c>
      <c r="G1000">
        <v>2330.27</v>
      </c>
      <c r="H1000" t="s">
        <v>25</v>
      </c>
      <c r="I1000" t="s">
        <v>3932</v>
      </c>
      <c r="J1000" t="s">
        <v>3036</v>
      </c>
      <c r="K1000">
        <v>2400.1799999999998</v>
      </c>
      <c r="L1000" t="b">
        <v>0</v>
      </c>
    </row>
    <row r="1001" spans="1:12" x14ac:dyDescent="0.25">
      <c r="A1001" t="s">
        <v>4203</v>
      </c>
      <c r="B1001" t="s">
        <v>2871</v>
      </c>
      <c r="C1001" t="s">
        <v>3034</v>
      </c>
      <c r="D1001" s="1">
        <v>46033.248657407406</v>
      </c>
      <c r="E1001">
        <v>2383.04</v>
      </c>
      <c r="F1001">
        <v>69.41</v>
      </c>
      <c r="G1001">
        <v>2313.63</v>
      </c>
      <c r="H1001" t="s">
        <v>25</v>
      </c>
      <c r="I1001" t="s">
        <v>3934</v>
      </c>
      <c r="J1001" t="s">
        <v>3036</v>
      </c>
      <c r="K1001">
        <v>2383.04</v>
      </c>
      <c r="L1001" t="b">
        <v>0</v>
      </c>
    </row>
    <row r="1002" spans="1:12" x14ac:dyDescent="0.25">
      <c r="A1002" t="s">
        <v>4204</v>
      </c>
      <c r="B1002" t="s">
        <v>2874</v>
      </c>
      <c r="C1002" t="s">
        <v>3034</v>
      </c>
      <c r="D1002" s="1">
        <v>46034.324456018519</v>
      </c>
      <c r="E1002">
        <v>2473.9</v>
      </c>
      <c r="F1002">
        <v>72.040000000000006</v>
      </c>
      <c r="G1002">
        <v>2401.86</v>
      </c>
      <c r="H1002" t="s">
        <v>52</v>
      </c>
      <c r="I1002" t="s">
        <v>3954</v>
      </c>
      <c r="J1002" t="s">
        <v>3036</v>
      </c>
      <c r="K1002">
        <v>2473.9</v>
      </c>
      <c r="L1002" t="b">
        <v>0</v>
      </c>
    </row>
    <row r="1003" spans="1:12" x14ac:dyDescent="0.25">
      <c r="A1003" t="s">
        <v>4205</v>
      </c>
      <c r="B1003" t="s">
        <v>2877</v>
      </c>
      <c r="C1003" t="s">
        <v>3034</v>
      </c>
      <c r="D1003" s="1">
        <v>46035.429594907408</v>
      </c>
      <c r="E1003">
        <v>2058.73</v>
      </c>
      <c r="F1003">
        <v>60</v>
      </c>
      <c r="G1003">
        <v>1998.73</v>
      </c>
      <c r="H1003" t="s">
        <v>19</v>
      </c>
      <c r="I1003" t="s">
        <v>4125</v>
      </c>
      <c r="J1003" t="s">
        <v>3036</v>
      </c>
      <c r="K1003">
        <v>2058.73</v>
      </c>
      <c r="L1003" t="b">
        <v>0</v>
      </c>
    </row>
    <row r="1004" spans="1:12" x14ac:dyDescent="0.25">
      <c r="A1004" t="s">
        <v>4206</v>
      </c>
      <c r="B1004" t="s">
        <v>2880</v>
      </c>
      <c r="C1004" t="s">
        <v>3034</v>
      </c>
      <c r="D1004" s="1">
        <v>46036.530439814815</v>
      </c>
      <c r="E1004">
        <v>2423</v>
      </c>
      <c r="F1004">
        <v>70.569999999999993</v>
      </c>
      <c r="G1004">
        <v>2352.4299999999998</v>
      </c>
      <c r="H1004" t="s">
        <v>25</v>
      </c>
      <c r="I1004" t="s">
        <v>3916</v>
      </c>
      <c r="J1004" t="s">
        <v>3036</v>
      </c>
      <c r="K1004">
        <v>2423</v>
      </c>
      <c r="L1004" t="b">
        <v>0</v>
      </c>
    </row>
    <row r="1005" spans="1:12" x14ac:dyDescent="0.25">
      <c r="A1005" t="s">
        <v>4207</v>
      </c>
      <c r="B1005" t="s">
        <v>2883</v>
      </c>
      <c r="C1005" t="s">
        <v>3034</v>
      </c>
      <c r="D1005" s="1">
        <v>46023.603784722225</v>
      </c>
      <c r="E1005">
        <v>849.21</v>
      </c>
      <c r="F1005">
        <v>24.93</v>
      </c>
      <c r="G1005">
        <v>824.28</v>
      </c>
      <c r="H1005" t="s">
        <v>25</v>
      </c>
      <c r="I1005" t="s">
        <v>3918</v>
      </c>
      <c r="J1005" t="s">
        <v>3036</v>
      </c>
      <c r="K1005">
        <v>849.21</v>
      </c>
      <c r="L1005" t="b">
        <v>0</v>
      </c>
    </row>
    <row r="1006" spans="1:12" x14ac:dyDescent="0.25">
      <c r="A1006" t="s">
        <v>4208</v>
      </c>
      <c r="B1006" t="s">
        <v>2886</v>
      </c>
      <c r="C1006" t="s">
        <v>3034</v>
      </c>
      <c r="D1006" s="1">
        <v>46024.68</v>
      </c>
      <c r="E1006">
        <v>192.83</v>
      </c>
      <c r="F1006">
        <v>5.89</v>
      </c>
      <c r="G1006">
        <v>186.94</v>
      </c>
      <c r="H1006" t="s">
        <v>25</v>
      </c>
      <c r="I1006" t="s">
        <v>3890</v>
      </c>
      <c r="J1006" t="s">
        <v>3036</v>
      </c>
      <c r="K1006">
        <v>192.83</v>
      </c>
      <c r="L1006" t="b">
        <v>0</v>
      </c>
    </row>
    <row r="1007" spans="1:12" x14ac:dyDescent="0.25">
      <c r="A1007" t="s">
        <v>4209</v>
      </c>
      <c r="B1007" t="s">
        <v>2889</v>
      </c>
      <c r="C1007" t="s">
        <v>3034</v>
      </c>
      <c r="D1007" s="1">
        <v>46025.805775462963</v>
      </c>
      <c r="E1007">
        <v>1615.86</v>
      </c>
      <c r="F1007">
        <v>47.16</v>
      </c>
      <c r="G1007">
        <v>1568.7</v>
      </c>
      <c r="H1007" t="s">
        <v>25</v>
      </c>
      <c r="I1007" t="s">
        <v>3894</v>
      </c>
      <c r="J1007" t="s">
        <v>3036</v>
      </c>
      <c r="K1007">
        <v>1615.86</v>
      </c>
      <c r="L1007" t="b">
        <v>0</v>
      </c>
    </row>
    <row r="1008" spans="1:12" x14ac:dyDescent="0.25">
      <c r="A1008" t="s">
        <v>4210</v>
      </c>
      <c r="B1008" t="s">
        <v>2892</v>
      </c>
      <c r="C1008" t="s">
        <v>3034</v>
      </c>
      <c r="D1008" s="1">
        <v>46026.882777777777</v>
      </c>
      <c r="E1008">
        <v>1709.24</v>
      </c>
      <c r="F1008">
        <v>50.24</v>
      </c>
      <c r="G1008">
        <v>1659</v>
      </c>
      <c r="H1008" t="s">
        <v>25</v>
      </c>
      <c r="I1008" t="s">
        <v>3896</v>
      </c>
      <c r="J1008" t="s">
        <v>3036</v>
      </c>
      <c r="K1008">
        <v>1709.24</v>
      </c>
      <c r="L1008" t="b">
        <v>0</v>
      </c>
    </row>
    <row r="1009" spans="1:12" x14ac:dyDescent="0.25">
      <c r="A1009" t="s">
        <v>4211</v>
      </c>
      <c r="B1009" t="s">
        <v>2895</v>
      </c>
      <c r="C1009" t="s">
        <v>3034</v>
      </c>
      <c r="D1009" s="1">
        <v>46027.954826388886</v>
      </c>
      <c r="E1009">
        <v>815.7</v>
      </c>
      <c r="F1009">
        <v>23.96</v>
      </c>
      <c r="G1009">
        <v>791.74</v>
      </c>
      <c r="H1009" t="s">
        <v>25</v>
      </c>
      <c r="I1009" t="s">
        <v>3923</v>
      </c>
      <c r="J1009" t="s">
        <v>3036</v>
      </c>
      <c r="K1009">
        <v>815.7</v>
      </c>
      <c r="L1009" t="b">
        <v>0</v>
      </c>
    </row>
    <row r="1010" spans="1:12" x14ac:dyDescent="0.25">
      <c r="A1010" t="s">
        <v>4212</v>
      </c>
      <c r="B1010" t="s">
        <v>2898</v>
      </c>
      <c r="C1010" t="s">
        <v>3034</v>
      </c>
      <c r="D1010" s="1">
        <v>46029.083136574074</v>
      </c>
      <c r="E1010">
        <v>1060.3900000000001</v>
      </c>
      <c r="F1010">
        <v>31.05</v>
      </c>
      <c r="G1010">
        <v>1029.3399999999999</v>
      </c>
      <c r="H1010" t="s">
        <v>25</v>
      </c>
      <c r="I1010" t="s">
        <v>3900</v>
      </c>
      <c r="J1010" t="s">
        <v>3036</v>
      </c>
      <c r="K1010">
        <v>1060.3900000000001</v>
      </c>
      <c r="L1010" t="b">
        <v>0</v>
      </c>
    </row>
    <row r="1011" spans="1:12" x14ac:dyDescent="0.25">
      <c r="A1011" t="s">
        <v>4213</v>
      </c>
      <c r="B1011" t="s">
        <v>2901</v>
      </c>
      <c r="C1011" t="s">
        <v>3034</v>
      </c>
      <c r="D1011" s="1">
        <v>46030.155069444445</v>
      </c>
      <c r="E1011">
        <v>1661.6</v>
      </c>
      <c r="F1011">
        <v>48.49</v>
      </c>
      <c r="G1011">
        <v>1613.11</v>
      </c>
      <c r="H1011" t="s">
        <v>25</v>
      </c>
      <c r="I1011" t="s">
        <v>3902</v>
      </c>
      <c r="J1011" t="s">
        <v>3036</v>
      </c>
      <c r="K1011">
        <v>1661.6</v>
      </c>
      <c r="L1011" t="b">
        <v>0</v>
      </c>
    </row>
    <row r="1012" spans="1:12" x14ac:dyDescent="0.25">
      <c r="A1012" t="s">
        <v>4214</v>
      </c>
      <c r="B1012" t="s">
        <v>2904</v>
      </c>
      <c r="C1012" t="s">
        <v>3034</v>
      </c>
      <c r="D1012" s="1">
        <v>46031.232106481482</v>
      </c>
      <c r="E1012">
        <v>333.63</v>
      </c>
      <c r="F1012">
        <v>9.98</v>
      </c>
      <c r="G1012">
        <v>323.64999999999998</v>
      </c>
      <c r="H1012" t="s">
        <v>52</v>
      </c>
      <c r="I1012" t="s">
        <v>3968</v>
      </c>
      <c r="J1012" t="s">
        <v>3036</v>
      </c>
      <c r="K1012">
        <v>333.63</v>
      </c>
      <c r="L1012" t="b">
        <v>0</v>
      </c>
    </row>
    <row r="1013" spans="1:12" x14ac:dyDescent="0.25">
      <c r="A1013" t="s">
        <v>4215</v>
      </c>
      <c r="B1013" t="s">
        <v>2907</v>
      </c>
      <c r="C1013" t="s">
        <v>3034</v>
      </c>
      <c r="D1013" s="1">
        <v>46031.344375000001</v>
      </c>
      <c r="E1013">
        <v>296.55</v>
      </c>
      <c r="F1013">
        <v>8.9</v>
      </c>
      <c r="G1013">
        <v>287.64999999999998</v>
      </c>
      <c r="H1013" t="s">
        <v>19</v>
      </c>
      <c r="I1013" t="s">
        <v>3970</v>
      </c>
      <c r="J1013" t="s">
        <v>3036</v>
      </c>
      <c r="K1013">
        <v>296.55</v>
      </c>
      <c r="L1013" t="b">
        <v>0</v>
      </c>
    </row>
    <row r="1014" spans="1:12" x14ac:dyDescent="0.25">
      <c r="A1014" t="s">
        <v>4216</v>
      </c>
      <c r="B1014" t="s">
        <v>2910</v>
      </c>
      <c r="C1014" t="s">
        <v>3034</v>
      </c>
      <c r="D1014" s="1">
        <v>46032.411874999998</v>
      </c>
      <c r="E1014">
        <v>1142.1600000000001</v>
      </c>
      <c r="F1014">
        <v>33.42</v>
      </c>
      <c r="G1014">
        <v>1108.74</v>
      </c>
      <c r="H1014" t="s">
        <v>25</v>
      </c>
      <c r="I1014" t="s">
        <v>3932</v>
      </c>
      <c r="J1014" t="s">
        <v>3036</v>
      </c>
      <c r="K1014">
        <v>1142.1600000000001</v>
      </c>
      <c r="L1014" t="b">
        <v>0</v>
      </c>
    </row>
    <row r="1015" spans="1:12" x14ac:dyDescent="0.25">
      <c r="A1015" t="s">
        <v>4217</v>
      </c>
      <c r="B1015" t="s">
        <v>2913</v>
      </c>
      <c r="C1015" t="s">
        <v>3034</v>
      </c>
      <c r="D1015" s="1">
        <v>46033.540196759262</v>
      </c>
      <c r="E1015">
        <v>30.89</v>
      </c>
      <c r="F1015">
        <v>1.2</v>
      </c>
      <c r="G1015">
        <v>29.69</v>
      </c>
      <c r="H1015" t="s">
        <v>25</v>
      </c>
      <c r="I1015" t="s">
        <v>4218</v>
      </c>
      <c r="J1015" t="s">
        <v>3036</v>
      </c>
      <c r="K1015">
        <v>30.89</v>
      </c>
      <c r="L1015" t="b">
        <v>0</v>
      </c>
    </row>
    <row r="1016" spans="1:12" x14ac:dyDescent="0.25">
      <c r="A1016" t="s">
        <v>4219</v>
      </c>
      <c r="B1016" t="s">
        <v>2916</v>
      </c>
      <c r="C1016" t="s">
        <v>3034</v>
      </c>
      <c r="D1016" s="1">
        <v>46034.617766203701</v>
      </c>
      <c r="E1016">
        <v>2370.34</v>
      </c>
      <c r="F1016">
        <v>69.040000000000006</v>
      </c>
      <c r="G1016">
        <v>2301.3000000000002</v>
      </c>
      <c r="H1016" t="s">
        <v>25</v>
      </c>
      <c r="I1016" t="s">
        <v>3912</v>
      </c>
      <c r="J1016" t="s">
        <v>3036</v>
      </c>
      <c r="K1016">
        <v>2370.34</v>
      </c>
      <c r="L1016" t="b">
        <v>0</v>
      </c>
    </row>
    <row r="1017" spans="1:12" x14ac:dyDescent="0.25">
      <c r="A1017" t="s">
        <v>4220</v>
      </c>
      <c r="B1017" t="s">
        <v>2919</v>
      </c>
      <c r="C1017" t="s">
        <v>3034</v>
      </c>
      <c r="D1017" s="1">
        <v>46035.68917824074</v>
      </c>
      <c r="E1017">
        <v>1977.8</v>
      </c>
      <c r="F1017">
        <v>57.66</v>
      </c>
      <c r="G1017">
        <v>1920.14</v>
      </c>
      <c r="H1017" t="s">
        <v>25</v>
      </c>
      <c r="I1017" t="s">
        <v>3914</v>
      </c>
      <c r="J1017" t="s">
        <v>3036</v>
      </c>
      <c r="K1017">
        <v>1977.8</v>
      </c>
      <c r="L1017" t="b">
        <v>0</v>
      </c>
    </row>
    <row r="1018" spans="1:12" x14ac:dyDescent="0.25">
      <c r="A1018" t="s">
        <v>4221</v>
      </c>
      <c r="B1018" t="s">
        <v>2922</v>
      </c>
      <c r="C1018" t="s">
        <v>3034</v>
      </c>
      <c r="D1018" s="1">
        <v>46036.806875000002</v>
      </c>
      <c r="E1018">
        <v>1501.12</v>
      </c>
      <c r="F1018">
        <v>43.83</v>
      </c>
      <c r="G1018">
        <v>1457.29</v>
      </c>
      <c r="H1018" t="s">
        <v>25</v>
      </c>
      <c r="I1018" t="s">
        <v>4222</v>
      </c>
      <c r="J1018" t="s">
        <v>3036</v>
      </c>
      <c r="K1018">
        <v>1501.12</v>
      </c>
      <c r="L1018" t="b">
        <v>0</v>
      </c>
    </row>
    <row r="1019" spans="1:12" x14ac:dyDescent="0.25">
      <c r="A1019" t="s">
        <v>4223</v>
      </c>
      <c r="B1019" t="s">
        <v>2925</v>
      </c>
      <c r="C1019" t="s">
        <v>3034</v>
      </c>
      <c r="D1019" s="1">
        <v>46023.880729166667</v>
      </c>
      <c r="E1019">
        <v>406.11</v>
      </c>
      <c r="F1019">
        <v>12.08</v>
      </c>
      <c r="G1019">
        <v>394.03</v>
      </c>
      <c r="H1019" t="s">
        <v>25</v>
      </c>
      <c r="I1019" t="s">
        <v>3918</v>
      </c>
      <c r="J1019" t="s">
        <v>3036</v>
      </c>
      <c r="K1019">
        <v>406.11</v>
      </c>
      <c r="L1019" t="b">
        <v>0</v>
      </c>
    </row>
    <row r="1020" spans="1:12" x14ac:dyDescent="0.25">
      <c r="A1020" t="s">
        <v>4224</v>
      </c>
      <c r="B1020" t="s">
        <v>2928</v>
      </c>
      <c r="C1020" t="s">
        <v>3034</v>
      </c>
      <c r="D1020" s="1">
        <v>46024.975266203706</v>
      </c>
      <c r="E1020">
        <v>2056.5500000000002</v>
      </c>
      <c r="F1020">
        <v>59.94</v>
      </c>
      <c r="G1020">
        <v>1996.61</v>
      </c>
      <c r="H1020" t="s">
        <v>25</v>
      </c>
      <c r="I1020" t="s">
        <v>3890</v>
      </c>
      <c r="J1020" t="s">
        <v>3036</v>
      </c>
      <c r="K1020">
        <v>2056.5500000000002</v>
      </c>
      <c r="L1020" t="b">
        <v>0</v>
      </c>
    </row>
    <row r="1021" spans="1:12" x14ac:dyDescent="0.25">
      <c r="A1021" t="s">
        <v>4225</v>
      </c>
      <c r="B1021" t="s">
        <v>2931</v>
      </c>
      <c r="C1021" t="s">
        <v>3034</v>
      </c>
      <c r="D1021" s="1">
        <v>46026.06459490741</v>
      </c>
      <c r="E1021">
        <v>1466.89</v>
      </c>
      <c r="F1021">
        <v>42.84</v>
      </c>
      <c r="G1021">
        <v>1424.05</v>
      </c>
      <c r="H1021" t="s">
        <v>25</v>
      </c>
      <c r="I1021" t="s">
        <v>3894</v>
      </c>
      <c r="J1021" t="s">
        <v>3036</v>
      </c>
      <c r="K1021">
        <v>1466.89</v>
      </c>
      <c r="L1021" t="b">
        <v>0</v>
      </c>
    </row>
    <row r="1022" spans="1:12" x14ac:dyDescent="0.25">
      <c r="A1022" t="s">
        <v>4226</v>
      </c>
      <c r="B1022" t="s">
        <v>2934</v>
      </c>
      <c r="C1022" t="s">
        <v>3034</v>
      </c>
      <c r="D1022" s="1">
        <v>46027.148425925923</v>
      </c>
      <c r="E1022">
        <v>1956.65</v>
      </c>
      <c r="F1022">
        <v>57.04</v>
      </c>
      <c r="G1022">
        <v>1899.61</v>
      </c>
      <c r="H1022" t="s">
        <v>52</v>
      </c>
      <c r="I1022" t="s">
        <v>3984</v>
      </c>
      <c r="J1022" t="s">
        <v>3036</v>
      </c>
      <c r="K1022">
        <v>1956.65</v>
      </c>
      <c r="L1022" t="b">
        <v>0</v>
      </c>
    </row>
    <row r="1023" spans="1:12" x14ac:dyDescent="0.25">
      <c r="A1023" t="s">
        <v>4227</v>
      </c>
      <c r="B1023" t="s">
        <v>2937</v>
      </c>
      <c r="C1023" t="s">
        <v>3034</v>
      </c>
      <c r="D1023" s="1">
        <v>46028.233449074076</v>
      </c>
      <c r="E1023">
        <v>345.23</v>
      </c>
      <c r="F1023">
        <v>10.31</v>
      </c>
      <c r="G1023">
        <v>334.92</v>
      </c>
      <c r="H1023" t="s">
        <v>19</v>
      </c>
      <c r="I1023" t="s">
        <v>3986</v>
      </c>
      <c r="J1023" t="s">
        <v>3036</v>
      </c>
      <c r="K1023">
        <v>345.23</v>
      </c>
      <c r="L1023" t="b">
        <v>0</v>
      </c>
    </row>
    <row r="1024" spans="1:12" x14ac:dyDescent="0.25">
      <c r="A1024" t="s">
        <v>4228</v>
      </c>
      <c r="B1024" t="s">
        <v>2940</v>
      </c>
      <c r="C1024" t="s">
        <v>3034</v>
      </c>
      <c r="D1024" s="1">
        <v>46028.353171296294</v>
      </c>
      <c r="E1024">
        <v>458.25</v>
      </c>
      <c r="F1024">
        <v>13.59</v>
      </c>
      <c r="G1024">
        <v>444.66</v>
      </c>
      <c r="H1024" t="s">
        <v>25</v>
      </c>
      <c r="I1024" t="s">
        <v>3900</v>
      </c>
      <c r="J1024" t="s">
        <v>3036</v>
      </c>
      <c r="K1024">
        <v>458.25</v>
      </c>
      <c r="L1024" t="b">
        <v>0</v>
      </c>
    </row>
    <row r="1025" spans="1:12" x14ac:dyDescent="0.25">
      <c r="A1025" t="s">
        <v>4229</v>
      </c>
      <c r="B1025" t="s">
        <v>2943</v>
      </c>
      <c r="C1025" t="s">
        <v>3034</v>
      </c>
      <c r="D1025" s="1">
        <v>46029.440810185188</v>
      </c>
      <c r="E1025">
        <v>1404.71</v>
      </c>
      <c r="F1025">
        <v>41.04</v>
      </c>
      <c r="G1025">
        <v>1363.67</v>
      </c>
      <c r="H1025" t="s">
        <v>25</v>
      </c>
      <c r="I1025" t="s">
        <v>3902</v>
      </c>
      <c r="J1025" t="s">
        <v>3036</v>
      </c>
      <c r="K1025">
        <v>1404.71</v>
      </c>
      <c r="L1025" t="b">
        <v>0</v>
      </c>
    </row>
    <row r="1026" spans="1:12" x14ac:dyDescent="0.25">
      <c r="A1026" t="s">
        <v>4230</v>
      </c>
      <c r="B1026" t="s">
        <v>2946</v>
      </c>
      <c r="C1026" t="s">
        <v>3034</v>
      </c>
      <c r="D1026" s="1">
        <v>46030.532002314816</v>
      </c>
      <c r="E1026">
        <v>1977.38</v>
      </c>
      <c r="F1026">
        <v>57.64</v>
      </c>
      <c r="G1026">
        <v>1919.74</v>
      </c>
      <c r="H1026" t="s">
        <v>25</v>
      </c>
      <c r="I1026" t="s">
        <v>3904</v>
      </c>
      <c r="J1026" t="s">
        <v>3036</v>
      </c>
      <c r="K1026">
        <v>1977.38</v>
      </c>
      <c r="L1026" t="b">
        <v>0</v>
      </c>
    </row>
    <row r="1027" spans="1:12" x14ac:dyDescent="0.25">
      <c r="A1027" t="s">
        <v>4231</v>
      </c>
      <c r="B1027" t="s">
        <v>2949</v>
      </c>
      <c r="C1027" t="s">
        <v>3034</v>
      </c>
      <c r="D1027" s="1">
        <v>46031.623020833336</v>
      </c>
      <c r="E1027">
        <v>1668.19</v>
      </c>
      <c r="F1027">
        <v>48.68</v>
      </c>
      <c r="G1027">
        <v>1619.51</v>
      </c>
      <c r="H1027" t="s">
        <v>25</v>
      </c>
      <c r="I1027" t="s">
        <v>3930</v>
      </c>
      <c r="J1027" t="s">
        <v>3036</v>
      </c>
      <c r="K1027">
        <v>1668.19</v>
      </c>
      <c r="L1027" t="b">
        <v>0</v>
      </c>
    </row>
    <row r="1028" spans="1:12" x14ac:dyDescent="0.25">
      <c r="A1028" t="s">
        <v>4232</v>
      </c>
      <c r="B1028" t="s">
        <v>2952</v>
      </c>
      <c r="C1028" t="s">
        <v>3034</v>
      </c>
      <c r="D1028" s="1">
        <v>46032.716377314813</v>
      </c>
      <c r="E1028">
        <v>621.58000000000004</v>
      </c>
      <c r="F1028">
        <v>18.329999999999998</v>
      </c>
      <c r="G1028">
        <v>603.25</v>
      </c>
      <c r="H1028" t="s">
        <v>25</v>
      </c>
      <c r="I1028" t="s">
        <v>3932</v>
      </c>
      <c r="J1028" t="s">
        <v>3036</v>
      </c>
      <c r="K1028">
        <v>621.58000000000004</v>
      </c>
      <c r="L1028" t="b">
        <v>0</v>
      </c>
    </row>
    <row r="1029" spans="1:12" x14ac:dyDescent="0.25">
      <c r="A1029" t="s">
        <v>4233</v>
      </c>
      <c r="B1029" t="s">
        <v>2955</v>
      </c>
      <c r="C1029" t="s">
        <v>3034</v>
      </c>
      <c r="D1029" s="1">
        <v>46033.801759259259</v>
      </c>
      <c r="E1029">
        <v>2334.73</v>
      </c>
      <c r="F1029">
        <v>68.010000000000005</v>
      </c>
      <c r="G1029">
        <v>2266.7199999999998</v>
      </c>
      <c r="H1029" t="s">
        <v>25</v>
      </c>
      <c r="I1029" t="s">
        <v>3934</v>
      </c>
      <c r="J1029" t="s">
        <v>3036</v>
      </c>
      <c r="K1029">
        <v>2334.73</v>
      </c>
      <c r="L1029" t="b">
        <v>0</v>
      </c>
    </row>
    <row r="1030" spans="1:12" x14ac:dyDescent="0.25">
      <c r="A1030" t="s">
        <v>4234</v>
      </c>
      <c r="B1030" t="s">
        <v>2958</v>
      </c>
      <c r="C1030" t="s">
        <v>3034</v>
      </c>
      <c r="D1030" s="1">
        <v>46034.888437499998</v>
      </c>
      <c r="E1030">
        <v>1327.88</v>
      </c>
      <c r="F1030">
        <v>38.81</v>
      </c>
      <c r="G1030">
        <v>1289.07</v>
      </c>
      <c r="H1030" t="s">
        <v>25</v>
      </c>
      <c r="I1030" t="s">
        <v>3912</v>
      </c>
      <c r="J1030" t="s">
        <v>3036</v>
      </c>
      <c r="K1030">
        <v>1327.88</v>
      </c>
      <c r="L1030" t="b">
        <v>0</v>
      </c>
    </row>
    <row r="1031" spans="1:12" x14ac:dyDescent="0.25">
      <c r="A1031" t="s">
        <v>4235</v>
      </c>
      <c r="B1031" t="s">
        <v>2961</v>
      </c>
      <c r="C1031" t="s">
        <v>3034</v>
      </c>
      <c r="D1031" s="1">
        <v>46036.000254629631</v>
      </c>
      <c r="E1031">
        <v>2187.69</v>
      </c>
      <c r="F1031">
        <v>63.74</v>
      </c>
      <c r="G1031">
        <v>2123.9499999999998</v>
      </c>
      <c r="H1031" t="s">
        <v>25</v>
      </c>
      <c r="I1031" t="s">
        <v>3914</v>
      </c>
      <c r="J1031" t="s">
        <v>3036</v>
      </c>
      <c r="K1031">
        <v>2187.69</v>
      </c>
      <c r="L1031" t="b">
        <v>0</v>
      </c>
    </row>
    <row r="1032" spans="1:12" x14ac:dyDescent="0.25">
      <c r="A1032" t="s">
        <v>4236</v>
      </c>
      <c r="B1032" t="s">
        <v>2970</v>
      </c>
      <c r="C1032" t="s">
        <v>3034</v>
      </c>
      <c r="D1032" s="1">
        <v>46024.278009259258</v>
      </c>
      <c r="E1032">
        <v>2170.7199999999998</v>
      </c>
      <c r="F1032">
        <v>63.25</v>
      </c>
      <c r="G1032">
        <v>2107.4699999999998</v>
      </c>
      <c r="H1032" t="s">
        <v>25</v>
      </c>
      <c r="I1032" t="s">
        <v>3890</v>
      </c>
      <c r="J1032" t="s">
        <v>3036</v>
      </c>
      <c r="K1032">
        <v>2170.7199999999998</v>
      </c>
      <c r="L1032" t="b">
        <v>0</v>
      </c>
    </row>
    <row r="1033" spans="1:12" x14ac:dyDescent="0.25">
      <c r="A1033" t="s">
        <v>4237</v>
      </c>
      <c r="B1033" t="s">
        <v>2973</v>
      </c>
      <c r="C1033" t="s">
        <v>3034</v>
      </c>
      <c r="D1033" s="1">
        <v>46025.358749999999</v>
      </c>
      <c r="E1033">
        <v>2353.33</v>
      </c>
      <c r="F1033">
        <v>68.55</v>
      </c>
      <c r="G1033">
        <v>2284.7800000000002</v>
      </c>
      <c r="H1033" t="s">
        <v>25</v>
      </c>
      <c r="I1033" t="s">
        <v>3894</v>
      </c>
      <c r="J1033" t="s">
        <v>3036</v>
      </c>
      <c r="K1033">
        <v>2353.33</v>
      </c>
      <c r="L1033" t="b">
        <v>0</v>
      </c>
    </row>
    <row r="1034" spans="1:12" x14ac:dyDescent="0.25">
      <c r="A1034" t="s">
        <v>4238</v>
      </c>
      <c r="B1034" t="s">
        <v>2976</v>
      </c>
      <c r="C1034" t="s">
        <v>3034</v>
      </c>
      <c r="D1034" s="1">
        <v>46026.435497685183</v>
      </c>
      <c r="E1034">
        <v>299.7</v>
      </c>
      <c r="F1034">
        <v>8.99</v>
      </c>
      <c r="G1034">
        <v>290.70999999999998</v>
      </c>
      <c r="H1034" t="s">
        <v>25</v>
      </c>
      <c r="I1034" t="s">
        <v>3896</v>
      </c>
      <c r="J1034" t="s">
        <v>3036</v>
      </c>
      <c r="K1034">
        <v>299.7</v>
      </c>
      <c r="L1034" t="b">
        <v>0</v>
      </c>
    </row>
    <row r="1035" spans="1:12" x14ac:dyDescent="0.25">
      <c r="A1035" t="s">
        <v>4239</v>
      </c>
      <c r="B1035" t="s">
        <v>2979</v>
      </c>
      <c r="C1035" t="s">
        <v>3034</v>
      </c>
      <c r="D1035" s="1">
        <v>46027.520312499997</v>
      </c>
      <c r="E1035">
        <v>2499.8000000000002</v>
      </c>
      <c r="F1035">
        <v>72.790000000000006</v>
      </c>
      <c r="G1035">
        <v>2427.0100000000002</v>
      </c>
      <c r="H1035" t="s">
        <v>25</v>
      </c>
      <c r="I1035" t="s">
        <v>3923</v>
      </c>
      <c r="J1035" t="s">
        <v>3036</v>
      </c>
      <c r="K1035">
        <v>2499.8000000000002</v>
      </c>
      <c r="L1035" t="b">
        <v>0</v>
      </c>
    </row>
    <row r="1036" spans="1:12" x14ac:dyDescent="0.25">
      <c r="A1036" t="s">
        <v>4240</v>
      </c>
      <c r="B1036" t="s">
        <v>2982</v>
      </c>
      <c r="C1036" t="s">
        <v>3034</v>
      </c>
      <c r="D1036" s="1">
        <v>46028.612303240741</v>
      </c>
      <c r="E1036">
        <v>303.45999999999998</v>
      </c>
      <c r="F1036">
        <v>9.1</v>
      </c>
      <c r="G1036">
        <v>294.36</v>
      </c>
      <c r="H1036" t="s">
        <v>25</v>
      </c>
      <c r="I1036" t="s">
        <v>4241</v>
      </c>
      <c r="J1036" t="s">
        <v>3036</v>
      </c>
      <c r="K1036">
        <v>303.45999999999998</v>
      </c>
      <c r="L1036" t="b">
        <v>0</v>
      </c>
    </row>
    <row r="1037" spans="1:12" x14ac:dyDescent="0.25">
      <c r="A1037" t="s">
        <v>4242</v>
      </c>
      <c r="B1037" t="s">
        <v>2985</v>
      </c>
      <c r="C1037" t="s">
        <v>3034</v>
      </c>
      <c r="D1037" s="1">
        <v>46029.724745370368</v>
      </c>
      <c r="E1037">
        <v>1780.67</v>
      </c>
      <c r="F1037">
        <v>51.94</v>
      </c>
      <c r="G1037">
        <v>1728.73</v>
      </c>
      <c r="H1037" t="s">
        <v>25</v>
      </c>
      <c r="I1037" t="s">
        <v>3902</v>
      </c>
      <c r="J1037" t="s">
        <v>3036</v>
      </c>
      <c r="K1037">
        <v>1780.67</v>
      </c>
      <c r="L1037" t="b">
        <v>0</v>
      </c>
    </row>
    <row r="1038" spans="1:12" x14ac:dyDescent="0.25">
      <c r="A1038" t="s">
        <v>4243</v>
      </c>
      <c r="B1038" t="s">
        <v>2988</v>
      </c>
      <c r="C1038" t="s">
        <v>3034</v>
      </c>
      <c r="D1038" s="1">
        <v>46030.793182870373</v>
      </c>
      <c r="E1038">
        <v>990.99</v>
      </c>
      <c r="F1038">
        <v>29.04</v>
      </c>
      <c r="G1038">
        <v>961.95</v>
      </c>
      <c r="H1038" t="s">
        <v>25</v>
      </c>
      <c r="I1038" t="s">
        <v>3904</v>
      </c>
      <c r="J1038" t="s">
        <v>3036</v>
      </c>
      <c r="K1038">
        <v>990.99</v>
      </c>
      <c r="L1038" t="b">
        <v>0</v>
      </c>
    </row>
    <row r="1039" spans="1:12" x14ac:dyDescent="0.25">
      <c r="A1039" t="s">
        <v>4244</v>
      </c>
      <c r="B1039" t="s">
        <v>2991</v>
      </c>
      <c r="C1039" t="s">
        <v>3034</v>
      </c>
      <c r="D1039" s="1">
        <v>46031.895231481481</v>
      </c>
      <c r="E1039">
        <v>1495.87</v>
      </c>
      <c r="F1039">
        <v>43.68</v>
      </c>
      <c r="G1039">
        <v>1452.19</v>
      </c>
      <c r="H1039" t="s">
        <v>25</v>
      </c>
      <c r="I1039" t="s">
        <v>3930</v>
      </c>
      <c r="J1039" t="s">
        <v>3036</v>
      </c>
      <c r="K1039">
        <v>1495.87</v>
      </c>
      <c r="L1039" t="b">
        <v>0</v>
      </c>
    </row>
    <row r="1040" spans="1:12" x14ac:dyDescent="0.25">
      <c r="A1040" t="s">
        <v>4245</v>
      </c>
      <c r="B1040" t="s">
        <v>2991</v>
      </c>
      <c r="C1040" t="s">
        <v>3076</v>
      </c>
      <c r="D1040" s="1">
        <v>46032.888287037036</v>
      </c>
      <c r="E1040">
        <v>-747.94</v>
      </c>
      <c r="F1040">
        <v>0</v>
      </c>
      <c r="G1040">
        <v>-747.94</v>
      </c>
      <c r="H1040" t="s">
        <v>25</v>
      </c>
      <c r="I1040" t="s">
        <v>4246</v>
      </c>
      <c r="J1040" t="s">
        <v>3036</v>
      </c>
      <c r="K1040">
        <v>-747.94</v>
      </c>
      <c r="L1040" t="b">
        <v>0</v>
      </c>
    </row>
    <row r="1041" spans="1:12" x14ac:dyDescent="0.25">
      <c r="A1041" t="s">
        <v>4247</v>
      </c>
      <c r="B1041" t="s">
        <v>2994</v>
      </c>
      <c r="C1041" t="s">
        <v>3034</v>
      </c>
      <c r="D1041" s="1">
        <v>46033.008310185185</v>
      </c>
      <c r="E1041">
        <v>2151.5100000000002</v>
      </c>
      <c r="F1041">
        <v>62.69</v>
      </c>
      <c r="G1041">
        <v>2088.8200000000002</v>
      </c>
      <c r="H1041" t="s">
        <v>52</v>
      </c>
      <c r="I1041" t="s">
        <v>3908</v>
      </c>
      <c r="J1041" t="s">
        <v>3036</v>
      </c>
      <c r="K1041">
        <v>2151.5100000000002</v>
      </c>
      <c r="L1041" t="b">
        <v>0</v>
      </c>
    </row>
    <row r="1042" spans="1:12" x14ac:dyDescent="0.25">
      <c r="A1042" t="s">
        <v>4248</v>
      </c>
      <c r="B1042" t="s">
        <v>2997</v>
      </c>
      <c r="C1042" t="s">
        <v>3034</v>
      </c>
      <c r="D1042" s="1">
        <v>46034.089930555558</v>
      </c>
      <c r="E1042">
        <v>977.86</v>
      </c>
      <c r="F1042">
        <v>28.66</v>
      </c>
      <c r="G1042">
        <v>949.2</v>
      </c>
      <c r="H1042" t="s">
        <v>19</v>
      </c>
      <c r="I1042" t="s">
        <v>4249</v>
      </c>
      <c r="J1042" t="s">
        <v>3036</v>
      </c>
      <c r="K1042">
        <v>977.86</v>
      </c>
      <c r="L1042" t="b">
        <v>0</v>
      </c>
    </row>
    <row r="1043" spans="1:12" x14ac:dyDescent="0.25">
      <c r="A1043" t="s">
        <v>4250</v>
      </c>
      <c r="B1043" t="s">
        <v>3000</v>
      </c>
      <c r="C1043" t="s">
        <v>3034</v>
      </c>
      <c r="D1043" s="1">
        <v>46035.193171296298</v>
      </c>
      <c r="E1043">
        <v>2225.9499999999998</v>
      </c>
      <c r="F1043">
        <v>64.849999999999994</v>
      </c>
      <c r="G1043">
        <v>2161.1</v>
      </c>
      <c r="H1043" t="s">
        <v>25</v>
      </c>
      <c r="I1043" t="s">
        <v>3912</v>
      </c>
      <c r="J1043" t="s">
        <v>3036</v>
      </c>
      <c r="K1043">
        <v>2225.9499999999998</v>
      </c>
      <c r="L1043" t="b">
        <v>0</v>
      </c>
    </row>
    <row r="1044" spans="1:12" x14ac:dyDescent="0.25">
      <c r="A1044" t="s">
        <v>4251</v>
      </c>
      <c r="B1044" t="s">
        <v>3003</v>
      </c>
      <c r="C1044" t="s">
        <v>3034</v>
      </c>
      <c r="D1044" s="1">
        <v>46035.266030092593</v>
      </c>
      <c r="E1044">
        <v>969.94</v>
      </c>
      <c r="F1044">
        <v>28.43</v>
      </c>
      <c r="G1044">
        <v>941.51</v>
      </c>
      <c r="H1044" t="s">
        <v>25</v>
      </c>
      <c r="I1044" t="s">
        <v>3914</v>
      </c>
      <c r="J1044" t="s">
        <v>3036</v>
      </c>
      <c r="K1044">
        <v>969.94</v>
      </c>
      <c r="L1044" t="b">
        <v>0</v>
      </c>
    </row>
    <row r="1045" spans="1:12" x14ac:dyDescent="0.25">
      <c r="A1045" t="s">
        <v>4252</v>
      </c>
      <c r="B1045" t="s">
        <v>3006</v>
      </c>
      <c r="C1045" t="s">
        <v>3034</v>
      </c>
      <c r="D1045" s="1">
        <v>46036.362962962965</v>
      </c>
      <c r="E1045">
        <v>548.24</v>
      </c>
      <c r="F1045">
        <v>16.57</v>
      </c>
      <c r="G1045">
        <v>531.66999999999996</v>
      </c>
      <c r="H1045" t="s">
        <v>25</v>
      </c>
      <c r="I1045" t="s">
        <v>3916</v>
      </c>
      <c r="J1045" t="s">
        <v>3036</v>
      </c>
      <c r="K1045">
        <v>548.24</v>
      </c>
      <c r="L1045" t="b">
        <v>0</v>
      </c>
    </row>
    <row r="1046" spans="1:12" x14ac:dyDescent="0.25">
      <c r="A1046" t="s">
        <v>4253</v>
      </c>
      <c r="B1046" t="s">
        <v>3009</v>
      </c>
      <c r="C1046" t="s">
        <v>3034</v>
      </c>
      <c r="D1046" s="1">
        <v>46023.442662037036</v>
      </c>
      <c r="E1046">
        <v>1906.98</v>
      </c>
      <c r="F1046">
        <v>55.6</v>
      </c>
      <c r="G1046">
        <v>1851.38</v>
      </c>
      <c r="H1046" t="s">
        <v>25</v>
      </c>
      <c r="I1046" t="s">
        <v>3918</v>
      </c>
      <c r="J1046" t="s">
        <v>3036</v>
      </c>
      <c r="K1046">
        <v>1906.98</v>
      </c>
      <c r="L1046" t="b">
        <v>0</v>
      </c>
    </row>
    <row r="1047" spans="1:12" x14ac:dyDescent="0.25">
      <c r="A1047" t="s">
        <v>4254</v>
      </c>
      <c r="B1047" t="s">
        <v>3009</v>
      </c>
      <c r="C1047" t="s">
        <v>3076</v>
      </c>
      <c r="D1047" s="1">
        <v>46024.435717592591</v>
      </c>
      <c r="E1047">
        <v>-1906.98</v>
      </c>
      <c r="F1047">
        <v>0</v>
      </c>
      <c r="G1047">
        <v>-1906.98</v>
      </c>
      <c r="H1047" t="s">
        <v>25</v>
      </c>
      <c r="I1047" t="s">
        <v>4255</v>
      </c>
      <c r="J1047" t="s">
        <v>3036</v>
      </c>
      <c r="K1047">
        <v>-1906.98</v>
      </c>
      <c r="L1047" t="b">
        <v>0</v>
      </c>
    </row>
    <row r="1048" spans="1:12" x14ac:dyDescent="0.25">
      <c r="A1048" t="s">
        <v>4256</v>
      </c>
      <c r="B1048" t="s">
        <v>3015</v>
      </c>
      <c r="C1048" t="s">
        <v>3034</v>
      </c>
      <c r="D1048" s="1">
        <v>46025.61917824074</v>
      </c>
      <c r="E1048">
        <v>1860.07</v>
      </c>
      <c r="F1048">
        <v>54.24</v>
      </c>
      <c r="G1048">
        <v>1805.83</v>
      </c>
      <c r="H1048" t="s">
        <v>25</v>
      </c>
      <c r="I1048" t="s">
        <v>3894</v>
      </c>
      <c r="J1048" t="s">
        <v>3036</v>
      </c>
      <c r="K1048">
        <v>1860.07</v>
      </c>
      <c r="L1048" t="b">
        <v>0</v>
      </c>
    </row>
    <row r="1049" spans="1:12" x14ac:dyDescent="0.25">
      <c r="A1049" t="s">
        <v>4257</v>
      </c>
      <c r="B1049" t="s">
        <v>3018</v>
      </c>
      <c r="C1049" t="s">
        <v>3034</v>
      </c>
      <c r="D1049" s="1">
        <v>46026.748368055552</v>
      </c>
      <c r="E1049">
        <v>1051.23</v>
      </c>
      <c r="F1049">
        <v>30.79</v>
      </c>
      <c r="G1049">
        <v>1020.44</v>
      </c>
      <c r="H1049" t="s">
        <v>25</v>
      </c>
      <c r="I1049" t="s">
        <v>3896</v>
      </c>
      <c r="J1049" t="s">
        <v>3036</v>
      </c>
      <c r="K1049">
        <v>1051.23</v>
      </c>
      <c r="L1049" t="b">
        <v>0</v>
      </c>
    </row>
    <row r="1050" spans="1:12" x14ac:dyDescent="0.25">
      <c r="A1050" t="s">
        <v>4258</v>
      </c>
      <c r="B1050" t="s">
        <v>3021</v>
      </c>
      <c r="C1050" t="s">
        <v>3034</v>
      </c>
      <c r="D1050" s="1">
        <v>46027.80840277778</v>
      </c>
      <c r="E1050">
        <v>2350.64</v>
      </c>
      <c r="F1050">
        <v>68.47</v>
      </c>
      <c r="G1050">
        <v>2282.17</v>
      </c>
      <c r="H1050" t="s">
        <v>25</v>
      </c>
      <c r="I1050" t="s">
        <v>3923</v>
      </c>
      <c r="J1050" t="s">
        <v>3036</v>
      </c>
      <c r="K1050">
        <v>2350.64</v>
      </c>
      <c r="L1050" t="b">
        <v>0</v>
      </c>
    </row>
    <row r="1051" spans="1:12" x14ac:dyDescent="0.25">
      <c r="A1051" t="s">
        <v>4259</v>
      </c>
      <c r="B1051" t="s">
        <v>3024</v>
      </c>
      <c r="C1051" t="s">
        <v>3034</v>
      </c>
      <c r="D1051" s="1">
        <v>46028.921747685185</v>
      </c>
      <c r="E1051">
        <v>1945.04</v>
      </c>
      <c r="F1051">
        <v>56.71</v>
      </c>
      <c r="G1051">
        <v>1888.33</v>
      </c>
      <c r="H1051" t="s">
        <v>52</v>
      </c>
      <c r="I1051" t="s">
        <v>3925</v>
      </c>
      <c r="J1051" t="s">
        <v>3036</v>
      </c>
      <c r="K1051">
        <v>1945.04</v>
      </c>
      <c r="L1051" t="b">
        <v>0</v>
      </c>
    </row>
    <row r="1052" spans="1:12" x14ac:dyDescent="0.25">
      <c r="A1052" t="s">
        <v>4260</v>
      </c>
      <c r="B1052" t="s">
        <v>4261</v>
      </c>
      <c r="C1052" t="s">
        <v>3034</v>
      </c>
      <c r="D1052" s="1">
        <v>46023.270833333336</v>
      </c>
      <c r="E1052">
        <v>413.16</v>
      </c>
      <c r="F1052">
        <v>12.28</v>
      </c>
      <c r="G1052">
        <v>400.88</v>
      </c>
      <c r="H1052" t="s">
        <v>25</v>
      </c>
      <c r="I1052" t="s">
        <v>4262</v>
      </c>
      <c r="J1052" t="s">
        <v>3036</v>
      </c>
      <c r="K1052">
        <v>413.16</v>
      </c>
      <c r="L1052" t="b">
        <v>0</v>
      </c>
    </row>
    <row r="1053" spans="1:12" x14ac:dyDescent="0.25">
      <c r="A1053" t="s">
        <v>4263</v>
      </c>
      <c r="B1053" t="s">
        <v>4264</v>
      </c>
      <c r="C1053" t="s">
        <v>3034</v>
      </c>
      <c r="D1053" s="1">
        <v>46023.3125</v>
      </c>
      <c r="E1053">
        <v>443.08</v>
      </c>
      <c r="F1053">
        <v>13.15</v>
      </c>
      <c r="G1053">
        <v>429.93</v>
      </c>
      <c r="H1053" t="s">
        <v>25</v>
      </c>
      <c r="I1053" t="s">
        <v>4265</v>
      </c>
      <c r="J1053" t="s">
        <v>3036</v>
      </c>
      <c r="K1053">
        <v>443.08</v>
      </c>
      <c r="L1053" t="b">
        <v>0</v>
      </c>
    </row>
    <row r="1054" spans="1:12" x14ac:dyDescent="0.25">
      <c r="A1054" t="s">
        <v>4266</v>
      </c>
      <c r="B1054" t="s">
        <v>4267</v>
      </c>
      <c r="C1054" t="s">
        <v>3034</v>
      </c>
      <c r="D1054" s="1">
        <v>46023.354166666664</v>
      </c>
      <c r="E1054">
        <v>388.7</v>
      </c>
      <c r="F1054">
        <v>11.57</v>
      </c>
      <c r="G1054">
        <v>377.13</v>
      </c>
      <c r="H1054" t="s">
        <v>25</v>
      </c>
      <c r="I1054" t="s">
        <v>4268</v>
      </c>
      <c r="J1054" t="s">
        <v>3036</v>
      </c>
      <c r="K1054">
        <v>388.7</v>
      </c>
      <c r="L1054" t="b">
        <v>0</v>
      </c>
    </row>
    <row r="1055" spans="1:12" x14ac:dyDescent="0.25">
      <c r="A1055" t="s">
        <v>4269</v>
      </c>
      <c r="B1055" t="s">
        <v>4270</v>
      </c>
      <c r="C1055" t="s">
        <v>3034</v>
      </c>
      <c r="D1055" s="1">
        <v>46023.395833333336</v>
      </c>
      <c r="E1055">
        <v>77.61</v>
      </c>
      <c r="F1055">
        <v>2.5499999999999998</v>
      </c>
      <c r="G1055">
        <v>75.06</v>
      </c>
      <c r="H1055" t="s">
        <v>25</v>
      </c>
      <c r="I1055" t="s">
        <v>4271</v>
      </c>
      <c r="J1055" t="s">
        <v>3036</v>
      </c>
      <c r="K1055">
        <v>77.61</v>
      </c>
      <c r="L1055" t="b">
        <v>0</v>
      </c>
    </row>
    <row r="1056" spans="1:12" x14ac:dyDescent="0.25">
      <c r="A1056" t="s">
        <v>4272</v>
      </c>
      <c r="B1056" t="s">
        <v>4273</v>
      </c>
      <c r="C1056" t="s">
        <v>3034</v>
      </c>
      <c r="D1056" s="1">
        <v>46023.4375</v>
      </c>
      <c r="E1056">
        <v>861.34</v>
      </c>
      <c r="F1056">
        <v>25.28</v>
      </c>
      <c r="G1056">
        <v>836.06</v>
      </c>
      <c r="H1056" t="s">
        <v>25</v>
      </c>
      <c r="I1056" t="s">
        <v>4274</v>
      </c>
      <c r="J1056" t="s">
        <v>3036</v>
      </c>
      <c r="K1056">
        <v>861.34</v>
      </c>
      <c r="L1056" t="b">
        <v>0</v>
      </c>
    </row>
    <row r="1057" spans="1:12" x14ac:dyDescent="0.25">
      <c r="A1057" t="s">
        <v>4275</v>
      </c>
      <c r="B1057" t="s">
        <v>4276</v>
      </c>
      <c r="C1057" t="s">
        <v>3034</v>
      </c>
      <c r="D1057" s="1">
        <v>46023.479166666664</v>
      </c>
      <c r="E1057">
        <v>724.92</v>
      </c>
      <c r="F1057">
        <v>21.32</v>
      </c>
      <c r="G1057">
        <v>703.6</v>
      </c>
      <c r="H1057" t="s">
        <v>25</v>
      </c>
      <c r="I1057" t="s">
        <v>4277</v>
      </c>
      <c r="J1057" t="s">
        <v>3036</v>
      </c>
      <c r="K1057">
        <v>724.92</v>
      </c>
      <c r="L1057" t="b">
        <v>0</v>
      </c>
    </row>
    <row r="1058" spans="1:12" x14ac:dyDescent="0.25">
      <c r="A1058" t="s">
        <v>4278</v>
      </c>
      <c r="B1058" t="s">
        <v>4279</v>
      </c>
      <c r="C1058" t="s">
        <v>3034</v>
      </c>
      <c r="D1058" s="1">
        <v>46023.520833333336</v>
      </c>
      <c r="E1058">
        <v>720.78</v>
      </c>
      <c r="F1058">
        <v>21.2</v>
      </c>
      <c r="G1058">
        <v>699.58</v>
      </c>
      <c r="H1058" t="s">
        <v>25</v>
      </c>
      <c r="I1058" t="s">
        <v>4280</v>
      </c>
      <c r="J1058" t="s">
        <v>3036</v>
      </c>
      <c r="K1058">
        <v>720.78</v>
      </c>
      <c r="L1058" t="b">
        <v>0</v>
      </c>
    </row>
    <row r="1059" spans="1:12" x14ac:dyDescent="0.25">
      <c r="A1059" t="s">
        <v>4281</v>
      </c>
      <c r="B1059" t="s">
        <v>4282</v>
      </c>
      <c r="C1059" t="s">
        <v>3034</v>
      </c>
      <c r="D1059" s="1">
        <v>46023.5625</v>
      </c>
      <c r="E1059">
        <v>282.49</v>
      </c>
      <c r="F1059">
        <v>8.49</v>
      </c>
      <c r="G1059">
        <v>274</v>
      </c>
      <c r="H1059" t="s">
        <v>25</v>
      </c>
      <c r="I1059" t="s">
        <v>4283</v>
      </c>
      <c r="J1059" t="s">
        <v>3036</v>
      </c>
      <c r="K1059">
        <v>282.49</v>
      </c>
      <c r="L1059" t="b">
        <v>0</v>
      </c>
    </row>
    <row r="1060" spans="1:12" x14ac:dyDescent="0.25">
      <c r="A1060" t="s">
        <v>4284</v>
      </c>
      <c r="B1060" t="s">
        <v>4285</v>
      </c>
      <c r="C1060" t="s">
        <v>3034</v>
      </c>
      <c r="D1060" s="1">
        <v>46023.604166666664</v>
      </c>
      <c r="E1060">
        <v>370.03</v>
      </c>
      <c r="F1060">
        <v>11.03</v>
      </c>
      <c r="G1060">
        <v>359</v>
      </c>
      <c r="H1060" t="s">
        <v>25</v>
      </c>
      <c r="I1060" t="s">
        <v>4286</v>
      </c>
      <c r="J1060" t="s">
        <v>3036</v>
      </c>
      <c r="K1060">
        <v>370.03</v>
      </c>
      <c r="L1060" t="b">
        <v>0</v>
      </c>
    </row>
    <row r="1061" spans="1:12" x14ac:dyDescent="0.25">
      <c r="A1061" t="s">
        <v>4287</v>
      </c>
      <c r="B1061" t="s">
        <v>4288</v>
      </c>
      <c r="C1061" t="s">
        <v>3034</v>
      </c>
      <c r="D1061" s="1">
        <v>46023.645833333336</v>
      </c>
      <c r="E1061">
        <v>636.76</v>
      </c>
      <c r="F1061">
        <v>18.77</v>
      </c>
      <c r="G1061">
        <v>617.99</v>
      </c>
      <c r="H1061" t="s">
        <v>25</v>
      </c>
      <c r="I1061" t="s">
        <v>4289</v>
      </c>
      <c r="J1061" t="s">
        <v>3036</v>
      </c>
      <c r="K1061">
        <v>636.76</v>
      </c>
      <c r="L1061" t="b">
        <v>0</v>
      </c>
    </row>
    <row r="1062" spans="1:12" x14ac:dyDescent="0.25">
      <c r="A1062" t="s">
        <v>4290</v>
      </c>
      <c r="B1062" t="s">
        <v>4291</v>
      </c>
      <c r="C1062" t="s">
        <v>3034</v>
      </c>
      <c r="D1062" s="1">
        <v>46023.6875</v>
      </c>
      <c r="E1062">
        <v>608.98</v>
      </c>
      <c r="F1062">
        <v>17.96</v>
      </c>
      <c r="G1062">
        <v>591.02</v>
      </c>
      <c r="H1062" t="s">
        <v>25</v>
      </c>
      <c r="I1062" t="s">
        <v>4292</v>
      </c>
      <c r="J1062" t="s">
        <v>3036</v>
      </c>
      <c r="K1062">
        <v>608.98</v>
      </c>
      <c r="L1062" t="b">
        <v>0</v>
      </c>
    </row>
    <row r="1063" spans="1:12" x14ac:dyDescent="0.25">
      <c r="A1063" t="s">
        <v>4293</v>
      </c>
      <c r="B1063" t="s">
        <v>4294</v>
      </c>
      <c r="C1063" t="s">
        <v>3034</v>
      </c>
      <c r="D1063" s="1">
        <v>46023.729166666664</v>
      </c>
      <c r="E1063">
        <v>655.01</v>
      </c>
      <c r="F1063">
        <v>19.3</v>
      </c>
      <c r="G1063">
        <v>635.71</v>
      </c>
      <c r="H1063" t="s">
        <v>25</v>
      </c>
      <c r="I1063" t="s">
        <v>4295</v>
      </c>
      <c r="J1063" t="s">
        <v>3036</v>
      </c>
      <c r="K1063">
        <v>655.01</v>
      </c>
      <c r="L1063" t="b">
        <v>0</v>
      </c>
    </row>
    <row r="1064" spans="1:12" x14ac:dyDescent="0.25">
      <c r="A1064" t="s">
        <v>4296</v>
      </c>
      <c r="B1064" t="s">
        <v>4297</v>
      </c>
      <c r="C1064" t="s">
        <v>3034</v>
      </c>
      <c r="D1064" s="1">
        <v>46023.770833333336</v>
      </c>
      <c r="E1064">
        <v>648.86</v>
      </c>
      <c r="F1064">
        <v>19.12</v>
      </c>
      <c r="G1064">
        <v>629.74</v>
      </c>
      <c r="H1064" t="s">
        <v>25</v>
      </c>
      <c r="I1064" t="s">
        <v>4298</v>
      </c>
      <c r="J1064" t="s">
        <v>3036</v>
      </c>
      <c r="K1064">
        <v>648.86</v>
      </c>
      <c r="L1064" t="b">
        <v>0</v>
      </c>
    </row>
    <row r="1065" spans="1:12" x14ac:dyDescent="0.25">
      <c r="A1065" t="s">
        <v>4299</v>
      </c>
      <c r="B1065" t="s">
        <v>4300</v>
      </c>
      <c r="C1065" t="s">
        <v>3034</v>
      </c>
      <c r="D1065" s="1">
        <v>46023.8125</v>
      </c>
      <c r="E1065">
        <v>8.09</v>
      </c>
      <c r="F1065">
        <v>0.53</v>
      </c>
      <c r="G1065">
        <v>7.56</v>
      </c>
      <c r="H1065" t="s">
        <v>25</v>
      </c>
      <c r="I1065" t="s">
        <v>4301</v>
      </c>
      <c r="J1065" t="s">
        <v>3036</v>
      </c>
      <c r="K1065">
        <v>8.09</v>
      </c>
      <c r="L1065" t="b">
        <v>0</v>
      </c>
    </row>
    <row r="1066" spans="1:12" x14ac:dyDescent="0.25">
      <c r="A1066" t="s">
        <v>4302</v>
      </c>
      <c r="B1066" t="s">
        <v>4303</v>
      </c>
      <c r="C1066" t="s">
        <v>3034</v>
      </c>
      <c r="D1066" s="1">
        <v>46023.854166666664</v>
      </c>
      <c r="E1066">
        <v>557.17999999999995</v>
      </c>
      <c r="F1066">
        <v>16.46</v>
      </c>
      <c r="G1066">
        <v>540.72</v>
      </c>
      <c r="H1066" t="s">
        <v>25</v>
      </c>
      <c r="I1066" t="s">
        <v>4304</v>
      </c>
      <c r="J1066" t="s">
        <v>3036</v>
      </c>
      <c r="K1066">
        <v>557.17999999999995</v>
      </c>
      <c r="L1066" t="b">
        <v>0</v>
      </c>
    </row>
    <row r="1067" spans="1:12" x14ac:dyDescent="0.25">
      <c r="A1067" t="s">
        <v>4305</v>
      </c>
      <c r="B1067" t="s">
        <v>4306</v>
      </c>
      <c r="C1067" t="s">
        <v>3034</v>
      </c>
      <c r="D1067" s="1">
        <v>46023.895833333336</v>
      </c>
      <c r="E1067">
        <v>841.29</v>
      </c>
      <c r="F1067">
        <v>24.7</v>
      </c>
      <c r="G1067">
        <v>816.59</v>
      </c>
      <c r="H1067" t="s">
        <v>25</v>
      </c>
      <c r="I1067" t="s">
        <v>4307</v>
      </c>
      <c r="J1067" t="s">
        <v>3036</v>
      </c>
      <c r="K1067">
        <v>841.29</v>
      </c>
      <c r="L1067" t="b">
        <v>0</v>
      </c>
    </row>
    <row r="1068" spans="1:12" x14ac:dyDescent="0.25">
      <c r="A1068" t="s">
        <v>4308</v>
      </c>
      <c r="B1068" t="s">
        <v>4309</v>
      </c>
      <c r="C1068" t="s">
        <v>3034</v>
      </c>
      <c r="D1068" s="1">
        <v>46023.9375</v>
      </c>
      <c r="E1068">
        <v>505.79</v>
      </c>
      <c r="F1068">
        <v>14.97</v>
      </c>
      <c r="G1068">
        <v>490.82</v>
      </c>
      <c r="H1068" t="s">
        <v>25</v>
      </c>
      <c r="I1068" t="s">
        <v>4310</v>
      </c>
      <c r="J1068" t="s">
        <v>3036</v>
      </c>
      <c r="K1068">
        <v>505.79</v>
      </c>
      <c r="L1068" t="b">
        <v>0</v>
      </c>
    </row>
    <row r="1069" spans="1:12" x14ac:dyDescent="0.25">
      <c r="A1069" t="s">
        <v>4311</v>
      </c>
      <c r="B1069" t="s">
        <v>4312</v>
      </c>
      <c r="C1069" t="s">
        <v>3034</v>
      </c>
      <c r="D1069" s="1">
        <v>46023.979166666664</v>
      </c>
      <c r="E1069">
        <v>157.58000000000001</v>
      </c>
      <c r="F1069">
        <v>4.87</v>
      </c>
      <c r="G1069">
        <v>152.71</v>
      </c>
      <c r="H1069" t="s">
        <v>25</v>
      </c>
      <c r="I1069" t="s">
        <v>4313</v>
      </c>
      <c r="J1069" t="s">
        <v>3036</v>
      </c>
      <c r="K1069">
        <v>157.58000000000001</v>
      </c>
      <c r="L1069" t="b">
        <v>0</v>
      </c>
    </row>
    <row r="1070" spans="1:12" x14ac:dyDescent="0.25">
      <c r="A1070" t="s">
        <v>4314</v>
      </c>
      <c r="B1070" t="s">
        <v>4315</v>
      </c>
      <c r="C1070" t="s">
        <v>3034</v>
      </c>
      <c r="D1070" s="1">
        <v>46024.020833333336</v>
      </c>
      <c r="E1070">
        <v>589.05999999999995</v>
      </c>
      <c r="F1070">
        <v>17.38</v>
      </c>
      <c r="G1070">
        <v>571.67999999999995</v>
      </c>
      <c r="H1070" t="s">
        <v>25</v>
      </c>
      <c r="I1070" t="s">
        <v>4316</v>
      </c>
      <c r="J1070" t="s">
        <v>3036</v>
      </c>
      <c r="K1070">
        <v>589.05999999999995</v>
      </c>
      <c r="L1070" t="b">
        <v>0</v>
      </c>
    </row>
    <row r="1071" spans="1:12" x14ac:dyDescent="0.25">
      <c r="A1071" t="s">
        <v>4317</v>
      </c>
      <c r="B1071" t="s">
        <v>4318</v>
      </c>
      <c r="C1071" t="s">
        <v>3034</v>
      </c>
      <c r="D1071" s="1">
        <v>46024.0625</v>
      </c>
      <c r="E1071">
        <v>635.55999999999995</v>
      </c>
      <c r="F1071">
        <v>18.73</v>
      </c>
      <c r="G1071">
        <v>616.83000000000004</v>
      </c>
      <c r="H1071" t="s">
        <v>25</v>
      </c>
      <c r="I1071" t="s">
        <v>4319</v>
      </c>
      <c r="J1071" t="s">
        <v>3036</v>
      </c>
      <c r="K1071">
        <v>635.55999999999995</v>
      </c>
      <c r="L1071" t="b">
        <v>0</v>
      </c>
    </row>
    <row r="1072" spans="1:12" x14ac:dyDescent="0.25">
      <c r="A1072" t="s">
        <v>4320</v>
      </c>
      <c r="B1072" t="s">
        <v>4321</v>
      </c>
      <c r="C1072" t="s">
        <v>3034</v>
      </c>
      <c r="D1072" s="1">
        <v>46023.229166666664</v>
      </c>
      <c r="F1072">
        <v>0.3</v>
      </c>
      <c r="G1072">
        <v>0</v>
      </c>
      <c r="H1072" t="s">
        <v>25</v>
      </c>
      <c r="I1072" t="s">
        <v>4322</v>
      </c>
      <c r="J1072" t="s">
        <v>3036</v>
      </c>
      <c r="L1072" t="b">
        <v>1</v>
      </c>
    </row>
    <row r="1073" spans="1:12" x14ac:dyDescent="0.25">
      <c r="A1073" t="s">
        <v>4323</v>
      </c>
      <c r="B1073" t="s">
        <v>4324</v>
      </c>
      <c r="C1073" t="s">
        <v>3034</v>
      </c>
      <c r="D1073" s="1">
        <v>46023.229166666664</v>
      </c>
      <c r="F1073">
        <v>0.3</v>
      </c>
      <c r="G1073">
        <v>0</v>
      </c>
      <c r="H1073" t="s">
        <v>25</v>
      </c>
      <c r="I1073" t="s">
        <v>4325</v>
      </c>
      <c r="J1073" t="s">
        <v>3036</v>
      </c>
      <c r="L1073" t="b">
        <v>1</v>
      </c>
    </row>
    <row r="1074" spans="1:12" x14ac:dyDescent="0.25">
      <c r="A1074" t="s">
        <v>4326</v>
      </c>
      <c r="B1074" t="s">
        <v>4327</v>
      </c>
      <c r="C1074" t="s">
        <v>3034</v>
      </c>
      <c r="D1074" s="1">
        <v>46023.229166666664</v>
      </c>
      <c r="F1074">
        <v>0.3</v>
      </c>
      <c r="G1074">
        <v>0</v>
      </c>
      <c r="H1074" t="s">
        <v>25</v>
      </c>
      <c r="I1074" t="s">
        <v>4328</v>
      </c>
      <c r="J1074" t="s">
        <v>3036</v>
      </c>
      <c r="L1074" t="b">
        <v>1</v>
      </c>
    </row>
    <row r="1075" spans="1:12" x14ac:dyDescent="0.25">
      <c r="A1075" t="s">
        <v>4329</v>
      </c>
      <c r="B1075" t="s">
        <v>4330</v>
      </c>
      <c r="C1075" t="s">
        <v>3034</v>
      </c>
      <c r="D1075" s="1">
        <v>46023.229166666664</v>
      </c>
      <c r="F1075">
        <v>0.3</v>
      </c>
      <c r="G1075">
        <v>0</v>
      </c>
      <c r="H1075" t="s">
        <v>25</v>
      </c>
      <c r="I1075" t="s">
        <v>4331</v>
      </c>
      <c r="J1075" t="s">
        <v>3036</v>
      </c>
      <c r="L1075" t="b">
        <v>1</v>
      </c>
    </row>
    <row r="1076" spans="1:12" x14ac:dyDescent="0.25">
      <c r="A1076" t="s">
        <v>4332</v>
      </c>
      <c r="B1076" t="s">
        <v>4333</v>
      </c>
      <c r="C1076" t="s">
        <v>3034</v>
      </c>
      <c r="D1076" s="1">
        <v>46023.229166666664</v>
      </c>
      <c r="F1076">
        <v>0.3</v>
      </c>
      <c r="G1076">
        <v>0</v>
      </c>
      <c r="H1076" t="s">
        <v>25</v>
      </c>
      <c r="I1076" t="s">
        <v>4334</v>
      </c>
      <c r="J1076" t="s">
        <v>3036</v>
      </c>
      <c r="L1076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CBAA-1D67-41B8-9DCD-C17FB1A5FB4E}">
  <dimension ref="A1:T71"/>
  <sheetViews>
    <sheetView topLeftCell="A16" workbookViewId="0">
      <selection activeCell="C10" sqref="C10"/>
    </sheetView>
  </sheetViews>
  <sheetFormatPr defaultRowHeight="15" x14ac:dyDescent="0.25"/>
  <cols>
    <col min="1" max="1" width="21.85546875" bestFit="1" customWidth="1"/>
    <col min="2" max="2" width="20.42578125" bestFit="1" customWidth="1"/>
    <col min="3" max="3" width="15.5703125" bestFit="1" customWidth="1"/>
    <col min="4" max="4" width="16" bestFit="1" customWidth="1"/>
    <col min="5" max="5" width="11.140625" bestFit="1" customWidth="1"/>
    <col min="6" max="7" width="20.42578125" bestFit="1" customWidth="1"/>
    <col min="8" max="8" width="31.42578125" bestFit="1" customWidth="1"/>
    <col min="9" max="9" width="27.42578125" bestFit="1" customWidth="1"/>
    <col min="10" max="10" width="23.42578125" bestFit="1" customWidth="1"/>
    <col min="11" max="11" width="23.7109375" bestFit="1" customWidth="1"/>
    <col min="12" max="12" width="17.5703125" bestFit="1" customWidth="1"/>
    <col min="13" max="14" width="14" bestFit="1" customWidth="1"/>
    <col min="15" max="15" width="12.7109375" bestFit="1" customWidth="1"/>
    <col min="16" max="16" width="33" bestFit="1" customWidth="1"/>
    <col min="17" max="17" width="18.85546875" bestFit="1" customWidth="1"/>
    <col min="18" max="18" width="18.7109375" bestFit="1" customWidth="1"/>
    <col min="19" max="19" width="17.28515625" bestFit="1" customWidth="1"/>
    <col min="20" max="20" width="18.140625" bestFit="1" customWidth="1"/>
  </cols>
  <sheetData>
    <row r="1" spans="1:2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3026</v>
      </c>
      <c r="J1" t="s">
        <v>3027</v>
      </c>
      <c r="K1" t="s">
        <v>3028</v>
      </c>
      <c r="L1" t="s">
        <v>4974</v>
      </c>
      <c r="M1" t="s">
        <v>3029</v>
      </c>
      <c r="N1" t="s">
        <v>3030</v>
      </c>
      <c r="O1" t="s">
        <v>4975</v>
      </c>
      <c r="P1" t="s">
        <v>3031</v>
      </c>
      <c r="Q1" t="s">
        <v>3032</v>
      </c>
      <c r="R1" t="s">
        <v>4976</v>
      </c>
      <c r="S1" t="s">
        <v>4989</v>
      </c>
      <c r="T1" t="s">
        <v>4990</v>
      </c>
    </row>
    <row r="2" spans="1:20" x14ac:dyDescent="0.25">
      <c r="A2" t="s">
        <v>90</v>
      </c>
      <c r="B2" t="s">
        <v>91</v>
      </c>
      <c r="C2" s="1">
        <v>46031.340995370374</v>
      </c>
      <c r="D2">
        <v>1437.16</v>
      </c>
      <c r="E2" t="s">
        <v>25</v>
      </c>
      <c r="F2" t="s">
        <v>92</v>
      </c>
      <c r="G2" t="s">
        <v>26</v>
      </c>
      <c r="H2" t="s">
        <v>93</v>
      </c>
      <c r="I2" t="s">
        <v>3075</v>
      </c>
      <c r="J2" t="s">
        <v>3076</v>
      </c>
      <c r="K2" s="1">
        <v>46032.340995370374</v>
      </c>
      <c r="L2">
        <v>-718.58</v>
      </c>
      <c r="M2">
        <v>0</v>
      </c>
      <c r="N2">
        <v>-718.58</v>
      </c>
      <c r="O2" t="s">
        <v>25</v>
      </c>
      <c r="P2" t="s">
        <v>3077</v>
      </c>
      <c r="Q2" t="s">
        <v>3036</v>
      </c>
      <c r="R2" t="s">
        <v>4977</v>
      </c>
      <c r="S2" t="s">
        <v>4991</v>
      </c>
      <c r="T2" t="s">
        <v>4992</v>
      </c>
    </row>
    <row r="3" spans="1:20" x14ac:dyDescent="0.25">
      <c r="A3" t="s">
        <v>106</v>
      </c>
      <c r="B3" t="s">
        <v>107</v>
      </c>
      <c r="C3" s="1">
        <v>46036.833715277775</v>
      </c>
      <c r="D3">
        <v>1215.6199999999999</v>
      </c>
      <c r="E3" t="s">
        <v>25</v>
      </c>
      <c r="F3" t="s">
        <v>92</v>
      </c>
      <c r="G3" t="s">
        <v>21</v>
      </c>
      <c r="H3" t="s">
        <v>108</v>
      </c>
      <c r="I3" t="s">
        <v>3085</v>
      </c>
      <c r="J3" t="s">
        <v>3076</v>
      </c>
      <c r="K3" s="1">
        <v>46037.833715277775</v>
      </c>
      <c r="L3">
        <v>-607.80999999999995</v>
      </c>
      <c r="M3">
        <v>0</v>
      </c>
      <c r="N3">
        <v>-607.80999999999995</v>
      </c>
      <c r="O3" t="s">
        <v>25</v>
      </c>
      <c r="P3" t="s">
        <v>3086</v>
      </c>
      <c r="Q3" t="s">
        <v>3036</v>
      </c>
      <c r="R3" t="s">
        <v>4977</v>
      </c>
      <c r="S3" t="s">
        <v>4991</v>
      </c>
      <c r="T3" t="s">
        <v>4992</v>
      </c>
    </row>
    <row r="4" spans="1:20" x14ac:dyDescent="0.25">
      <c r="A4" t="s">
        <v>382</v>
      </c>
      <c r="B4" t="s">
        <v>383</v>
      </c>
      <c r="C4" s="1">
        <v>46030.230324074073</v>
      </c>
      <c r="D4">
        <v>1548.83</v>
      </c>
      <c r="E4" t="s">
        <v>52</v>
      </c>
      <c r="F4" t="s">
        <v>92</v>
      </c>
      <c r="G4" t="s">
        <v>30</v>
      </c>
      <c r="H4" t="s">
        <v>384</v>
      </c>
      <c r="I4" t="s">
        <v>3196</v>
      </c>
      <c r="J4" t="s">
        <v>3076</v>
      </c>
      <c r="K4" s="1">
        <v>46031.230324074073</v>
      </c>
      <c r="L4">
        <v>-774.42</v>
      </c>
      <c r="M4">
        <v>0</v>
      </c>
      <c r="N4">
        <v>-774.42</v>
      </c>
      <c r="O4" t="s">
        <v>52</v>
      </c>
      <c r="P4" t="s">
        <v>3197</v>
      </c>
      <c r="Q4" t="s">
        <v>3036</v>
      </c>
      <c r="R4" t="s">
        <v>4977</v>
      </c>
      <c r="S4" t="s">
        <v>4991</v>
      </c>
      <c r="T4" t="s">
        <v>4992</v>
      </c>
    </row>
    <row r="5" spans="1:20" x14ac:dyDescent="0.25">
      <c r="A5" t="s">
        <v>388</v>
      </c>
      <c r="B5" t="s">
        <v>389</v>
      </c>
      <c r="C5" s="1">
        <v>46032.448958333334</v>
      </c>
      <c r="D5">
        <v>1202.97</v>
      </c>
      <c r="E5" t="s">
        <v>25</v>
      </c>
      <c r="F5" t="s">
        <v>20</v>
      </c>
      <c r="G5" t="s">
        <v>26</v>
      </c>
      <c r="H5" t="s">
        <v>390</v>
      </c>
      <c r="I5" t="s">
        <v>3199</v>
      </c>
      <c r="J5" t="s">
        <v>3034</v>
      </c>
      <c r="K5" s="1">
        <v>46032.45590277778</v>
      </c>
      <c r="L5">
        <v>1204.08</v>
      </c>
      <c r="M5">
        <v>35.22</v>
      </c>
      <c r="N5">
        <v>1168.8599999999999</v>
      </c>
      <c r="O5" t="s">
        <v>25</v>
      </c>
      <c r="P5" t="s">
        <v>3079</v>
      </c>
      <c r="Q5" t="s">
        <v>3036</v>
      </c>
      <c r="R5" t="s">
        <v>4977</v>
      </c>
      <c r="S5" t="s">
        <v>4991</v>
      </c>
      <c r="T5" t="s">
        <v>4992</v>
      </c>
    </row>
    <row r="6" spans="1:20" x14ac:dyDescent="0.25">
      <c r="A6" t="s">
        <v>427</v>
      </c>
      <c r="B6" t="s">
        <v>428</v>
      </c>
      <c r="C6" s="1">
        <v>46031.619386574072</v>
      </c>
      <c r="D6">
        <v>631.87</v>
      </c>
      <c r="E6" t="s">
        <v>25</v>
      </c>
      <c r="F6" t="s">
        <v>429</v>
      </c>
      <c r="G6" t="s">
        <v>30</v>
      </c>
      <c r="H6" t="s">
        <v>430</v>
      </c>
      <c r="I6" t="s">
        <v>3213</v>
      </c>
      <c r="J6" t="s">
        <v>3076</v>
      </c>
      <c r="K6" s="1">
        <v>46032.619386574072</v>
      </c>
      <c r="L6">
        <v>-631.87</v>
      </c>
      <c r="M6">
        <v>0</v>
      </c>
      <c r="N6">
        <v>-631.87</v>
      </c>
      <c r="O6" t="s">
        <v>25</v>
      </c>
      <c r="P6" t="s">
        <v>3214</v>
      </c>
      <c r="Q6" t="s">
        <v>3036</v>
      </c>
      <c r="R6" t="s">
        <v>4977</v>
      </c>
      <c r="S6" t="s">
        <v>4991</v>
      </c>
      <c r="T6" t="s">
        <v>4992</v>
      </c>
    </row>
    <row r="7" spans="1:20" x14ac:dyDescent="0.25">
      <c r="A7" t="s">
        <v>461</v>
      </c>
      <c r="B7" t="s">
        <v>462</v>
      </c>
      <c r="C7" s="1">
        <v>46028.634363425925</v>
      </c>
      <c r="D7">
        <v>1472.02</v>
      </c>
      <c r="E7" t="s">
        <v>25</v>
      </c>
      <c r="F7" t="s">
        <v>429</v>
      </c>
      <c r="G7" t="s">
        <v>26</v>
      </c>
      <c r="H7" t="s">
        <v>463</v>
      </c>
      <c r="I7" t="s">
        <v>3226</v>
      </c>
      <c r="J7" t="s">
        <v>3076</v>
      </c>
      <c r="K7" s="1">
        <v>46029.634363425925</v>
      </c>
      <c r="L7">
        <v>-1472.02</v>
      </c>
      <c r="M7">
        <v>0</v>
      </c>
      <c r="N7">
        <v>-1472.02</v>
      </c>
      <c r="O7" t="s">
        <v>25</v>
      </c>
      <c r="P7" t="s">
        <v>3227</v>
      </c>
      <c r="Q7" t="s">
        <v>3036</v>
      </c>
      <c r="R7" t="s">
        <v>4977</v>
      </c>
      <c r="S7" t="s">
        <v>4991</v>
      </c>
      <c r="T7" t="s">
        <v>4992</v>
      </c>
    </row>
    <row r="8" spans="1:20" x14ac:dyDescent="0.25">
      <c r="A8" t="s">
        <v>533</v>
      </c>
      <c r="B8" t="s">
        <v>534</v>
      </c>
      <c r="C8" s="1">
        <v>46024.845011574071</v>
      </c>
      <c r="D8">
        <v>586.04</v>
      </c>
      <c r="E8" t="s">
        <v>52</v>
      </c>
      <c r="F8" t="s">
        <v>92</v>
      </c>
      <c r="G8" t="s">
        <v>26</v>
      </c>
      <c r="H8" t="s">
        <v>535</v>
      </c>
      <c r="I8" t="s">
        <v>3252</v>
      </c>
      <c r="J8" t="s">
        <v>3076</v>
      </c>
      <c r="K8" s="1">
        <v>46025.845011574071</v>
      </c>
      <c r="L8">
        <v>-293.02</v>
      </c>
      <c r="M8">
        <v>0</v>
      </c>
      <c r="N8">
        <v>-293.02</v>
      </c>
      <c r="O8" t="s">
        <v>52</v>
      </c>
      <c r="P8" t="s">
        <v>3253</v>
      </c>
      <c r="Q8" t="s">
        <v>3036</v>
      </c>
      <c r="R8" t="s">
        <v>4977</v>
      </c>
      <c r="S8" t="s">
        <v>4991</v>
      </c>
      <c r="T8" t="s">
        <v>4992</v>
      </c>
    </row>
    <row r="9" spans="1:20" x14ac:dyDescent="0.25">
      <c r="A9" t="s">
        <v>578</v>
      </c>
      <c r="B9" t="s">
        <v>579</v>
      </c>
      <c r="C9" s="1">
        <v>46026.195879629631</v>
      </c>
      <c r="D9">
        <v>518.08000000000004</v>
      </c>
      <c r="E9" t="s">
        <v>25</v>
      </c>
      <c r="F9" t="s">
        <v>429</v>
      </c>
      <c r="G9" t="s">
        <v>26</v>
      </c>
      <c r="H9" t="s">
        <v>580</v>
      </c>
      <c r="I9" t="s">
        <v>3270</v>
      </c>
      <c r="J9" t="s">
        <v>3076</v>
      </c>
      <c r="K9" s="1">
        <v>46027.195879629631</v>
      </c>
      <c r="L9">
        <v>-518.08000000000004</v>
      </c>
      <c r="M9">
        <v>0</v>
      </c>
      <c r="N9">
        <v>-518.08000000000004</v>
      </c>
      <c r="O9" t="s">
        <v>25</v>
      </c>
      <c r="P9" t="s">
        <v>3271</v>
      </c>
      <c r="Q9" t="s">
        <v>3036</v>
      </c>
      <c r="R9" t="s">
        <v>4977</v>
      </c>
      <c r="S9" t="s">
        <v>4991</v>
      </c>
      <c r="T9" t="s">
        <v>4992</v>
      </c>
    </row>
    <row r="10" spans="1:20" x14ac:dyDescent="0.25">
      <c r="A10" t="s">
        <v>593</v>
      </c>
      <c r="B10" t="s">
        <v>594</v>
      </c>
      <c r="C10" s="1">
        <v>46030.644837962966</v>
      </c>
      <c r="D10">
        <v>878.65</v>
      </c>
      <c r="E10" t="s">
        <v>52</v>
      </c>
      <c r="F10" t="s">
        <v>92</v>
      </c>
      <c r="G10" t="s">
        <v>21</v>
      </c>
      <c r="H10" t="s">
        <v>595</v>
      </c>
      <c r="I10" t="s">
        <v>3277</v>
      </c>
      <c r="J10" t="s">
        <v>3076</v>
      </c>
      <c r="K10" s="1">
        <v>46031.644837962966</v>
      </c>
      <c r="L10">
        <v>-439.33</v>
      </c>
      <c r="M10">
        <v>0</v>
      </c>
      <c r="N10">
        <v>-439.33</v>
      </c>
      <c r="O10" t="s">
        <v>52</v>
      </c>
      <c r="P10" t="s">
        <v>3278</v>
      </c>
      <c r="Q10" t="s">
        <v>3036</v>
      </c>
      <c r="R10" t="s">
        <v>4977</v>
      </c>
      <c r="S10" t="s">
        <v>4991</v>
      </c>
      <c r="T10" t="s">
        <v>4992</v>
      </c>
    </row>
    <row r="11" spans="1:20" x14ac:dyDescent="0.25">
      <c r="A11" t="s">
        <v>638</v>
      </c>
      <c r="B11" t="s">
        <v>639</v>
      </c>
      <c r="C11" s="1">
        <v>46032.037812499999</v>
      </c>
      <c r="D11">
        <v>16.93</v>
      </c>
      <c r="E11" t="s">
        <v>25</v>
      </c>
      <c r="F11" t="s">
        <v>429</v>
      </c>
      <c r="G11" t="s">
        <v>21</v>
      </c>
      <c r="H11" t="s">
        <v>640</v>
      </c>
      <c r="I11" t="s">
        <v>3297</v>
      </c>
      <c r="J11" t="s">
        <v>3076</v>
      </c>
      <c r="K11" s="1">
        <v>46033.037812499999</v>
      </c>
      <c r="L11">
        <v>-16.93</v>
      </c>
      <c r="M11">
        <v>0</v>
      </c>
      <c r="N11">
        <v>-16.93</v>
      </c>
      <c r="O11" t="s">
        <v>25</v>
      </c>
      <c r="P11" t="s">
        <v>3298</v>
      </c>
      <c r="Q11" t="s">
        <v>3036</v>
      </c>
      <c r="R11" t="s">
        <v>4977</v>
      </c>
      <c r="S11" t="s">
        <v>4991</v>
      </c>
      <c r="T11" t="s">
        <v>4992</v>
      </c>
    </row>
    <row r="12" spans="1:20" x14ac:dyDescent="0.25">
      <c r="A12" t="s">
        <v>662</v>
      </c>
      <c r="B12" t="s">
        <v>663</v>
      </c>
      <c r="C12" s="1">
        <v>46025.792615740742</v>
      </c>
      <c r="D12">
        <v>1351.31</v>
      </c>
      <c r="E12" t="s">
        <v>25</v>
      </c>
      <c r="F12" t="s">
        <v>429</v>
      </c>
      <c r="G12" t="s">
        <v>30</v>
      </c>
      <c r="H12" t="s">
        <v>664</v>
      </c>
      <c r="I12" t="s">
        <v>3307</v>
      </c>
      <c r="J12" t="s">
        <v>3076</v>
      </c>
      <c r="K12" s="1">
        <v>46026.792615740742</v>
      </c>
      <c r="L12">
        <v>-1351.31</v>
      </c>
      <c r="M12">
        <v>0</v>
      </c>
      <c r="N12">
        <v>-1351.31</v>
      </c>
      <c r="O12" t="s">
        <v>25</v>
      </c>
      <c r="P12" t="s">
        <v>3308</v>
      </c>
      <c r="Q12" t="s">
        <v>3036</v>
      </c>
      <c r="R12" t="s">
        <v>4977</v>
      </c>
      <c r="S12" t="s">
        <v>4991</v>
      </c>
      <c r="T12" t="s">
        <v>4992</v>
      </c>
    </row>
    <row r="13" spans="1:20" x14ac:dyDescent="0.25">
      <c r="A13" t="s">
        <v>695</v>
      </c>
      <c r="B13" t="s">
        <v>696</v>
      </c>
      <c r="C13" s="1">
        <v>46036.779270833336</v>
      </c>
      <c r="D13">
        <v>127.66</v>
      </c>
      <c r="E13" t="s">
        <v>25</v>
      </c>
      <c r="F13" t="s">
        <v>429</v>
      </c>
      <c r="G13" t="s">
        <v>26</v>
      </c>
      <c r="H13" t="s">
        <v>697</v>
      </c>
      <c r="I13" t="s">
        <v>3320</v>
      </c>
      <c r="J13" t="s">
        <v>3076</v>
      </c>
      <c r="K13" s="1">
        <v>46037.779270833336</v>
      </c>
      <c r="L13">
        <v>-127.66</v>
      </c>
      <c r="M13">
        <v>0</v>
      </c>
      <c r="N13">
        <v>-127.66</v>
      </c>
      <c r="O13" t="s">
        <v>25</v>
      </c>
      <c r="P13" t="s">
        <v>3321</v>
      </c>
      <c r="Q13" t="s">
        <v>3036</v>
      </c>
      <c r="R13" t="s">
        <v>4977</v>
      </c>
      <c r="S13" t="s">
        <v>4991</v>
      </c>
      <c r="T13" t="s">
        <v>4992</v>
      </c>
    </row>
    <row r="14" spans="1:20" x14ac:dyDescent="0.25">
      <c r="A14" t="s">
        <v>713</v>
      </c>
      <c r="B14" t="s">
        <v>714</v>
      </c>
      <c r="C14" s="1">
        <v>46028.347060185188</v>
      </c>
      <c r="D14">
        <v>1429.86</v>
      </c>
      <c r="E14" t="s">
        <v>52</v>
      </c>
      <c r="F14" t="s">
        <v>92</v>
      </c>
      <c r="G14" t="s">
        <v>26</v>
      </c>
      <c r="H14" t="s">
        <v>715</v>
      </c>
      <c r="I14" t="s">
        <v>3327</v>
      </c>
      <c r="J14" t="s">
        <v>3076</v>
      </c>
      <c r="K14" s="1">
        <v>46029.347060185188</v>
      </c>
      <c r="L14">
        <v>-714.93</v>
      </c>
      <c r="M14">
        <v>0</v>
      </c>
      <c r="N14">
        <v>-714.93</v>
      </c>
      <c r="O14" t="s">
        <v>52</v>
      </c>
      <c r="P14" t="s">
        <v>3328</v>
      </c>
      <c r="Q14" t="s">
        <v>3036</v>
      </c>
      <c r="R14" t="s">
        <v>4977</v>
      </c>
      <c r="S14" t="s">
        <v>4991</v>
      </c>
      <c r="T14" t="s">
        <v>4992</v>
      </c>
    </row>
    <row r="15" spans="1:20" x14ac:dyDescent="0.25">
      <c r="A15" t="s">
        <v>722</v>
      </c>
      <c r="B15" t="s">
        <v>723</v>
      </c>
      <c r="C15" s="1">
        <v>46031.614201388889</v>
      </c>
      <c r="D15">
        <v>2473.4699999999998</v>
      </c>
      <c r="E15" t="s">
        <v>25</v>
      </c>
      <c r="F15" t="s">
        <v>20</v>
      </c>
      <c r="G15" t="s">
        <v>26</v>
      </c>
      <c r="H15" t="s">
        <v>724</v>
      </c>
      <c r="I15" t="s">
        <v>3331</v>
      </c>
      <c r="J15" t="s">
        <v>3034</v>
      </c>
      <c r="K15" s="1">
        <v>46031.621145833335</v>
      </c>
      <c r="L15">
        <v>2474.58</v>
      </c>
      <c r="M15">
        <v>72.06</v>
      </c>
      <c r="N15">
        <v>2402.52</v>
      </c>
      <c r="O15" t="s">
        <v>25</v>
      </c>
      <c r="P15" t="s">
        <v>3052</v>
      </c>
      <c r="Q15" t="s">
        <v>3036</v>
      </c>
      <c r="R15" t="s">
        <v>4977</v>
      </c>
      <c r="S15" t="s">
        <v>4991</v>
      </c>
      <c r="T15" t="s">
        <v>4992</v>
      </c>
    </row>
    <row r="16" spans="1:20" x14ac:dyDescent="0.25">
      <c r="A16" t="s">
        <v>806</v>
      </c>
      <c r="B16" t="s">
        <v>807</v>
      </c>
      <c r="C16" s="1">
        <v>46032.184687499997</v>
      </c>
      <c r="D16">
        <v>1149.1600000000001</v>
      </c>
      <c r="E16" t="s">
        <v>19</v>
      </c>
      <c r="F16" t="s">
        <v>429</v>
      </c>
      <c r="G16" t="s">
        <v>30</v>
      </c>
      <c r="H16" t="s">
        <v>808</v>
      </c>
      <c r="I16" t="s">
        <v>3360</v>
      </c>
      <c r="J16" t="s">
        <v>3076</v>
      </c>
      <c r="K16" s="1">
        <v>46033.184687499997</v>
      </c>
      <c r="L16">
        <v>-1149.1600000000001</v>
      </c>
      <c r="M16">
        <v>0</v>
      </c>
      <c r="N16">
        <v>-1149.1600000000001</v>
      </c>
      <c r="O16" t="s">
        <v>19</v>
      </c>
      <c r="P16" t="s">
        <v>3361</v>
      </c>
      <c r="Q16" t="s">
        <v>3036</v>
      </c>
      <c r="R16" t="s">
        <v>4977</v>
      </c>
      <c r="S16" t="s">
        <v>4991</v>
      </c>
      <c r="T16" t="s">
        <v>4992</v>
      </c>
    </row>
    <row r="17" spans="1:20" x14ac:dyDescent="0.25">
      <c r="A17" t="s">
        <v>815</v>
      </c>
      <c r="B17" t="s">
        <v>816</v>
      </c>
      <c r="C17" s="1">
        <v>46034.465358796297</v>
      </c>
      <c r="D17">
        <v>949.56</v>
      </c>
      <c r="E17" t="s">
        <v>25</v>
      </c>
      <c r="F17" t="s">
        <v>92</v>
      </c>
      <c r="G17" t="s">
        <v>30</v>
      </c>
      <c r="H17" t="s">
        <v>817</v>
      </c>
      <c r="I17" t="s">
        <v>3365</v>
      </c>
      <c r="J17" t="s">
        <v>3076</v>
      </c>
      <c r="K17" s="1">
        <v>46035.465358796297</v>
      </c>
      <c r="L17">
        <v>-474.78</v>
      </c>
      <c r="M17">
        <v>0</v>
      </c>
      <c r="N17">
        <v>-474.78</v>
      </c>
      <c r="O17" t="s">
        <v>25</v>
      </c>
      <c r="P17" t="s">
        <v>3366</v>
      </c>
      <c r="Q17" t="s">
        <v>3036</v>
      </c>
      <c r="R17" t="s">
        <v>4977</v>
      </c>
      <c r="S17" t="s">
        <v>4991</v>
      </c>
      <c r="T17" t="s">
        <v>4992</v>
      </c>
    </row>
    <row r="18" spans="1:20" x14ac:dyDescent="0.25">
      <c r="A18" t="s">
        <v>908</v>
      </c>
      <c r="B18" t="s">
        <v>909</v>
      </c>
      <c r="C18" s="1">
        <v>46023.273333333331</v>
      </c>
      <c r="D18">
        <v>2282.7800000000002</v>
      </c>
      <c r="E18" t="s">
        <v>25</v>
      </c>
      <c r="F18" t="s">
        <v>429</v>
      </c>
      <c r="G18" t="s">
        <v>21</v>
      </c>
      <c r="H18" t="s">
        <v>910</v>
      </c>
      <c r="I18" t="s">
        <v>3403</v>
      </c>
      <c r="J18" t="s">
        <v>3076</v>
      </c>
      <c r="K18" s="1">
        <v>46024.273333333331</v>
      </c>
      <c r="L18">
        <v>-2282.7800000000002</v>
      </c>
      <c r="M18">
        <v>0</v>
      </c>
      <c r="N18">
        <v>-2282.7800000000002</v>
      </c>
      <c r="O18" t="s">
        <v>25</v>
      </c>
      <c r="P18" t="s">
        <v>3404</v>
      </c>
      <c r="Q18" t="s">
        <v>3036</v>
      </c>
      <c r="R18" t="s">
        <v>4977</v>
      </c>
      <c r="S18" t="s">
        <v>4991</v>
      </c>
      <c r="T18" t="s">
        <v>4992</v>
      </c>
    </row>
    <row r="19" spans="1:20" x14ac:dyDescent="0.25">
      <c r="A19" t="s">
        <v>1025</v>
      </c>
      <c r="B19" t="s">
        <v>1026</v>
      </c>
      <c r="C19" s="1">
        <v>46034.853738425925</v>
      </c>
      <c r="D19">
        <v>2479.2800000000002</v>
      </c>
      <c r="E19" t="s">
        <v>25</v>
      </c>
      <c r="F19" t="s">
        <v>20</v>
      </c>
      <c r="G19" t="s">
        <v>21</v>
      </c>
      <c r="H19" t="s">
        <v>1027</v>
      </c>
      <c r="I19" t="s">
        <v>3446</v>
      </c>
      <c r="J19" t="s">
        <v>3034</v>
      </c>
      <c r="K19" s="1">
        <v>46034.860682870371</v>
      </c>
      <c r="L19">
        <v>2480.39</v>
      </c>
      <c r="M19">
        <v>72.23</v>
      </c>
      <c r="N19">
        <v>2408.16</v>
      </c>
      <c r="O19" t="s">
        <v>25</v>
      </c>
      <c r="P19" t="s">
        <v>3058</v>
      </c>
      <c r="Q19" t="s">
        <v>3036</v>
      </c>
      <c r="R19" t="s">
        <v>4977</v>
      </c>
      <c r="S19" t="s">
        <v>4991</v>
      </c>
      <c r="T19" t="s">
        <v>4992</v>
      </c>
    </row>
    <row r="20" spans="1:20" x14ac:dyDescent="0.25">
      <c r="A20" t="s">
        <v>1034</v>
      </c>
      <c r="B20" t="s">
        <v>1035</v>
      </c>
      <c r="C20" s="1">
        <v>46024.148252314815</v>
      </c>
      <c r="D20">
        <v>210.19</v>
      </c>
      <c r="E20" t="s">
        <v>25</v>
      </c>
      <c r="F20" t="s">
        <v>20</v>
      </c>
      <c r="G20" t="s">
        <v>21</v>
      </c>
      <c r="H20" t="s">
        <v>1036</v>
      </c>
      <c r="I20" t="s">
        <v>3448</v>
      </c>
      <c r="J20" t="s">
        <v>3034</v>
      </c>
      <c r="K20" s="1">
        <v>46024.15519675926</v>
      </c>
      <c r="L20">
        <v>211.3</v>
      </c>
      <c r="M20">
        <v>6.43</v>
      </c>
      <c r="N20">
        <v>204.87</v>
      </c>
      <c r="O20" t="s">
        <v>25</v>
      </c>
      <c r="P20" t="s">
        <v>3064</v>
      </c>
      <c r="Q20" t="s">
        <v>3036</v>
      </c>
      <c r="R20" t="s">
        <v>4977</v>
      </c>
      <c r="S20" t="s">
        <v>4991</v>
      </c>
      <c r="T20" t="s">
        <v>4992</v>
      </c>
    </row>
    <row r="21" spans="1:20" x14ac:dyDescent="0.25">
      <c r="A21" t="s">
        <v>1073</v>
      </c>
      <c r="B21" t="s">
        <v>1074</v>
      </c>
      <c r="C21" s="1">
        <v>46036.323819444442</v>
      </c>
      <c r="D21">
        <v>2107.5100000000002</v>
      </c>
      <c r="E21" t="s">
        <v>52</v>
      </c>
      <c r="F21" t="s">
        <v>429</v>
      </c>
      <c r="G21" t="s">
        <v>26</v>
      </c>
      <c r="H21" t="s">
        <v>1075</v>
      </c>
      <c r="I21" t="s">
        <v>3463</v>
      </c>
      <c r="J21" t="s">
        <v>3076</v>
      </c>
      <c r="K21" s="1">
        <v>46037.323819444442</v>
      </c>
      <c r="L21">
        <v>-2107.5100000000002</v>
      </c>
      <c r="M21">
        <v>0</v>
      </c>
      <c r="N21">
        <v>-2107.5100000000002</v>
      </c>
      <c r="O21" t="s">
        <v>52</v>
      </c>
      <c r="P21" t="s">
        <v>3464</v>
      </c>
      <c r="Q21" t="s">
        <v>3036</v>
      </c>
      <c r="R21" t="s">
        <v>4977</v>
      </c>
      <c r="S21" t="s">
        <v>4991</v>
      </c>
      <c r="T21" t="s">
        <v>4992</v>
      </c>
    </row>
    <row r="22" spans="1:20" x14ac:dyDescent="0.25">
      <c r="A22" t="s">
        <v>1124</v>
      </c>
      <c r="B22" t="s">
        <v>1125</v>
      </c>
      <c r="C22" s="1">
        <v>46025.901956018519</v>
      </c>
      <c r="D22">
        <v>1279.97</v>
      </c>
      <c r="E22" t="s">
        <v>25</v>
      </c>
      <c r="F22" t="s">
        <v>92</v>
      </c>
      <c r="G22" t="s">
        <v>21</v>
      </c>
      <c r="H22" t="s">
        <v>1126</v>
      </c>
      <c r="I22" t="s">
        <v>3497</v>
      </c>
      <c r="J22" t="s">
        <v>3076</v>
      </c>
      <c r="K22" s="1">
        <v>46026.901956018519</v>
      </c>
      <c r="L22">
        <v>-639.99</v>
      </c>
      <c r="M22">
        <v>0</v>
      </c>
      <c r="N22">
        <v>-639.99</v>
      </c>
      <c r="O22" t="s">
        <v>25</v>
      </c>
      <c r="P22" t="s">
        <v>3498</v>
      </c>
      <c r="Q22" t="s">
        <v>3036</v>
      </c>
      <c r="R22" t="s">
        <v>4977</v>
      </c>
      <c r="S22" t="s">
        <v>4991</v>
      </c>
      <c r="T22" t="s">
        <v>4992</v>
      </c>
    </row>
    <row r="23" spans="1:20" x14ac:dyDescent="0.25">
      <c r="A23" t="s">
        <v>1169</v>
      </c>
      <c r="B23" t="s">
        <v>1170</v>
      </c>
      <c r="C23" s="1">
        <v>46026.276064814818</v>
      </c>
      <c r="D23">
        <v>1695.16</v>
      </c>
      <c r="E23" t="s">
        <v>25</v>
      </c>
      <c r="F23" t="s">
        <v>92</v>
      </c>
      <c r="G23" t="s">
        <v>21</v>
      </c>
      <c r="H23" t="s">
        <v>1171</v>
      </c>
      <c r="I23" t="s">
        <v>3522</v>
      </c>
      <c r="J23" t="s">
        <v>3076</v>
      </c>
      <c r="K23" s="1">
        <v>46027.276064814818</v>
      </c>
      <c r="L23">
        <v>-847.58</v>
      </c>
      <c r="M23">
        <v>0</v>
      </c>
      <c r="N23">
        <v>-847.58</v>
      </c>
      <c r="O23" t="s">
        <v>25</v>
      </c>
      <c r="P23" t="s">
        <v>3523</v>
      </c>
      <c r="Q23" t="s">
        <v>3036</v>
      </c>
      <c r="R23" t="s">
        <v>4977</v>
      </c>
      <c r="S23" t="s">
        <v>4991</v>
      </c>
      <c r="T23" t="s">
        <v>4992</v>
      </c>
    </row>
    <row r="24" spans="1:20" x14ac:dyDescent="0.25">
      <c r="A24" t="s">
        <v>1196</v>
      </c>
      <c r="B24" t="s">
        <v>1197</v>
      </c>
      <c r="C24" s="1">
        <v>46036.070775462962</v>
      </c>
      <c r="D24">
        <v>804.62</v>
      </c>
      <c r="E24" t="s">
        <v>19</v>
      </c>
      <c r="F24" t="s">
        <v>20</v>
      </c>
      <c r="G24" t="s">
        <v>21</v>
      </c>
      <c r="H24" t="s">
        <v>1198</v>
      </c>
      <c r="I24" t="s">
        <v>3534</v>
      </c>
      <c r="J24" t="s">
        <v>3034</v>
      </c>
      <c r="K24" s="1">
        <v>46036.077719907407</v>
      </c>
      <c r="L24">
        <v>805.73</v>
      </c>
      <c r="M24">
        <v>23.67</v>
      </c>
      <c r="N24">
        <v>782.06</v>
      </c>
      <c r="O24" t="s">
        <v>19</v>
      </c>
      <c r="P24" t="s">
        <v>3535</v>
      </c>
      <c r="Q24" t="s">
        <v>3036</v>
      </c>
      <c r="R24" t="s">
        <v>4977</v>
      </c>
      <c r="S24" t="s">
        <v>4991</v>
      </c>
      <c r="T24" t="s">
        <v>4992</v>
      </c>
    </row>
    <row r="25" spans="1:20" x14ac:dyDescent="0.25">
      <c r="A25" t="s">
        <v>1223</v>
      </c>
      <c r="B25" t="s">
        <v>1224</v>
      </c>
      <c r="C25" s="1">
        <v>46030.924305555556</v>
      </c>
      <c r="D25">
        <v>84.97</v>
      </c>
      <c r="E25" t="s">
        <v>52</v>
      </c>
      <c r="F25" t="s">
        <v>92</v>
      </c>
      <c r="G25" t="s">
        <v>21</v>
      </c>
      <c r="H25" t="s">
        <v>1225</v>
      </c>
      <c r="I25" t="s">
        <v>3546</v>
      </c>
      <c r="J25" t="s">
        <v>3076</v>
      </c>
      <c r="K25" s="1">
        <v>46031.924305555556</v>
      </c>
      <c r="L25">
        <v>-42.49</v>
      </c>
      <c r="M25">
        <v>0</v>
      </c>
      <c r="N25">
        <v>-42.49</v>
      </c>
      <c r="O25" t="s">
        <v>52</v>
      </c>
      <c r="P25" t="s">
        <v>3547</v>
      </c>
      <c r="Q25" t="s">
        <v>3036</v>
      </c>
      <c r="R25" t="s">
        <v>4977</v>
      </c>
      <c r="S25" t="s">
        <v>4991</v>
      </c>
      <c r="T25" t="s">
        <v>4992</v>
      </c>
    </row>
    <row r="26" spans="1:20" x14ac:dyDescent="0.25">
      <c r="A26" t="s">
        <v>1289</v>
      </c>
      <c r="B26" t="s">
        <v>1290</v>
      </c>
      <c r="C26" s="1">
        <v>46024.928506944445</v>
      </c>
      <c r="D26">
        <v>1001.59</v>
      </c>
      <c r="E26" t="s">
        <v>25</v>
      </c>
      <c r="F26" t="s">
        <v>20</v>
      </c>
      <c r="G26" t="s">
        <v>26</v>
      </c>
      <c r="H26" t="s">
        <v>1291</v>
      </c>
      <c r="I26" t="s">
        <v>3578</v>
      </c>
      <c r="J26" t="s">
        <v>3034</v>
      </c>
      <c r="K26" s="1">
        <v>46024.93545138889</v>
      </c>
      <c r="L26">
        <v>1002.7</v>
      </c>
      <c r="M26">
        <v>29.38</v>
      </c>
      <c r="N26">
        <v>973.32</v>
      </c>
      <c r="O26" t="s">
        <v>25</v>
      </c>
      <c r="P26" t="s">
        <v>3468</v>
      </c>
      <c r="Q26" t="s">
        <v>3036</v>
      </c>
      <c r="R26" t="s">
        <v>4977</v>
      </c>
      <c r="S26" t="s">
        <v>4991</v>
      </c>
      <c r="T26" t="s">
        <v>4992</v>
      </c>
    </row>
    <row r="27" spans="1:20" x14ac:dyDescent="0.25">
      <c r="A27" t="s">
        <v>1316</v>
      </c>
      <c r="B27" t="s">
        <v>1317</v>
      </c>
      <c r="C27" s="1">
        <v>46033.767210648148</v>
      </c>
      <c r="D27">
        <v>1218.07</v>
      </c>
      <c r="E27" t="s">
        <v>19</v>
      </c>
      <c r="F27" t="s">
        <v>92</v>
      </c>
      <c r="G27" t="s">
        <v>26</v>
      </c>
      <c r="H27" t="s">
        <v>1318</v>
      </c>
      <c r="I27" t="s">
        <v>3590</v>
      </c>
      <c r="J27" t="s">
        <v>3076</v>
      </c>
      <c r="K27" s="1">
        <v>46034.767210648148</v>
      </c>
      <c r="L27">
        <v>-609.04</v>
      </c>
      <c r="M27">
        <v>0</v>
      </c>
      <c r="N27">
        <v>-609.04</v>
      </c>
      <c r="O27" t="s">
        <v>19</v>
      </c>
      <c r="P27" t="s">
        <v>3591</v>
      </c>
      <c r="Q27" t="s">
        <v>3036</v>
      </c>
      <c r="R27" t="s">
        <v>4977</v>
      </c>
      <c r="S27" t="s">
        <v>4991</v>
      </c>
      <c r="T27" t="s">
        <v>4992</v>
      </c>
    </row>
    <row r="28" spans="1:20" x14ac:dyDescent="0.25">
      <c r="A28" t="s">
        <v>1340</v>
      </c>
      <c r="B28" t="s">
        <v>1341</v>
      </c>
      <c r="C28" s="1">
        <v>46027.489340277774</v>
      </c>
      <c r="D28">
        <v>822.81</v>
      </c>
      <c r="E28" t="s">
        <v>25</v>
      </c>
      <c r="F28" t="s">
        <v>429</v>
      </c>
      <c r="G28" t="s">
        <v>21</v>
      </c>
      <c r="H28" t="s">
        <v>1342</v>
      </c>
      <c r="I28" t="s">
        <v>3600</v>
      </c>
      <c r="J28" t="s">
        <v>3076</v>
      </c>
      <c r="K28" s="1">
        <v>46028.489340277774</v>
      </c>
      <c r="L28">
        <v>-822.81</v>
      </c>
      <c r="M28">
        <v>0</v>
      </c>
      <c r="N28">
        <v>-822.81</v>
      </c>
      <c r="O28" t="s">
        <v>25</v>
      </c>
      <c r="P28" t="s">
        <v>3601</v>
      </c>
      <c r="Q28" t="s">
        <v>3036</v>
      </c>
      <c r="R28" t="s">
        <v>4977</v>
      </c>
      <c r="S28" t="s">
        <v>4991</v>
      </c>
      <c r="T28" t="s">
        <v>4992</v>
      </c>
    </row>
    <row r="29" spans="1:20" x14ac:dyDescent="0.25">
      <c r="A29" t="s">
        <v>1358</v>
      </c>
      <c r="B29" t="s">
        <v>1359</v>
      </c>
      <c r="C29" s="1">
        <v>46034.056145833332</v>
      </c>
      <c r="D29">
        <v>884.84</v>
      </c>
      <c r="E29" t="s">
        <v>25</v>
      </c>
      <c r="F29" t="s">
        <v>92</v>
      </c>
      <c r="G29" t="s">
        <v>21</v>
      </c>
      <c r="H29" t="s">
        <v>1360</v>
      </c>
      <c r="I29" t="s">
        <v>3608</v>
      </c>
      <c r="J29" t="s">
        <v>3076</v>
      </c>
      <c r="K29" s="1">
        <v>46035.056145833332</v>
      </c>
      <c r="L29">
        <v>-442.42</v>
      </c>
      <c r="M29">
        <v>0</v>
      </c>
      <c r="N29">
        <v>-442.42</v>
      </c>
      <c r="O29" t="s">
        <v>25</v>
      </c>
      <c r="P29" t="s">
        <v>3609</v>
      </c>
      <c r="Q29" t="s">
        <v>3036</v>
      </c>
      <c r="R29" t="s">
        <v>4977</v>
      </c>
      <c r="S29" t="s">
        <v>4991</v>
      </c>
      <c r="T29" t="s">
        <v>4992</v>
      </c>
    </row>
    <row r="30" spans="1:20" x14ac:dyDescent="0.25">
      <c r="A30" t="s">
        <v>1430</v>
      </c>
      <c r="B30" t="s">
        <v>1431</v>
      </c>
      <c r="C30" s="1">
        <v>46029.250277777777</v>
      </c>
      <c r="D30">
        <v>722.27</v>
      </c>
      <c r="E30" t="s">
        <v>25</v>
      </c>
      <c r="F30" t="s">
        <v>429</v>
      </c>
      <c r="G30" t="s">
        <v>21</v>
      </c>
      <c r="H30" t="s">
        <v>1432</v>
      </c>
      <c r="I30" t="s">
        <v>3632</v>
      </c>
      <c r="J30" t="s">
        <v>3076</v>
      </c>
      <c r="K30" s="1">
        <v>46030.250277777777</v>
      </c>
      <c r="L30">
        <v>-722.27</v>
      </c>
      <c r="M30">
        <v>0</v>
      </c>
      <c r="N30">
        <v>-722.27</v>
      </c>
      <c r="O30" t="s">
        <v>25</v>
      </c>
      <c r="P30" t="s">
        <v>3633</v>
      </c>
      <c r="Q30" t="s">
        <v>3036</v>
      </c>
      <c r="R30" t="s">
        <v>4977</v>
      </c>
      <c r="S30" t="s">
        <v>4991</v>
      </c>
      <c r="T30" t="s">
        <v>4992</v>
      </c>
    </row>
    <row r="31" spans="1:20" x14ac:dyDescent="0.25">
      <c r="A31" t="s">
        <v>1451</v>
      </c>
      <c r="B31" t="s">
        <v>1452</v>
      </c>
      <c r="C31" s="1">
        <v>46036.871319444443</v>
      </c>
      <c r="D31">
        <v>952.14</v>
      </c>
      <c r="E31" t="s">
        <v>25</v>
      </c>
      <c r="F31" t="s">
        <v>429</v>
      </c>
      <c r="G31" t="s">
        <v>26</v>
      </c>
      <c r="H31" t="s">
        <v>1453</v>
      </c>
      <c r="I31" t="s">
        <v>3642</v>
      </c>
      <c r="J31" t="s">
        <v>3076</v>
      </c>
      <c r="K31" s="1">
        <v>46037.871319444443</v>
      </c>
      <c r="L31">
        <v>-952.14</v>
      </c>
      <c r="M31">
        <v>0</v>
      </c>
      <c r="N31">
        <v>-952.14</v>
      </c>
      <c r="O31" t="s">
        <v>25</v>
      </c>
      <c r="P31" t="s">
        <v>3643</v>
      </c>
      <c r="Q31" t="s">
        <v>3036</v>
      </c>
      <c r="R31" t="s">
        <v>4977</v>
      </c>
      <c r="S31" t="s">
        <v>4991</v>
      </c>
      <c r="T31" t="s">
        <v>4992</v>
      </c>
    </row>
    <row r="32" spans="1:20" x14ac:dyDescent="0.25">
      <c r="A32" t="s">
        <v>1484</v>
      </c>
      <c r="B32" t="s">
        <v>1485</v>
      </c>
      <c r="C32" s="1">
        <v>46033.896527777775</v>
      </c>
      <c r="D32">
        <v>1066.55</v>
      </c>
      <c r="E32" t="s">
        <v>25</v>
      </c>
      <c r="F32" t="s">
        <v>92</v>
      </c>
      <c r="G32" t="s">
        <v>21</v>
      </c>
      <c r="H32" t="s">
        <v>1486</v>
      </c>
      <c r="I32" t="s">
        <v>3656</v>
      </c>
      <c r="J32" t="s">
        <v>3076</v>
      </c>
      <c r="K32" s="1">
        <v>46034.896527777775</v>
      </c>
      <c r="L32">
        <v>-533.28</v>
      </c>
      <c r="M32">
        <v>0</v>
      </c>
      <c r="N32">
        <v>-533.28</v>
      </c>
      <c r="O32" t="s">
        <v>25</v>
      </c>
      <c r="P32" t="s">
        <v>3657</v>
      </c>
      <c r="Q32" t="s">
        <v>3036</v>
      </c>
      <c r="R32" t="s">
        <v>4977</v>
      </c>
      <c r="S32" t="s">
        <v>4991</v>
      </c>
      <c r="T32" t="s">
        <v>4992</v>
      </c>
    </row>
    <row r="33" spans="1:20" x14ac:dyDescent="0.25">
      <c r="A33" t="s">
        <v>1553</v>
      </c>
      <c r="B33" t="s">
        <v>1554</v>
      </c>
      <c r="C33" s="1">
        <v>46029.003668981481</v>
      </c>
      <c r="D33">
        <v>924.9</v>
      </c>
      <c r="E33" t="s">
        <v>52</v>
      </c>
      <c r="F33" t="s">
        <v>20</v>
      </c>
      <c r="G33" t="s">
        <v>30</v>
      </c>
      <c r="H33" t="s">
        <v>1555</v>
      </c>
      <c r="I33" t="s">
        <v>3681</v>
      </c>
      <c r="J33" t="s">
        <v>3034</v>
      </c>
      <c r="K33" s="1">
        <v>46029.010613425926</v>
      </c>
      <c r="L33">
        <v>926.01</v>
      </c>
      <c r="M33">
        <v>27.15</v>
      </c>
      <c r="N33">
        <v>898.86</v>
      </c>
      <c r="O33" t="s">
        <v>52</v>
      </c>
      <c r="P33" t="s">
        <v>3502</v>
      </c>
      <c r="Q33" t="s">
        <v>3036</v>
      </c>
      <c r="R33" t="s">
        <v>4977</v>
      </c>
      <c r="S33" t="s">
        <v>4991</v>
      </c>
      <c r="T33" t="s">
        <v>4992</v>
      </c>
    </row>
    <row r="34" spans="1:20" x14ac:dyDescent="0.25">
      <c r="A34" t="s">
        <v>1577</v>
      </c>
      <c r="B34" t="s">
        <v>1578</v>
      </c>
      <c r="C34" s="1">
        <v>46036.74318287037</v>
      </c>
      <c r="D34">
        <v>1175.8499999999999</v>
      </c>
      <c r="E34" t="s">
        <v>25</v>
      </c>
      <c r="F34" t="s">
        <v>429</v>
      </c>
      <c r="G34" t="s">
        <v>26</v>
      </c>
      <c r="H34" t="s">
        <v>1579</v>
      </c>
      <c r="I34" t="s">
        <v>3691</v>
      </c>
      <c r="J34" t="s">
        <v>3076</v>
      </c>
      <c r="K34" s="1">
        <v>46037.74318287037</v>
      </c>
      <c r="L34">
        <v>-1175.8499999999999</v>
      </c>
      <c r="M34">
        <v>0</v>
      </c>
      <c r="N34">
        <v>-1175.8499999999999</v>
      </c>
      <c r="O34" t="s">
        <v>25</v>
      </c>
      <c r="P34" t="s">
        <v>3692</v>
      </c>
      <c r="Q34" t="s">
        <v>3036</v>
      </c>
      <c r="R34" t="s">
        <v>4977</v>
      </c>
      <c r="S34" t="s">
        <v>4991</v>
      </c>
      <c r="T34" t="s">
        <v>4992</v>
      </c>
    </row>
    <row r="35" spans="1:20" x14ac:dyDescent="0.25">
      <c r="A35" t="s">
        <v>1682</v>
      </c>
      <c r="B35" t="s">
        <v>1683</v>
      </c>
      <c r="C35" s="1">
        <v>46029.949282407404</v>
      </c>
      <c r="D35">
        <v>2104.71</v>
      </c>
      <c r="E35" t="s">
        <v>25</v>
      </c>
      <c r="F35" t="s">
        <v>20</v>
      </c>
      <c r="G35" t="s">
        <v>21</v>
      </c>
      <c r="H35" t="s">
        <v>1684</v>
      </c>
      <c r="I35" t="s">
        <v>3728</v>
      </c>
      <c r="J35" t="s">
        <v>3034</v>
      </c>
      <c r="K35" s="1">
        <v>46029.956226851849</v>
      </c>
      <c r="L35">
        <v>2105.8200000000002</v>
      </c>
      <c r="M35">
        <v>61.37</v>
      </c>
      <c r="N35">
        <v>2044.45</v>
      </c>
      <c r="O35" t="s">
        <v>25</v>
      </c>
      <c r="P35" t="s">
        <v>3478</v>
      </c>
      <c r="Q35" t="s">
        <v>3036</v>
      </c>
      <c r="R35" t="s">
        <v>4977</v>
      </c>
      <c r="S35" t="s">
        <v>4991</v>
      </c>
      <c r="T35" t="s">
        <v>4992</v>
      </c>
    </row>
    <row r="36" spans="1:20" x14ac:dyDescent="0.25">
      <c r="A36" t="s">
        <v>1814</v>
      </c>
      <c r="B36" t="s">
        <v>1815</v>
      </c>
      <c r="C36" s="1">
        <v>46031.951898148145</v>
      </c>
      <c r="D36">
        <v>1302.3499999999999</v>
      </c>
      <c r="E36" t="s">
        <v>25</v>
      </c>
      <c r="F36" t="s">
        <v>20</v>
      </c>
      <c r="G36" t="s">
        <v>30</v>
      </c>
      <c r="H36" t="s">
        <v>1816</v>
      </c>
      <c r="I36" t="s">
        <v>3776</v>
      </c>
      <c r="J36" t="s">
        <v>3034</v>
      </c>
      <c r="K36" s="1">
        <v>46031.95884259259</v>
      </c>
      <c r="L36">
        <v>1303.46</v>
      </c>
      <c r="M36">
        <v>38.1</v>
      </c>
      <c r="N36">
        <v>1265.3599999999999</v>
      </c>
      <c r="O36" t="s">
        <v>25</v>
      </c>
      <c r="P36" t="s">
        <v>3482</v>
      </c>
      <c r="Q36" t="s">
        <v>3036</v>
      </c>
      <c r="R36" t="s">
        <v>4977</v>
      </c>
      <c r="S36" t="s">
        <v>4991</v>
      </c>
      <c r="T36" t="s">
        <v>4992</v>
      </c>
    </row>
    <row r="37" spans="1:20" x14ac:dyDescent="0.25">
      <c r="A37" t="s">
        <v>1847</v>
      </c>
      <c r="B37" t="s">
        <v>1848</v>
      </c>
      <c r="C37" s="1">
        <v>46028.991261574076</v>
      </c>
      <c r="D37">
        <v>1103.1400000000001</v>
      </c>
      <c r="E37" t="s">
        <v>25</v>
      </c>
      <c r="F37" t="s">
        <v>92</v>
      </c>
      <c r="G37" t="s">
        <v>26</v>
      </c>
      <c r="H37" t="s">
        <v>1849</v>
      </c>
      <c r="I37" t="s">
        <v>3788</v>
      </c>
      <c r="J37" t="s">
        <v>3076</v>
      </c>
      <c r="K37" s="1">
        <v>46029.991261574076</v>
      </c>
      <c r="L37">
        <v>-551.57000000000005</v>
      </c>
      <c r="M37">
        <v>0</v>
      </c>
      <c r="N37">
        <v>-551.57000000000005</v>
      </c>
      <c r="O37" t="s">
        <v>25</v>
      </c>
      <c r="P37" t="s">
        <v>3789</v>
      </c>
      <c r="Q37" t="s">
        <v>3036</v>
      </c>
      <c r="R37" t="s">
        <v>4977</v>
      </c>
      <c r="S37" t="s">
        <v>4991</v>
      </c>
      <c r="T37" t="s">
        <v>4992</v>
      </c>
    </row>
    <row r="38" spans="1:20" x14ac:dyDescent="0.25">
      <c r="A38" t="s">
        <v>1886</v>
      </c>
      <c r="B38" t="s">
        <v>1887</v>
      </c>
      <c r="C38" s="1">
        <v>46028.185740740744</v>
      </c>
      <c r="D38">
        <v>911.79</v>
      </c>
      <c r="E38" t="s">
        <v>19</v>
      </c>
      <c r="F38" t="s">
        <v>20</v>
      </c>
      <c r="G38" t="s">
        <v>30</v>
      </c>
      <c r="H38" t="s">
        <v>1888</v>
      </c>
      <c r="I38" t="s">
        <v>3802</v>
      </c>
      <c r="J38" t="s">
        <v>3034</v>
      </c>
      <c r="K38" s="1">
        <v>46028.192685185182</v>
      </c>
      <c r="L38">
        <v>912.9</v>
      </c>
      <c r="M38">
        <v>26.77</v>
      </c>
      <c r="N38">
        <v>886.13</v>
      </c>
      <c r="O38" t="s">
        <v>19</v>
      </c>
      <c r="P38" t="s">
        <v>3563</v>
      </c>
      <c r="Q38" t="s">
        <v>3036</v>
      </c>
      <c r="R38" t="s">
        <v>4977</v>
      </c>
      <c r="S38" t="s">
        <v>4991</v>
      </c>
      <c r="T38" t="s">
        <v>4992</v>
      </c>
    </row>
    <row r="39" spans="1:20" x14ac:dyDescent="0.25">
      <c r="A39" t="s">
        <v>2090</v>
      </c>
      <c r="B39" t="s">
        <v>2091</v>
      </c>
      <c r="C39" s="1">
        <v>46025.411377314813</v>
      </c>
      <c r="D39">
        <v>713.36</v>
      </c>
      <c r="E39" t="s">
        <v>25</v>
      </c>
      <c r="F39" t="s">
        <v>429</v>
      </c>
      <c r="G39" t="s">
        <v>26</v>
      </c>
      <c r="H39" t="s">
        <v>2092</v>
      </c>
      <c r="I39" t="s">
        <v>3874</v>
      </c>
      <c r="J39" t="s">
        <v>3076</v>
      </c>
      <c r="K39" s="1">
        <v>46026.411377314813</v>
      </c>
      <c r="L39">
        <v>-713.36</v>
      </c>
      <c r="M39">
        <v>0</v>
      </c>
      <c r="N39">
        <v>-713.36</v>
      </c>
      <c r="O39" t="s">
        <v>25</v>
      </c>
      <c r="P39" t="s">
        <v>3875</v>
      </c>
      <c r="Q39" t="s">
        <v>3036</v>
      </c>
      <c r="R39" t="s">
        <v>4977</v>
      </c>
      <c r="S39" t="s">
        <v>4991</v>
      </c>
      <c r="T39" t="s">
        <v>4992</v>
      </c>
    </row>
    <row r="40" spans="1:20" x14ac:dyDescent="0.25">
      <c r="A40" t="s">
        <v>2129</v>
      </c>
      <c r="B40" t="s">
        <v>2130</v>
      </c>
      <c r="C40" s="1">
        <v>46024.577893518515</v>
      </c>
      <c r="D40">
        <v>2117.7600000000002</v>
      </c>
      <c r="E40" t="s">
        <v>25</v>
      </c>
      <c r="F40" t="s">
        <v>92</v>
      </c>
      <c r="G40" t="s">
        <v>30</v>
      </c>
      <c r="H40" t="s">
        <v>2131</v>
      </c>
      <c r="I40" t="s">
        <v>3891</v>
      </c>
      <c r="J40" t="s">
        <v>3076</v>
      </c>
      <c r="K40" s="1">
        <v>46025.577893518515</v>
      </c>
      <c r="L40">
        <v>-1058.8800000000001</v>
      </c>
      <c r="M40">
        <v>0</v>
      </c>
      <c r="N40">
        <v>-1058.8800000000001</v>
      </c>
      <c r="O40" t="s">
        <v>25</v>
      </c>
      <c r="P40" t="s">
        <v>3892</v>
      </c>
      <c r="Q40" t="s">
        <v>3036</v>
      </c>
      <c r="R40" t="s">
        <v>4977</v>
      </c>
      <c r="S40" t="s">
        <v>4991</v>
      </c>
      <c r="T40" t="s">
        <v>4992</v>
      </c>
    </row>
    <row r="41" spans="1:20" x14ac:dyDescent="0.25">
      <c r="A41" t="s">
        <v>2228</v>
      </c>
      <c r="B41" t="s">
        <v>2229</v>
      </c>
      <c r="C41" s="1">
        <v>46029.611273148148</v>
      </c>
      <c r="D41">
        <v>1893.86</v>
      </c>
      <c r="E41" t="s">
        <v>25</v>
      </c>
      <c r="F41" t="s">
        <v>20</v>
      </c>
      <c r="G41" t="s">
        <v>30</v>
      </c>
      <c r="H41" t="s">
        <v>2230</v>
      </c>
      <c r="I41" t="s">
        <v>3947</v>
      </c>
      <c r="J41" t="s">
        <v>3034</v>
      </c>
      <c r="K41" s="1">
        <v>46029.618217592593</v>
      </c>
      <c r="L41">
        <v>1894.97</v>
      </c>
      <c r="M41">
        <v>55.25</v>
      </c>
      <c r="N41">
        <v>1839.72</v>
      </c>
      <c r="O41" t="s">
        <v>25</v>
      </c>
      <c r="P41" t="s">
        <v>3902</v>
      </c>
      <c r="Q41" t="s">
        <v>3036</v>
      </c>
      <c r="R41" t="s">
        <v>4977</v>
      </c>
      <c r="S41" t="s">
        <v>4991</v>
      </c>
      <c r="T41" t="s">
        <v>4992</v>
      </c>
    </row>
    <row r="42" spans="1:20" x14ac:dyDescent="0.25">
      <c r="A42" t="s">
        <v>2261</v>
      </c>
      <c r="B42" t="s">
        <v>2262</v>
      </c>
      <c r="C42" s="1">
        <v>46026.628495370373</v>
      </c>
      <c r="D42">
        <v>764.09</v>
      </c>
      <c r="E42" t="s">
        <v>25</v>
      </c>
      <c r="F42" t="s">
        <v>429</v>
      </c>
      <c r="G42" t="s">
        <v>26</v>
      </c>
      <c r="H42" t="s">
        <v>2263</v>
      </c>
      <c r="I42" t="s">
        <v>3962</v>
      </c>
      <c r="J42" t="s">
        <v>3076</v>
      </c>
      <c r="K42" s="1">
        <v>46027.628495370373</v>
      </c>
      <c r="L42">
        <v>-764.09</v>
      </c>
      <c r="M42">
        <v>0</v>
      </c>
      <c r="N42">
        <v>-764.09</v>
      </c>
      <c r="O42" t="s">
        <v>25</v>
      </c>
      <c r="P42" t="s">
        <v>3963</v>
      </c>
      <c r="Q42" t="s">
        <v>3036</v>
      </c>
      <c r="R42" t="s">
        <v>4977</v>
      </c>
      <c r="S42" t="s">
        <v>4991</v>
      </c>
      <c r="T42" t="s">
        <v>4992</v>
      </c>
    </row>
    <row r="43" spans="1:20" x14ac:dyDescent="0.25">
      <c r="A43" t="s">
        <v>2276</v>
      </c>
      <c r="B43" t="s">
        <v>2277</v>
      </c>
      <c r="C43" s="1">
        <v>46032.073761574073</v>
      </c>
      <c r="D43">
        <v>1070.48</v>
      </c>
      <c r="E43" t="s">
        <v>19</v>
      </c>
      <c r="F43" t="s">
        <v>429</v>
      </c>
      <c r="G43" t="s">
        <v>21</v>
      </c>
      <c r="H43" t="s">
        <v>2278</v>
      </c>
      <c r="I43" t="s">
        <v>3971</v>
      </c>
      <c r="J43" t="s">
        <v>3076</v>
      </c>
      <c r="K43" s="1">
        <v>46033.073761574073</v>
      </c>
      <c r="L43">
        <v>-1070.48</v>
      </c>
      <c r="M43">
        <v>0</v>
      </c>
      <c r="N43">
        <v>-1070.48</v>
      </c>
      <c r="O43" t="s">
        <v>19</v>
      </c>
      <c r="P43" t="s">
        <v>3972</v>
      </c>
      <c r="Q43" t="s">
        <v>3036</v>
      </c>
      <c r="R43" t="s">
        <v>4977</v>
      </c>
      <c r="S43" t="s">
        <v>4991</v>
      </c>
      <c r="T43" t="s">
        <v>4992</v>
      </c>
    </row>
    <row r="44" spans="1:20" x14ac:dyDescent="0.25">
      <c r="A44" t="s">
        <v>2330</v>
      </c>
      <c r="B44" t="s">
        <v>2331</v>
      </c>
      <c r="C44" s="1">
        <v>46035.743807870371</v>
      </c>
      <c r="D44">
        <v>2241.6</v>
      </c>
      <c r="E44" t="s">
        <v>25</v>
      </c>
      <c r="F44" t="s">
        <v>20</v>
      </c>
      <c r="G44" t="s">
        <v>21</v>
      </c>
      <c r="H44" t="s">
        <v>2332</v>
      </c>
      <c r="I44" t="s">
        <v>3996</v>
      </c>
      <c r="J44" t="s">
        <v>3034</v>
      </c>
      <c r="K44" s="1">
        <v>46035.750752314816</v>
      </c>
      <c r="L44">
        <v>2242.71</v>
      </c>
      <c r="M44">
        <v>65.34</v>
      </c>
      <c r="N44">
        <v>2177.37</v>
      </c>
      <c r="O44" t="s">
        <v>25</v>
      </c>
      <c r="P44" t="s">
        <v>3914</v>
      </c>
      <c r="Q44" t="s">
        <v>3036</v>
      </c>
      <c r="R44" t="s">
        <v>4977</v>
      </c>
      <c r="S44" t="s">
        <v>4991</v>
      </c>
      <c r="T44" t="s">
        <v>4992</v>
      </c>
    </row>
    <row r="45" spans="1:20" x14ac:dyDescent="0.25">
      <c r="A45" t="s">
        <v>2348</v>
      </c>
      <c r="B45" t="s">
        <v>2349</v>
      </c>
      <c r="C45" s="1">
        <v>46027.290625000001</v>
      </c>
      <c r="D45">
        <v>1911.75</v>
      </c>
      <c r="E45" t="s">
        <v>25</v>
      </c>
      <c r="F45" t="s">
        <v>20</v>
      </c>
      <c r="G45" t="s">
        <v>21</v>
      </c>
      <c r="H45" t="s">
        <v>2350</v>
      </c>
      <c r="I45" t="s">
        <v>4003</v>
      </c>
      <c r="J45" t="s">
        <v>3034</v>
      </c>
      <c r="K45" s="1">
        <v>46027.297569444447</v>
      </c>
      <c r="L45">
        <v>1912.86</v>
      </c>
      <c r="M45">
        <v>55.77</v>
      </c>
      <c r="N45">
        <v>1857.09</v>
      </c>
      <c r="O45" t="s">
        <v>25</v>
      </c>
      <c r="P45" t="s">
        <v>3923</v>
      </c>
      <c r="Q45" t="s">
        <v>3036</v>
      </c>
      <c r="R45" t="s">
        <v>4977</v>
      </c>
      <c r="S45" t="s">
        <v>4991</v>
      </c>
      <c r="T45" t="s">
        <v>4992</v>
      </c>
    </row>
    <row r="46" spans="1:20" x14ac:dyDescent="0.25">
      <c r="A46" t="s">
        <v>2372</v>
      </c>
      <c r="B46" t="s">
        <v>2373</v>
      </c>
      <c r="C46" s="1">
        <v>46036.034803240742</v>
      </c>
      <c r="D46">
        <v>1721.03</v>
      </c>
      <c r="E46" t="s">
        <v>25</v>
      </c>
      <c r="F46" t="s">
        <v>20</v>
      </c>
      <c r="G46" t="s">
        <v>30</v>
      </c>
      <c r="H46" t="s">
        <v>2374</v>
      </c>
      <c r="I46" t="s">
        <v>4011</v>
      </c>
      <c r="J46" t="s">
        <v>3034</v>
      </c>
      <c r="K46" s="1">
        <v>46036.041747685187</v>
      </c>
      <c r="L46">
        <v>1722.14</v>
      </c>
      <c r="M46">
        <v>50.24</v>
      </c>
      <c r="N46">
        <v>1671.9</v>
      </c>
      <c r="O46" t="s">
        <v>25</v>
      </c>
      <c r="P46" t="s">
        <v>3914</v>
      </c>
      <c r="Q46" t="s">
        <v>3036</v>
      </c>
      <c r="R46" t="s">
        <v>4977</v>
      </c>
      <c r="S46" t="s">
        <v>4991</v>
      </c>
      <c r="T46" t="s">
        <v>4992</v>
      </c>
    </row>
    <row r="47" spans="1:20" x14ac:dyDescent="0.25">
      <c r="A47" t="s">
        <v>2408</v>
      </c>
      <c r="B47" t="s">
        <v>2409</v>
      </c>
      <c r="C47" s="1">
        <v>46034.129212962966</v>
      </c>
      <c r="D47">
        <v>2092.8200000000002</v>
      </c>
      <c r="E47" t="s">
        <v>25</v>
      </c>
      <c r="F47" t="s">
        <v>429</v>
      </c>
      <c r="G47" t="s">
        <v>30</v>
      </c>
      <c r="H47" t="s">
        <v>2410</v>
      </c>
      <c r="I47" t="s">
        <v>4025</v>
      </c>
      <c r="J47" t="s">
        <v>3076</v>
      </c>
      <c r="K47" s="1">
        <v>46035.129212962966</v>
      </c>
      <c r="L47">
        <v>-2092.8200000000002</v>
      </c>
      <c r="M47">
        <v>0</v>
      </c>
      <c r="N47">
        <v>-2092.8200000000002</v>
      </c>
      <c r="O47" t="s">
        <v>25</v>
      </c>
      <c r="P47" t="s">
        <v>4026</v>
      </c>
      <c r="Q47" t="s">
        <v>3036</v>
      </c>
      <c r="R47" t="s">
        <v>4977</v>
      </c>
      <c r="S47" t="s">
        <v>4991</v>
      </c>
      <c r="T47" t="s">
        <v>4992</v>
      </c>
    </row>
    <row r="48" spans="1:20" x14ac:dyDescent="0.25">
      <c r="A48" t="s">
        <v>2471</v>
      </c>
      <c r="B48" t="s">
        <v>2472</v>
      </c>
      <c r="C48" s="1">
        <v>46027.049039351848</v>
      </c>
      <c r="D48">
        <v>1882.71</v>
      </c>
      <c r="E48" t="s">
        <v>25</v>
      </c>
      <c r="F48" t="s">
        <v>20</v>
      </c>
      <c r="G48" t="s">
        <v>30</v>
      </c>
      <c r="H48" t="s">
        <v>2473</v>
      </c>
      <c r="I48" t="s">
        <v>4050</v>
      </c>
      <c r="J48" t="s">
        <v>3034</v>
      </c>
      <c r="K48" s="1">
        <v>46027.055983796294</v>
      </c>
      <c r="L48">
        <v>1883.82</v>
      </c>
      <c r="M48">
        <v>54.93</v>
      </c>
      <c r="N48">
        <v>1828.89</v>
      </c>
      <c r="O48" t="s">
        <v>25</v>
      </c>
      <c r="P48" t="s">
        <v>3896</v>
      </c>
      <c r="Q48" t="s">
        <v>3036</v>
      </c>
      <c r="R48" t="s">
        <v>4977</v>
      </c>
      <c r="S48" t="s">
        <v>4991</v>
      </c>
      <c r="T48" t="s">
        <v>4992</v>
      </c>
    </row>
    <row r="49" spans="1:20" x14ac:dyDescent="0.25">
      <c r="A49" t="s">
        <v>2576</v>
      </c>
      <c r="B49" t="s">
        <v>2577</v>
      </c>
      <c r="C49" s="1">
        <v>46033.232372685183</v>
      </c>
      <c r="D49">
        <v>41.73</v>
      </c>
      <c r="E49" t="s">
        <v>19</v>
      </c>
      <c r="F49" t="s">
        <v>92</v>
      </c>
      <c r="G49" t="s">
        <v>26</v>
      </c>
      <c r="H49" t="s">
        <v>2578</v>
      </c>
      <c r="I49" t="s">
        <v>4089</v>
      </c>
      <c r="J49" t="s">
        <v>3076</v>
      </c>
      <c r="K49" s="1">
        <v>46034.232372685183</v>
      </c>
      <c r="L49">
        <v>-20.87</v>
      </c>
      <c r="M49">
        <v>0</v>
      </c>
      <c r="N49">
        <v>-20.87</v>
      </c>
      <c r="O49" t="s">
        <v>19</v>
      </c>
      <c r="P49" t="s">
        <v>4090</v>
      </c>
      <c r="Q49" t="s">
        <v>3036</v>
      </c>
      <c r="R49" t="s">
        <v>4977</v>
      </c>
      <c r="S49" t="s">
        <v>4991</v>
      </c>
      <c r="T49" t="s">
        <v>4992</v>
      </c>
    </row>
    <row r="50" spans="1:20" x14ac:dyDescent="0.25">
      <c r="A50" t="s">
        <v>2636</v>
      </c>
      <c r="B50" t="s">
        <v>2637</v>
      </c>
      <c r="C50" s="1">
        <v>46026.098032407404</v>
      </c>
      <c r="D50">
        <v>2348.33</v>
      </c>
      <c r="E50" t="s">
        <v>19</v>
      </c>
      <c r="F50" t="s">
        <v>92</v>
      </c>
      <c r="G50" t="s">
        <v>21</v>
      </c>
      <c r="H50" t="s">
        <v>2638</v>
      </c>
      <c r="I50" t="s">
        <v>4112</v>
      </c>
      <c r="J50" t="s">
        <v>3076</v>
      </c>
      <c r="K50" s="1">
        <v>46027.098032407404</v>
      </c>
      <c r="L50">
        <v>-1174.17</v>
      </c>
      <c r="M50">
        <v>0</v>
      </c>
      <c r="N50">
        <v>-1174.17</v>
      </c>
      <c r="O50" t="s">
        <v>19</v>
      </c>
      <c r="P50" t="s">
        <v>4113</v>
      </c>
      <c r="Q50" t="s">
        <v>3036</v>
      </c>
      <c r="R50" t="s">
        <v>4977</v>
      </c>
      <c r="S50" t="s">
        <v>4991</v>
      </c>
      <c r="T50" t="s">
        <v>4992</v>
      </c>
    </row>
    <row r="51" spans="1:20" x14ac:dyDescent="0.25">
      <c r="A51" t="s">
        <v>2666</v>
      </c>
      <c r="B51" t="s">
        <v>2667</v>
      </c>
      <c r="C51" s="1">
        <v>46035.998356481483</v>
      </c>
      <c r="D51">
        <v>1001.11</v>
      </c>
      <c r="E51" t="s">
        <v>19</v>
      </c>
      <c r="F51" t="s">
        <v>92</v>
      </c>
      <c r="G51" t="s">
        <v>26</v>
      </c>
      <c r="H51" t="s">
        <v>2668</v>
      </c>
      <c r="I51" t="s">
        <v>4126</v>
      </c>
      <c r="J51" t="s">
        <v>3076</v>
      </c>
      <c r="K51" s="1">
        <v>46036.998356481483</v>
      </c>
      <c r="L51">
        <v>-500.56</v>
      </c>
      <c r="M51">
        <v>0</v>
      </c>
      <c r="N51">
        <v>-500.56</v>
      </c>
      <c r="O51" t="s">
        <v>19</v>
      </c>
      <c r="P51" t="s">
        <v>4127</v>
      </c>
      <c r="Q51" t="s">
        <v>3036</v>
      </c>
      <c r="R51" t="s">
        <v>4977</v>
      </c>
      <c r="S51" t="s">
        <v>4991</v>
      </c>
      <c r="T51" t="s">
        <v>4992</v>
      </c>
    </row>
    <row r="52" spans="1:20" x14ac:dyDescent="0.25">
      <c r="A52" t="s">
        <v>2717</v>
      </c>
      <c r="B52" t="s">
        <v>2718</v>
      </c>
      <c r="C52" s="1">
        <v>46024.535474537035</v>
      </c>
      <c r="D52">
        <v>2370.52</v>
      </c>
      <c r="E52" t="s">
        <v>25</v>
      </c>
      <c r="F52" t="s">
        <v>429</v>
      </c>
      <c r="G52" t="s">
        <v>21</v>
      </c>
      <c r="H52" t="s">
        <v>2719</v>
      </c>
      <c r="I52" t="s">
        <v>4145</v>
      </c>
      <c r="J52" t="s">
        <v>3076</v>
      </c>
      <c r="K52" s="1">
        <v>46025.535474537035</v>
      </c>
      <c r="L52">
        <v>-2370.52</v>
      </c>
      <c r="M52">
        <v>0</v>
      </c>
      <c r="N52">
        <v>-2370.52</v>
      </c>
      <c r="O52" t="s">
        <v>25</v>
      </c>
      <c r="P52" t="s">
        <v>4146</v>
      </c>
      <c r="Q52" t="s">
        <v>3036</v>
      </c>
      <c r="R52" t="s">
        <v>4977</v>
      </c>
      <c r="S52" t="s">
        <v>4991</v>
      </c>
      <c r="T52" t="s">
        <v>4992</v>
      </c>
    </row>
    <row r="53" spans="1:20" x14ac:dyDescent="0.25">
      <c r="A53" t="s">
        <v>2759</v>
      </c>
      <c r="B53" t="s">
        <v>2760</v>
      </c>
      <c r="C53" s="1">
        <v>46024.823391203703</v>
      </c>
      <c r="D53">
        <v>664.89</v>
      </c>
      <c r="E53" t="s">
        <v>25</v>
      </c>
      <c r="F53" t="s">
        <v>92</v>
      </c>
      <c r="G53" t="s">
        <v>30</v>
      </c>
      <c r="H53" t="s">
        <v>2761</v>
      </c>
      <c r="I53" t="s">
        <v>4161</v>
      </c>
      <c r="J53" t="s">
        <v>3076</v>
      </c>
      <c r="K53" s="1">
        <v>46025.823391203703</v>
      </c>
      <c r="L53">
        <v>-332.45</v>
      </c>
      <c r="M53">
        <v>0</v>
      </c>
      <c r="N53">
        <v>-332.45</v>
      </c>
      <c r="O53" t="s">
        <v>25</v>
      </c>
      <c r="P53" t="s">
        <v>4162</v>
      </c>
      <c r="Q53" t="s">
        <v>3036</v>
      </c>
      <c r="R53" t="s">
        <v>4977</v>
      </c>
      <c r="S53" t="s">
        <v>4991</v>
      </c>
      <c r="T53" t="s">
        <v>4992</v>
      </c>
    </row>
    <row r="54" spans="1:20" x14ac:dyDescent="0.25">
      <c r="A54" t="s">
        <v>2810</v>
      </c>
      <c r="B54" t="s">
        <v>2811</v>
      </c>
      <c r="C54" s="1">
        <v>46027.397083333337</v>
      </c>
      <c r="D54">
        <v>701.47</v>
      </c>
      <c r="E54" t="s">
        <v>25</v>
      </c>
      <c r="F54" t="s">
        <v>429</v>
      </c>
      <c r="G54" t="s">
        <v>26</v>
      </c>
      <c r="H54" t="s">
        <v>2812</v>
      </c>
      <c r="I54" t="s">
        <v>4182</v>
      </c>
      <c r="J54" t="s">
        <v>3076</v>
      </c>
      <c r="K54" s="1">
        <v>46028.397083333337</v>
      </c>
      <c r="L54">
        <v>-701.47</v>
      </c>
      <c r="M54">
        <v>0</v>
      </c>
      <c r="N54">
        <v>-701.47</v>
      </c>
      <c r="O54" t="s">
        <v>25</v>
      </c>
      <c r="P54" t="s">
        <v>4183</v>
      </c>
      <c r="Q54" t="s">
        <v>3036</v>
      </c>
      <c r="R54" t="s">
        <v>4977</v>
      </c>
      <c r="S54" t="s">
        <v>4991</v>
      </c>
      <c r="T54" t="s">
        <v>4992</v>
      </c>
    </row>
    <row r="55" spans="1:20" x14ac:dyDescent="0.25">
      <c r="A55" t="s">
        <v>2885</v>
      </c>
      <c r="B55" t="s">
        <v>2886</v>
      </c>
      <c r="C55" s="1">
        <v>46024.673055555555</v>
      </c>
      <c r="D55">
        <v>191.72</v>
      </c>
      <c r="E55" t="s">
        <v>25</v>
      </c>
      <c r="F55" t="s">
        <v>20</v>
      </c>
      <c r="G55" t="s">
        <v>30</v>
      </c>
      <c r="H55" t="s">
        <v>2887</v>
      </c>
      <c r="I55" t="s">
        <v>4208</v>
      </c>
      <c r="J55" t="s">
        <v>3034</v>
      </c>
      <c r="K55" s="1">
        <v>46024.68</v>
      </c>
      <c r="L55">
        <v>192.83</v>
      </c>
      <c r="M55">
        <v>5.89</v>
      </c>
      <c r="N55">
        <v>186.94</v>
      </c>
      <c r="O55" t="s">
        <v>25</v>
      </c>
      <c r="P55" t="s">
        <v>3890</v>
      </c>
      <c r="Q55" t="s">
        <v>3036</v>
      </c>
      <c r="R55" t="s">
        <v>4977</v>
      </c>
      <c r="S55" t="s">
        <v>4991</v>
      </c>
      <c r="T55" t="s">
        <v>4992</v>
      </c>
    </row>
    <row r="56" spans="1:20" x14ac:dyDescent="0.25">
      <c r="A56" t="s">
        <v>2900</v>
      </c>
      <c r="B56" t="s">
        <v>2901</v>
      </c>
      <c r="C56" s="1">
        <v>46030.148125</v>
      </c>
      <c r="D56">
        <v>1660.49</v>
      </c>
      <c r="E56" t="s">
        <v>25</v>
      </c>
      <c r="F56" t="s">
        <v>20</v>
      </c>
      <c r="G56" t="s">
        <v>26</v>
      </c>
      <c r="H56" t="s">
        <v>2902</v>
      </c>
      <c r="I56" t="s">
        <v>4213</v>
      </c>
      <c r="J56" t="s">
        <v>3034</v>
      </c>
      <c r="K56" s="1">
        <v>46030.155069444445</v>
      </c>
      <c r="L56">
        <v>1661.6</v>
      </c>
      <c r="M56">
        <v>48.49</v>
      </c>
      <c r="N56">
        <v>1613.11</v>
      </c>
      <c r="O56" t="s">
        <v>25</v>
      </c>
      <c r="P56" t="s">
        <v>3902</v>
      </c>
      <c r="Q56" t="s">
        <v>3036</v>
      </c>
      <c r="R56" t="s">
        <v>4977</v>
      </c>
      <c r="S56" t="s">
        <v>4991</v>
      </c>
      <c r="T56" t="s">
        <v>4992</v>
      </c>
    </row>
    <row r="57" spans="1:20" x14ac:dyDescent="0.25">
      <c r="A57" t="s">
        <v>2918</v>
      </c>
      <c r="B57" t="s">
        <v>2919</v>
      </c>
      <c r="C57" s="1">
        <v>46035.682233796295</v>
      </c>
      <c r="D57">
        <v>1976.69</v>
      </c>
      <c r="E57" t="s">
        <v>25</v>
      </c>
      <c r="F57" t="s">
        <v>20</v>
      </c>
      <c r="G57" t="s">
        <v>26</v>
      </c>
      <c r="H57" t="s">
        <v>2920</v>
      </c>
      <c r="I57" t="s">
        <v>4220</v>
      </c>
      <c r="J57" t="s">
        <v>3034</v>
      </c>
      <c r="K57" s="1">
        <v>46035.68917824074</v>
      </c>
      <c r="L57">
        <v>1977.8</v>
      </c>
      <c r="M57">
        <v>57.66</v>
      </c>
      <c r="N57">
        <v>1920.14</v>
      </c>
      <c r="O57" t="s">
        <v>25</v>
      </c>
      <c r="P57" t="s">
        <v>3914</v>
      </c>
      <c r="Q57" t="s">
        <v>3036</v>
      </c>
      <c r="R57" t="s">
        <v>4977</v>
      </c>
      <c r="S57" t="s">
        <v>4991</v>
      </c>
      <c r="T57" t="s">
        <v>4992</v>
      </c>
    </row>
    <row r="58" spans="1:20" x14ac:dyDescent="0.25">
      <c r="A58" t="s">
        <v>2927</v>
      </c>
      <c r="B58" t="s">
        <v>2928</v>
      </c>
      <c r="C58" s="1">
        <v>46024.968321759261</v>
      </c>
      <c r="D58">
        <v>2055.44</v>
      </c>
      <c r="E58" t="s">
        <v>25</v>
      </c>
      <c r="F58" t="s">
        <v>20</v>
      </c>
      <c r="G58" t="s">
        <v>26</v>
      </c>
      <c r="H58" t="s">
        <v>2929</v>
      </c>
      <c r="I58" t="s">
        <v>4224</v>
      </c>
      <c r="J58" t="s">
        <v>3034</v>
      </c>
      <c r="K58" s="1">
        <v>46024.975266203706</v>
      </c>
      <c r="L58">
        <v>2056.5500000000002</v>
      </c>
      <c r="M58">
        <v>59.94</v>
      </c>
      <c r="N58">
        <v>1996.61</v>
      </c>
      <c r="O58" t="s">
        <v>25</v>
      </c>
      <c r="P58" t="s">
        <v>3890</v>
      </c>
      <c r="Q58" t="s">
        <v>3036</v>
      </c>
      <c r="R58" t="s">
        <v>4977</v>
      </c>
      <c r="S58" t="s">
        <v>4991</v>
      </c>
      <c r="T58" t="s">
        <v>4992</v>
      </c>
    </row>
    <row r="59" spans="1:20" x14ac:dyDescent="0.25">
      <c r="A59" t="s">
        <v>2990</v>
      </c>
      <c r="B59" t="s">
        <v>2991</v>
      </c>
      <c r="C59" s="1">
        <v>46031.888287037036</v>
      </c>
      <c r="D59">
        <v>1495.87</v>
      </c>
      <c r="E59" t="s">
        <v>25</v>
      </c>
      <c r="F59" t="s">
        <v>92</v>
      </c>
      <c r="G59" t="s">
        <v>26</v>
      </c>
      <c r="H59" t="s">
        <v>2992</v>
      </c>
      <c r="I59" t="s">
        <v>4245</v>
      </c>
      <c r="J59" t="s">
        <v>3076</v>
      </c>
      <c r="K59" s="1">
        <v>46032.888287037036</v>
      </c>
      <c r="L59">
        <v>-747.94</v>
      </c>
      <c r="M59">
        <v>0</v>
      </c>
      <c r="N59">
        <v>-747.94</v>
      </c>
      <c r="O59" t="s">
        <v>25</v>
      </c>
      <c r="P59" t="s">
        <v>4246</v>
      </c>
      <c r="Q59" t="s">
        <v>3036</v>
      </c>
      <c r="R59" t="s">
        <v>4977</v>
      </c>
      <c r="S59" t="s">
        <v>4991</v>
      </c>
      <c r="T59" t="s">
        <v>4992</v>
      </c>
    </row>
    <row r="60" spans="1:20" x14ac:dyDescent="0.25">
      <c r="A60" t="s">
        <v>3008</v>
      </c>
      <c r="B60" t="s">
        <v>3009</v>
      </c>
      <c r="C60" s="1">
        <v>46023.435717592591</v>
      </c>
      <c r="D60">
        <v>1906.98</v>
      </c>
      <c r="E60" t="s">
        <v>25</v>
      </c>
      <c r="F60" t="s">
        <v>429</v>
      </c>
      <c r="G60" t="s">
        <v>26</v>
      </c>
      <c r="H60" t="s">
        <v>3010</v>
      </c>
      <c r="I60" t="s">
        <v>4254</v>
      </c>
      <c r="J60" t="s">
        <v>3076</v>
      </c>
      <c r="K60" s="1">
        <v>46024.435717592591</v>
      </c>
      <c r="L60">
        <v>-1906.98</v>
      </c>
      <c r="M60">
        <v>0</v>
      </c>
      <c r="N60">
        <v>-1906.98</v>
      </c>
      <c r="O60" t="s">
        <v>25</v>
      </c>
      <c r="P60" t="s">
        <v>4255</v>
      </c>
      <c r="Q60" t="s">
        <v>3036</v>
      </c>
      <c r="R60" t="s">
        <v>4977</v>
      </c>
      <c r="S60" t="s">
        <v>4991</v>
      </c>
      <c r="T60" t="s">
        <v>4992</v>
      </c>
    </row>
    <row r="61" spans="1:20" x14ac:dyDescent="0.25">
      <c r="A61" t="s">
        <v>3023</v>
      </c>
      <c r="B61" t="s">
        <v>3024</v>
      </c>
      <c r="C61" s="1">
        <v>46028.914803240739</v>
      </c>
      <c r="D61">
        <v>1943.93</v>
      </c>
      <c r="E61" t="s">
        <v>52</v>
      </c>
      <c r="F61" t="s">
        <v>20</v>
      </c>
      <c r="G61" t="s">
        <v>21</v>
      </c>
      <c r="H61" t="s">
        <v>3025</v>
      </c>
      <c r="I61" t="s">
        <v>4259</v>
      </c>
      <c r="J61" t="s">
        <v>3034</v>
      </c>
      <c r="K61" s="1">
        <v>46028.921747685185</v>
      </c>
      <c r="L61">
        <v>1945.04</v>
      </c>
      <c r="M61">
        <v>56.71</v>
      </c>
      <c r="N61">
        <v>1888.33</v>
      </c>
      <c r="O61" t="s">
        <v>52</v>
      </c>
      <c r="P61" t="s">
        <v>3925</v>
      </c>
      <c r="Q61" t="s">
        <v>3036</v>
      </c>
      <c r="R61" t="s">
        <v>4977</v>
      </c>
      <c r="S61" t="s">
        <v>4991</v>
      </c>
      <c r="T61" t="s">
        <v>4992</v>
      </c>
    </row>
    <row r="62" spans="1:20" x14ac:dyDescent="0.25">
      <c r="A62" t="s">
        <v>115</v>
      </c>
      <c r="B62" t="s">
        <v>116</v>
      </c>
      <c r="C62" s="1">
        <v>46026.079398148147</v>
      </c>
      <c r="D62">
        <v>571.97</v>
      </c>
      <c r="E62" t="s">
        <v>19</v>
      </c>
      <c r="F62" t="s">
        <v>20</v>
      </c>
      <c r="G62" t="s">
        <v>21</v>
      </c>
      <c r="H62" t="s">
        <v>117</v>
      </c>
      <c r="I62" t="s">
        <v>3090</v>
      </c>
      <c r="J62" t="s">
        <v>3034</v>
      </c>
      <c r="K62" s="1">
        <v>46026.086342592593</v>
      </c>
      <c r="L62">
        <v>571.97</v>
      </c>
      <c r="M62">
        <v>16.89</v>
      </c>
      <c r="N62">
        <v>555.08000000000004</v>
      </c>
      <c r="O62" t="s">
        <v>25</v>
      </c>
      <c r="P62" t="s">
        <v>3091</v>
      </c>
      <c r="Q62" t="s">
        <v>3036</v>
      </c>
      <c r="R62" t="s">
        <v>4977</v>
      </c>
      <c r="S62" t="s">
        <v>4992</v>
      </c>
      <c r="T62" t="s">
        <v>4993</v>
      </c>
    </row>
    <row r="63" spans="1:20" x14ac:dyDescent="0.25">
      <c r="A63" t="s">
        <v>145</v>
      </c>
      <c r="B63" t="s">
        <v>146</v>
      </c>
      <c r="C63" s="1">
        <v>46035.994780092595</v>
      </c>
      <c r="D63">
        <v>2333.15</v>
      </c>
      <c r="E63" t="s">
        <v>19</v>
      </c>
      <c r="F63" t="s">
        <v>20</v>
      </c>
      <c r="G63" t="s">
        <v>26</v>
      </c>
      <c r="H63" t="s">
        <v>147</v>
      </c>
      <c r="I63" t="s">
        <v>3103</v>
      </c>
      <c r="J63" t="s">
        <v>3034</v>
      </c>
      <c r="K63" s="1">
        <v>46036.00172453704</v>
      </c>
      <c r="L63">
        <v>2333.15</v>
      </c>
      <c r="M63">
        <v>67.959999999999994</v>
      </c>
      <c r="N63">
        <v>2265.19</v>
      </c>
      <c r="O63" t="s">
        <v>25</v>
      </c>
      <c r="P63" t="s">
        <v>3104</v>
      </c>
      <c r="Q63" t="s">
        <v>3036</v>
      </c>
      <c r="R63" t="s">
        <v>4977</v>
      </c>
      <c r="S63" t="s">
        <v>4992</v>
      </c>
      <c r="T63" t="s">
        <v>4993</v>
      </c>
    </row>
    <row r="64" spans="1:20" x14ac:dyDescent="0.25">
      <c r="A64" t="s">
        <v>160</v>
      </c>
      <c r="B64" t="s">
        <v>161</v>
      </c>
      <c r="C64" s="1">
        <v>46026.451261574075</v>
      </c>
      <c r="D64">
        <v>1365.15</v>
      </c>
      <c r="E64" t="s">
        <v>25</v>
      </c>
      <c r="F64" t="s">
        <v>20</v>
      </c>
      <c r="G64" t="s">
        <v>21</v>
      </c>
      <c r="H64" t="s">
        <v>162</v>
      </c>
      <c r="I64" t="s">
        <v>3109</v>
      </c>
      <c r="J64" t="s">
        <v>3034</v>
      </c>
      <c r="K64" s="1">
        <v>46026.45820601852</v>
      </c>
      <c r="L64">
        <v>1365.15</v>
      </c>
      <c r="M64">
        <v>39.89</v>
      </c>
      <c r="N64">
        <v>1325.26</v>
      </c>
      <c r="O64" t="s">
        <v>52</v>
      </c>
      <c r="P64" t="s">
        <v>3110</v>
      </c>
      <c r="Q64" t="s">
        <v>3036</v>
      </c>
      <c r="R64" t="s">
        <v>4977</v>
      </c>
      <c r="S64" t="s">
        <v>4992</v>
      </c>
      <c r="T64" t="s">
        <v>4993</v>
      </c>
    </row>
    <row r="65" spans="1:20" x14ac:dyDescent="0.25">
      <c r="A65" t="s">
        <v>238</v>
      </c>
      <c r="B65" t="s">
        <v>239</v>
      </c>
      <c r="C65" s="1">
        <v>46024.866875</v>
      </c>
      <c r="D65">
        <v>625.41999999999996</v>
      </c>
      <c r="E65" t="s">
        <v>25</v>
      </c>
      <c r="F65" t="s">
        <v>20</v>
      </c>
      <c r="G65" t="s">
        <v>30</v>
      </c>
      <c r="H65" t="s">
        <v>240</v>
      </c>
      <c r="I65" t="s">
        <v>3142</v>
      </c>
      <c r="J65" t="s">
        <v>3034</v>
      </c>
      <c r="K65" s="1">
        <v>46024.873819444445</v>
      </c>
      <c r="L65">
        <v>625.41999999999996</v>
      </c>
      <c r="M65">
        <v>18.440000000000001</v>
      </c>
      <c r="N65">
        <v>606.98</v>
      </c>
      <c r="O65" t="s">
        <v>52</v>
      </c>
      <c r="P65" t="s">
        <v>3143</v>
      </c>
      <c r="Q65" t="s">
        <v>3036</v>
      </c>
      <c r="R65" t="s">
        <v>4977</v>
      </c>
      <c r="S65" t="s">
        <v>4992</v>
      </c>
      <c r="T65" t="s">
        <v>4993</v>
      </c>
    </row>
    <row r="66" spans="1:20" x14ac:dyDescent="0.25">
      <c r="A66" t="s">
        <v>1157</v>
      </c>
      <c r="B66" t="s">
        <v>1158</v>
      </c>
      <c r="C66" s="1">
        <v>46036.883379629631</v>
      </c>
      <c r="D66">
        <v>2300.46</v>
      </c>
      <c r="E66" t="s">
        <v>25</v>
      </c>
      <c r="F66" t="s">
        <v>20</v>
      </c>
      <c r="G66" t="s">
        <v>30</v>
      </c>
      <c r="H66" t="s">
        <v>1159</v>
      </c>
      <c r="I66" t="s">
        <v>3514</v>
      </c>
      <c r="J66" t="s">
        <v>3034</v>
      </c>
      <c r="K66" s="1">
        <v>46036.890324074076</v>
      </c>
      <c r="L66">
        <v>2300.46</v>
      </c>
      <c r="M66">
        <v>67.010000000000005</v>
      </c>
      <c r="N66">
        <v>2233.4499999999998</v>
      </c>
      <c r="O66" t="s">
        <v>52</v>
      </c>
      <c r="P66" t="s">
        <v>3515</v>
      </c>
      <c r="Q66" t="s">
        <v>3036</v>
      </c>
      <c r="R66" t="s">
        <v>4977</v>
      </c>
      <c r="S66" t="s">
        <v>4992</v>
      </c>
      <c r="T66" t="s">
        <v>4993</v>
      </c>
    </row>
    <row r="67" spans="1:20" x14ac:dyDescent="0.25">
      <c r="A67" t="s">
        <v>1268</v>
      </c>
      <c r="B67" t="s">
        <v>1269</v>
      </c>
      <c r="C67" s="1">
        <v>46031.267280092594</v>
      </c>
      <c r="D67">
        <v>1572.78</v>
      </c>
      <c r="E67" t="s">
        <v>25</v>
      </c>
      <c r="F67" t="s">
        <v>20</v>
      </c>
      <c r="G67" t="s">
        <v>21</v>
      </c>
      <c r="H67" t="s">
        <v>1270</v>
      </c>
      <c r="I67" t="s">
        <v>3568</v>
      </c>
      <c r="J67" t="s">
        <v>3034</v>
      </c>
      <c r="K67" s="1">
        <v>46031.274224537039</v>
      </c>
      <c r="L67">
        <v>1572.78</v>
      </c>
      <c r="M67">
        <v>45.91</v>
      </c>
      <c r="N67">
        <v>1526.87</v>
      </c>
      <c r="O67" t="s">
        <v>52</v>
      </c>
      <c r="P67" t="s">
        <v>3569</v>
      </c>
      <c r="Q67" t="s">
        <v>3036</v>
      </c>
      <c r="R67" t="s">
        <v>4977</v>
      </c>
      <c r="S67" t="s">
        <v>4992</v>
      </c>
      <c r="T67" t="s">
        <v>4993</v>
      </c>
    </row>
    <row r="68" spans="1:20" x14ac:dyDescent="0.25">
      <c r="A68" t="s">
        <v>1271</v>
      </c>
      <c r="B68" t="s">
        <v>1272</v>
      </c>
      <c r="C68" s="1">
        <v>46032.3674537037</v>
      </c>
      <c r="D68">
        <v>157.30000000000001</v>
      </c>
      <c r="E68" t="s">
        <v>25</v>
      </c>
      <c r="F68" t="s">
        <v>20</v>
      </c>
      <c r="G68" t="s">
        <v>26</v>
      </c>
      <c r="H68" t="s">
        <v>1273</v>
      </c>
      <c r="I68" t="s">
        <v>3570</v>
      </c>
      <c r="J68" t="s">
        <v>3034</v>
      </c>
      <c r="K68" s="1">
        <v>46032.374398148146</v>
      </c>
      <c r="L68">
        <v>157.30000000000001</v>
      </c>
      <c r="M68">
        <v>4.8600000000000003</v>
      </c>
      <c r="N68">
        <v>152.44</v>
      </c>
      <c r="O68" t="s">
        <v>52</v>
      </c>
      <c r="P68" t="s">
        <v>3571</v>
      </c>
      <c r="Q68" t="s">
        <v>3036</v>
      </c>
      <c r="R68" t="s">
        <v>4977</v>
      </c>
      <c r="S68" t="s">
        <v>4992</v>
      </c>
      <c r="T68" t="s">
        <v>4993</v>
      </c>
    </row>
    <row r="69" spans="1:20" x14ac:dyDescent="0.25">
      <c r="A69" t="s">
        <v>1301</v>
      </c>
      <c r="B69" t="s">
        <v>1302</v>
      </c>
      <c r="C69" s="1">
        <v>46028.293842592589</v>
      </c>
      <c r="D69">
        <v>1717.99</v>
      </c>
      <c r="E69" t="s">
        <v>25</v>
      </c>
      <c r="F69" t="s">
        <v>20</v>
      </c>
      <c r="G69" t="s">
        <v>30</v>
      </c>
      <c r="H69" t="s">
        <v>1303</v>
      </c>
      <c r="I69" t="s">
        <v>3583</v>
      </c>
      <c r="J69" t="s">
        <v>3034</v>
      </c>
      <c r="K69" s="1">
        <v>46028.300787037035</v>
      </c>
      <c r="L69">
        <v>1717.99</v>
      </c>
      <c r="M69">
        <v>50.12</v>
      </c>
      <c r="N69">
        <v>1667.87</v>
      </c>
      <c r="O69" t="s">
        <v>52</v>
      </c>
      <c r="P69" t="s">
        <v>3584</v>
      </c>
      <c r="Q69" t="s">
        <v>3036</v>
      </c>
      <c r="R69" t="s">
        <v>4977</v>
      </c>
      <c r="S69" t="s">
        <v>4992</v>
      </c>
      <c r="T69" t="s">
        <v>4993</v>
      </c>
    </row>
    <row r="70" spans="1:20" x14ac:dyDescent="0.25">
      <c r="A70" t="s">
        <v>2138</v>
      </c>
      <c r="B70" t="s">
        <v>2139</v>
      </c>
      <c r="C70" s="1">
        <v>46027.86859953704</v>
      </c>
      <c r="D70">
        <v>2243.4699999999998</v>
      </c>
      <c r="E70" t="s">
        <v>25</v>
      </c>
      <c r="F70" t="s">
        <v>20</v>
      </c>
      <c r="G70" t="s">
        <v>30</v>
      </c>
      <c r="H70" t="s">
        <v>2140</v>
      </c>
      <c r="I70" t="s">
        <v>3897</v>
      </c>
      <c r="J70" t="s">
        <v>3034</v>
      </c>
      <c r="K70" s="1">
        <v>46027.875543981485</v>
      </c>
      <c r="L70">
        <v>2243.4699999999998</v>
      </c>
      <c r="M70">
        <v>65.36</v>
      </c>
      <c r="N70">
        <v>2178.11</v>
      </c>
      <c r="O70" t="s">
        <v>52</v>
      </c>
      <c r="P70" t="s">
        <v>3898</v>
      </c>
      <c r="Q70" t="s">
        <v>3036</v>
      </c>
      <c r="R70" t="s">
        <v>4977</v>
      </c>
      <c r="S70" t="s">
        <v>4992</v>
      </c>
      <c r="T70" t="s">
        <v>4993</v>
      </c>
    </row>
    <row r="71" spans="1:20" x14ac:dyDescent="0.25">
      <c r="A71" t="s">
        <v>2318</v>
      </c>
      <c r="B71" t="s">
        <v>2319</v>
      </c>
      <c r="C71" s="1">
        <v>46031.356863425928</v>
      </c>
      <c r="D71">
        <v>1933.98</v>
      </c>
      <c r="E71" t="s">
        <v>25</v>
      </c>
      <c r="F71" t="s">
        <v>20</v>
      </c>
      <c r="G71" t="s">
        <v>30</v>
      </c>
      <c r="H71" t="s">
        <v>2320</v>
      </c>
      <c r="I71" t="s">
        <v>3991</v>
      </c>
      <c r="J71" t="s">
        <v>3034</v>
      </c>
      <c r="K71" s="1">
        <v>46031.363807870373</v>
      </c>
      <c r="L71">
        <v>1933.98</v>
      </c>
      <c r="M71">
        <v>56.39</v>
      </c>
      <c r="N71">
        <v>1877.59</v>
      </c>
      <c r="O71" t="s">
        <v>52</v>
      </c>
      <c r="P71" t="s">
        <v>3992</v>
      </c>
      <c r="Q71" t="s">
        <v>3036</v>
      </c>
      <c r="R71" t="s">
        <v>4977</v>
      </c>
      <c r="S71" t="s">
        <v>4992</v>
      </c>
      <c r="T71" t="s">
        <v>4993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32D1-1772-4213-B606-07B452DB17B6}">
  <dimension ref="A1:T11"/>
  <sheetViews>
    <sheetView topLeftCell="L1" workbookViewId="0">
      <selection sqref="A1:T2"/>
    </sheetView>
  </sheetViews>
  <sheetFormatPr defaultRowHeight="15" x14ac:dyDescent="0.25"/>
  <cols>
    <col min="1" max="1" width="21.85546875" bestFit="1" customWidth="1"/>
    <col min="2" max="2" width="20.42578125" bestFit="1" customWidth="1"/>
    <col min="3" max="3" width="15.5703125" bestFit="1" customWidth="1"/>
    <col min="4" max="4" width="16" bestFit="1" customWidth="1"/>
    <col min="5" max="5" width="11.140625" bestFit="1" customWidth="1"/>
    <col min="6" max="6" width="17.7109375" bestFit="1" customWidth="1"/>
    <col min="7" max="7" width="20.42578125" bestFit="1" customWidth="1"/>
    <col min="8" max="8" width="31.42578125" bestFit="1" customWidth="1"/>
    <col min="9" max="9" width="26.28515625" bestFit="1" customWidth="1"/>
    <col min="10" max="10" width="23.42578125" bestFit="1" customWidth="1"/>
    <col min="11" max="11" width="23.7109375" bestFit="1" customWidth="1"/>
    <col min="12" max="12" width="17.5703125" bestFit="1" customWidth="1"/>
    <col min="13" max="14" width="14" bestFit="1" customWidth="1"/>
    <col min="15" max="15" width="12.7109375" bestFit="1" customWidth="1"/>
    <col min="16" max="16" width="30.5703125" bestFit="1" customWidth="1"/>
    <col min="17" max="17" width="18.85546875" bestFit="1" customWidth="1"/>
    <col min="18" max="18" width="18.7109375" bestFit="1" customWidth="1"/>
    <col min="19" max="19" width="16.7109375" bestFit="1" customWidth="1"/>
    <col min="20" max="20" width="18.140625" bestFit="1" customWidth="1"/>
  </cols>
  <sheetData>
    <row r="1" spans="1:2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3026</v>
      </c>
      <c r="J1" t="s">
        <v>3027</v>
      </c>
      <c r="K1" t="s">
        <v>3028</v>
      </c>
      <c r="L1" t="s">
        <v>4974</v>
      </c>
      <c r="M1" t="s">
        <v>3029</v>
      </c>
      <c r="N1" t="s">
        <v>3030</v>
      </c>
      <c r="O1" t="s">
        <v>4975</v>
      </c>
      <c r="P1" t="s">
        <v>3031</v>
      </c>
      <c r="Q1" t="s">
        <v>3032</v>
      </c>
      <c r="R1" t="s">
        <v>4976</v>
      </c>
      <c r="S1" t="s">
        <v>4989</v>
      </c>
      <c r="T1" t="s">
        <v>4990</v>
      </c>
    </row>
    <row r="2" spans="1:20" x14ac:dyDescent="0.25">
      <c r="A2" t="s">
        <v>115</v>
      </c>
      <c r="B2" t="s">
        <v>116</v>
      </c>
      <c r="C2" s="1">
        <v>46026.079398148147</v>
      </c>
      <c r="D2">
        <v>571.97</v>
      </c>
      <c r="E2" t="s">
        <v>19</v>
      </c>
      <c r="F2" t="s">
        <v>20</v>
      </c>
      <c r="G2" t="s">
        <v>21</v>
      </c>
      <c r="H2" t="s">
        <v>117</v>
      </c>
      <c r="I2" t="s">
        <v>3090</v>
      </c>
      <c r="J2" t="s">
        <v>3034</v>
      </c>
      <c r="K2" s="1">
        <v>46026.086342592593</v>
      </c>
      <c r="L2">
        <v>571.97</v>
      </c>
      <c r="M2">
        <v>16.89</v>
      </c>
      <c r="N2">
        <v>555.08000000000004</v>
      </c>
      <c r="O2" t="s">
        <v>25</v>
      </c>
      <c r="P2" t="s">
        <v>3091</v>
      </c>
      <c r="Q2" t="s">
        <v>3036</v>
      </c>
      <c r="R2" t="s">
        <v>4977</v>
      </c>
      <c r="S2" t="s">
        <v>4992</v>
      </c>
      <c r="T2" t="s">
        <v>4993</v>
      </c>
    </row>
    <row r="3" spans="1:20" x14ac:dyDescent="0.25">
      <c r="A3" t="s">
        <v>145</v>
      </c>
      <c r="B3" t="s">
        <v>146</v>
      </c>
      <c r="C3" s="1">
        <v>46035.994780092595</v>
      </c>
      <c r="D3">
        <v>2333.15</v>
      </c>
      <c r="E3" t="s">
        <v>19</v>
      </c>
      <c r="F3" t="s">
        <v>20</v>
      </c>
      <c r="G3" t="s">
        <v>26</v>
      </c>
      <c r="H3" t="s">
        <v>147</v>
      </c>
      <c r="I3" t="s">
        <v>3103</v>
      </c>
      <c r="J3" t="s">
        <v>3034</v>
      </c>
      <c r="K3" s="1">
        <v>46036.00172453704</v>
      </c>
      <c r="L3">
        <v>2333.15</v>
      </c>
      <c r="M3">
        <v>67.959999999999994</v>
      </c>
      <c r="N3">
        <v>2265.19</v>
      </c>
      <c r="O3" t="s">
        <v>25</v>
      </c>
      <c r="P3" t="s">
        <v>3104</v>
      </c>
      <c r="Q3" t="s">
        <v>3036</v>
      </c>
      <c r="R3" t="s">
        <v>4977</v>
      </c>
      <c r="S3" t="s">
        <v>4992</v>
      </c>
      <c r="T3" t="s">
        <v>4993</v>
      </c>
    </row>
    <row r="4" spans="1:20" x14ac:dyDescent="0.25">
      <c r="A4" t="s">
        <v>160</v>
      </c>
      <c r="B4" t="s">
        <v>161</v>
      </c>
      <c r="C4" s="1">
        <v>46026.451261574075</v>
      </c>
      <c r="D4">
        <v>1365.15</v>
      </c>
      <c r="E4" t="s">
        <v>25</v>
      </c>
      <c r="F4" t="s">
        <v>20</v>
      </c>
      <c r="G4" t="s">
        <v>21</v>
      </c>
      <c r="H4" t="s">
        <v>162</v>
      </c>
      <c r="I4" t="s">
        <v>3109</v>
      </c>
      <c r="J4" t="s">
        <v>3034</v>
      </c>
      <c r="K4" s="1">
        <v>46026.45820601852</v>
      </c>
      <c r="L4">
        <v>1365.15</v>
      </c>
      <c r="M4">
        <v>39.89</v>
      </c>
      <c r="N4">
        <v>1325.26</v>
      </c>
      <c r="O4" t="s">
        <v>52</v>
      </c>
      <c r="P4" t="s">
        <v>3110</v>
      </c>
      <c r="Q4" t="s">
        <v>3036</v>
      </c>
      <c r="R4" t="s">
        <v>4977</v>
      </c>
      <c r="S4" t="s">
        <v>4992</v>
      </c>
      <c r="T4" t="s">
        <v>4993</v>
      </c>
    </row>
    <row r="5" spans="1:20" x14ac:dyDescent="0.25">
      <c r="A5" t="s">
        <v>238</v>
      </c>
      <c r="B5" t="s">
        <v>239</v>
      </c>
      <c r="C5" s="1">
        <v>46024.866875</v>
      </c>
      <c r="D5">
        <v>625.41999999999996</v>
      </c>
      <c r="E5" t="s">
        <v>25</v>
      </c>
      <c r="F5" t="s">
        <v>20</v>
      </c>
      <c r="G5" t="s">
        <v>30</v>
      </c>
      <c r="H5" t="s">
        <v>240</v>
      </c>
      <c r="I5" t="s">
        <v>3142</v>
      </c>
      <c r="J5" t="s">
        <v>3034</v>
      </c>
      <c r="K5" s="1">
        <v>46024.873819444445</v>
      </c>
      <c r="L5">
        <v>625.41999999999996</v>
      </c>
      <c r="M5">
        <v>18.440000000000001</v>
      </c>
      <c r="N5">
        <v>606.98</v>
      </c>
      <c r="O5" t="s">
        <v>52</v>
      </c>
      <c r="P5" t="s">
        <v>3143</v>
      </c>
      <c r="Q5" t="s">
        <v>3036</v>
      </c>
      <c r="R5" t="s">
        <v>4977</v>
      </c>
      <c r="S5" t="s">
        <v>4992</v>
      </c>
      <c r="T5" t="s">
        <v>4993</v>
      </c>
    </row>
    <row r="6" spans="1:20" x14ac:dyDescent="0.25">
      <c r="A6" t="s">
        <v>1157</v>
      </c>
      <c r="B6" t="s">
        <v>1158</v>
      </c>
      <c r="C6" s="1">
        <v>46036.883379629631</v>
      </c>
      <c r="D6">
        <v>2300.46</v>
      </c>
      <c r="E6" t="s">
        <v>25</v>
      </c>
      <c r="F6" t="s">
        <v>20</v>
      </c>
      <c r="G6" t="s">
        <v>30</v>
      </c>
      <c r="H6" t="s">
        <v>1159</v>
      </c>
      <c r="I6" t="s">
        <v>3514</v>
      </c>
      <c r="J6" t="s">
        <v>3034</v>
      </c>
      <c r="K6" s="1">
        <v>46036.890324074076</v>
      </c>
      <c r="L6">
        <v>2300.46</v>
      </c>
      <c r="M6">
        <v>67.010000000000005</v>
      </c>
      <c r="N6">
        <v>2233.4499999999998</v>
      </c>
      <c r="O6" t="s">
        <v>52</v>
      </c>
      <c r="P6" t="s">
        <v>3515</v>
      </c>
      <c r="Q6" t="s">
        <v>3036</v>
      </c>
      <c r="R6" t="s">
        <v>4977</v>
      </c>
      <c r="S6" t="s">
        <v>4992</v>
      </c>
      <c r="T6" t="s">
        <v>4993</v>
      </c>
    </row>
    <row r="7" spans="1:20" x14ac:dyDescent="0.25">
      <c r="A7" t="s">
        <v>1268</v>
      </c>
      <c r="B7" t="s">
        <v>1269</v>
      </c>
      <c r="C7" s="1">
        <v>46031.267280092594</v>
      </c>
      <c r="D7">
        <v>1572.78</v>
      </c>
      <c r="E7" t="s">
        <v>25</v>
      </c>
      <c r="F7" t="s">
        <v>20</v>
      </c>
      <c r="G7" t="s">
        <v>21</v>
      </c>
      <c r="H7" t="s">
        <v>1270</v>
      </c>
      <c r="I7" t="s">
        <v>3568</v>
      </c>
      <c r="J7" t="s">
        <v>3034</v>
      </c>
      <c r="K7" s="1">
        <v>46031.274224537039</v>
      </c>
      <c r="L7">
        <v>1572.78</v>
      </c>
      <c r="M7">
        <v>45.91</v>
      </c>
      <c r="N7">
        <v>1526.87</v>
      </c>
      <c r="O7" t="s">
        <v>52</v>
      </c>
      <c r="P7" t="s">
        <v>3569</v>
      </c>
      <c r="Q7" t="s">
        <v>3036</v>
      </c>
      <c r="R7" t="s">
        <v>4977</v>
      </c>
      <c r="S7" t="s">
        <v>4992</v>
      </c>
      <c r="T7" t="s">
        <v>4993</v>
      </c>
    </row>
    <row r="8" spans="1:20" x14ac:dyDescent="0.25">
      <c r="A8" t="s">
        <v>1271</v>
      </c>
      <c r="B8" t="s">
        <v>1272</v>
      </c>
      <c r="C8" s="1">
        <v>46032.3674537037</v>
      </c>
      <c r="D8">
        <v>157.30000000000001</v>
      </c>
      <c r="E8" t="s">
        <v>25</v>
      </c>
      <c r="F8" t="s">
        <v>20</v>
      </c>
      <c r="G8" t="s">
        <v>26</v>
      </c>
      <c r="H8" t="s">
        <v>1273</v>
      </c>
      <c r="I8" t="s">
        <v>3570</v>
      </c>
      <c r="J8" t="s">
        <v>3034</v>
      </c>
      <c r="K8" s="1">
        <v>46032.374398148146</v>
      </c>
      <c r="L8">
        <v>157.30000000000001</v>
      </c>
      <c r="M8">
        <v>4.8600000000000003</v>
      </c>
      <c r="N8">
        <v>152.44</v>
      </c>
      <c r="O8" t="s">
        <v>52</v>
      </c>
      <c r="P8" t="s">
        <v>3571</v>
      </c>
      <c r="Q8" t="s">
        <v>3036</v>
      </c>
      <c r="R8" t="s">
        <v>4977</v>
      </c>
      <c r="S8" t="s">
        <v>4992</v>
      </c>
      <c r="T8" t="s">
        <v>4993</v>
      </c>
    </row>
    <row r="9" spans="1:20" x14ac:dyDescent="0.25">
      <c r="A9" t="s">
        <v>1301</v>
      </c>
      <c r="B9" t="s">
        <v>1302</v>
      </c>
      <c r="C9" s="1">
        <v>46028.293842592589</v>
      </c>
      <c r="D9">
        <v>1717.99</v>
      </c>
      <c r="E9" t="s">
        <v>25</v>
      </c>
      <c r="F9" t="s">
        <v>20</v>
      </c>
      <c r="G9" t="s">
        <v>30</v>
      </c>
      <c r="H9" t="s">
        <v>1303</v>
      </c>
      <c r="I9" t="s">
        <v>3583</v>
      </c>
      <c r="J9" t="s">
        <v>3034</v>
      </c>
      <c r="K9" s="1">
        <v>46028.300787037035</v>
      </c>
      <c r="L9">
        <v>1717.99</v>
      </c>
      <c r="M9">
        <v>50.12</v>
      </c>
      <c r="N9">
        <v>1667.87</v>
      </c>
      <c r="O9" t="s">
        <v>52</v>
      </c>
      <c r="P9" t="s">
        <v>3584</v>
      </c>
      <c r="Q9" t="s">
        <v>3036</v>
      </c>
      <c r="R9" t="s">
        <v>4977</v>
      </c>
      <c r="S9" t="s">
        <v>4992</v>
      </c>
      <c r="T9" t="s">
        <v>4993</v>
      </c>
    </row>
    <row r="10" spans="1:20" x14ac:dyDescent="0.25">
      <c r="A10" t="s">
        <v>2138</v>
      </c>
      <c r="B10" t="s">
        <v>2139</v>
      </c>
      <c r="C10" s="1">
        <v>46027.86859953704</v>
      </c>
      <c r="D10">
        <v>2243.4699999999998</v>
      </c>
      <c r="E10" t="s">
        <v>25</v>
      </c>
      <c r="F10" t="s">
        <v>20</v>
      </c>
      <c r="G10" t="s">
        <v>30</v>
      </c>
      <c r="H10" t="s">
        <v>2140</v>
      </c>
      <c r="I10" t="s">
        <v>3897</v>
      </c>
      <c r="J10" t="s">
        <v>3034</v>
      </c>
      <c r="K10" s="1">
        <v>46027.875543981485</v>
      </c>
      <c r="L10">
        <v>2243.4699999999998</v>
      </c>
      <c r="M10">
        <v>65.36</v>
      </c>
      <c r="N10">
        <v>2178.11</v>
      </c>
      <c r="O10" t="s">
        <v>52</v>
      </c>
      <c r="P10" t="s">
        <v>3898</v>
      </c>
      <c r="Q10" t="s">
        <v>3036</v>
      </c>
      <c r="R10" t="s">
        <v>4977</v>
      </c>
      <c r="S10" t="s">
        <v>4992</v>
      </c>
      <c r="T10" t="s">
        <v>4993</v>
      </c>
    </row>
    <row r="11" spans="1:20" x14ac:dyDescent="0.25">
      <c r="A11" t="s">
        <v>2318</v>
      </c>
      <c r="B11" t="s">
        <v>2319</v>
      </c>
      <c r="C11" s="1">
        <v>46031.356863425928</v>
      </c>
      <c r="D11">
        <v>1933.98</v>
      </c>
      <c r="E11" t="s">
        <v>25</v>
      </c>
      <c r="F11" t="s">
        <v>20</v>
      </c>
      <c r="G11" t="s">
        <v>30</v>
      </c>
      <c r="H11" t="s">
        <v>2320</v>
      </c>
      <c r="I11" t="s">
        <v>3991</v>
      </c>
      <c r="J11" t="s">
        <v>3034</v>
      </c>
      <c r="K11" s="1">
        <v>46031.363807870373</v>
      </c>
      <c r="L11">
        <v>1933.98</v>
      </c>
      <c r="M11">
        <v>56.39</v>
      </c>
      <c r="N11">
        <v>1877.59</v>
      </c>
      <c r="O11" t="s">
        <v>52</v>
      </c>
      <c r="P11" t="s">
        <v>3992</v>
      </c>
      <c r="Q11" t="s">
        <v>3036</v>
      </c>
      <c r="R11" t="s">
        <v>4977</v>
      </c>
      <c r="S11" t="s">
        <v>4992</v>
      </c>
      <c r="T11" t="s">
        <v>4993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DA4A-D4B2-48B1-8286-5841DDAD112A}">
  <dimension ref="A1:T61"/>
  <sheetViews>
    <sheetView topLeftCell="L1" workbookViewId="0">
      <selection sqref="A1:T2"/>
    </sheetView>
  </sheetViews>
  <sheetFormatPr defaultRowHeight="15" x14ac:dyDescent="0.25"/>
  <cols>
    <col min="1" max="1" width="21.85546875" bestFit="1" customWidth="1"/>
    <col min="2" max="2" width="20.42578125" bestFit="1" customWidth="1"/>
    <col min="3" max="3" width="15.5703125" bestFit="1" customWidth="1"/>
    <col min="4" max="4" width="16" bestFit="1" customWidth="1"/>
    <col min="5" max="5" width="11.140625" bestFit="1" customWidth="1"/>
    <col min="6" max="7" width="20.42578125" bestFit="1" customWidth="1"/>
    <col min="8" max="8" width="31.42578125" bestFit="1" customWidth="1"/>
    <col min="9" max="9" width="27.42578125" bestFit="1" customWidth="1"/>
    <col min="10" max="10" width="23.42578125" bestFit="1" customWidth="1"/>
    <col min="11" max="11" width="23.7109375" bestFit="1" customWidth="1"/>
    <col min="12" max="12" width="17.5703125" bestFit="1" customWidth="1"/>
    <col min="13" max="14" width="14" bestFit="1" customWidth="1"/>
    <col min="15" max="15" width="12.7109375" bestFit="1" customWidth="1"/>
    <col min="16" max="16" width="33" bestFit="1" customWidth="1"/>
    <col min="17" max="17" width="18.85546875" bestFit="1" customWidth="1"/>
    <col min="18" max="18" width="18.7109375" bestFit="1" customWidth="1"/>
    <col min="19" max="19" width="17.28515625" bestFit="1" customWidth="1"/>
    <col min="20" max="20" width="18" bestFit="1" customWidth="1"/>
  </cols>
  <sheetData>
    <row r="1" spans="1:2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3026</v>
      </c>
      <c r="J1" t="s">
        <v>3027</v>
      </c>
      <c r="K1" t="s">
        <v>3028</v>
      </c>
      <c r="L1" t="s">
        <v>4974</v>
      </c>
      <c r="M1" t="s">
        <v>3029</v>
      </c>
      <c r="N1" t="s">
        <v>3030</v>
      </c>
      <c r="O1" t="s">
        <v>4975</v>
      </c>
      <c r="P1" t="s">
        <v>3031</v>
      </c>
      <c r="Q1" t="s">
        <v>3032</v>
      </c>
      <c r="R1" t="s">
        <v>4976</v>
      </c>
      <c r="S1" t="s">
        <v>4989</v>
      </c>
      <c r="T1" t="s">
        <v>4990</v>
      </c>
    </row>
    <row r="2" spans="1:20" x14ac:dyDescent="0.25">
      <c r="A2" t="s">
        <v>90</v>
      </c>
      <c r="B2" t="s">
        <v>91</v>
      </c>
      <c r="C2" s="1">
        <v>46031.340995370374</v>
      </c>
      <c r="D2">
        <v>1437.16</v>
      </c>
      <c r="E2" t="s">
        <v>25</v>
      </c>
      <c r="F2" t="s">
        <v>92</v>
      </c>
      <c r="G2" t="s">
        <v>26</v>
      </c>
      <c r="H2" t="s">
        <v>93</v>
      </c>
      <c r="I2" t="s">
        <v>3075</v>
      </c>
      <c r="J2" t="s">
        <v>3076</v>
      </c>
      <c r="K2" s="1">
        <v>46032.340995370374</v>
      </c>
      <c r="L2">
        <v>-718.58</v>
      </c>
      <c r="M2">
        <v>0</v>
      </c>
      <c r="N2">
        <v>-718.58</v>
      </c>
      <c r="O2" t="s">
        <v>25</v>
      </c>
      <c r="P2" t="s">
        <v>3077</v>
      </c>
      <c r="Q2" t="s">
        <v>3036</v>
      </c>
      <c r="R2" t="s">
        <v>4977</v>
      </c>
      <c r="S2" t="s">
        <v>4991</v>
      </c>
      <c r="T2" t="s">
        <v>4992</v>
      </c>
    </row>
    <row r="3" spans="1:20" x14ac:dyDescent="0.25">
      <c r="A3" t="s">
        <v>106</v>
      </c>
      <c r="B3" t="s">
        <v>107</v>
      </c>
      <c r="C3" s="1">
        <v>46036.833715277775</v>
      </c>
      <c r="D3">
        <v>1215.6199999999999</v>
      </c>
      <c r="E3" t="s">
        <v>25</v>
      </c>
      <c r="F3" t="s">
        <v>92</v>
      </c>
      <c r="G3" t="s">
        <v>21</v>
      </c>
      <c r="H3" t="s">
        <v>108</v>
      </c>
      <c r="I3" t="s">
        <v>3085</v>
      </c>
      <c r="J3" t="s">
        <v>3076</v>
      </c>
      <c r="K3" s="1">
        <v>46037.833715277775</v>
      </c>
      <c r="L3">
        <v>-607.80999999999995</v>
      </c>
      <c r="M3">
        <v>0</v>
      </c>
      <c r="N3">
        <v>-607.80999999999995</v>
      </c>
      <c r="O3" t="s">
        <v>25</v>
      </c>
      <c r="P3" t="s">
        <v>3086</v>
      </c>
      <c r="Q3" t="s">
        <v>3036</v>
      </c>
      <c r="R3" t="s">
        <v>4977</v>
      </c>
      <c r="S3" t="s">
        <v>4991</v>
      </c>
      <c r="T3" t="s">
        <v>4992</v>
      </c>
    </row>
    <row r="4" spans="1:20" x14ac:dyDescent="0.25">
      <c r="A4" t="s">
        <v>382</v>
      </c>
      <c r="B4" t="s">
        <v>383</v>
      </c>
      <c r="C4" s="1">
        <v>46030.230324074073</v>
      </c>
      <c r="D4">
        <v>1548.83</v>
      </c>
      <c r="E4" t="s">
        <v>52</v>
      </c>
      <c r="F4" t="s">
        <v>92</v>
      </c>
      <c r="G4" t="s">
        <v>30</v>
      </c>
      <c r="H4" t="s">
        <v>384</v>
      </c>
      <c r="I4" t="s">
        <v>3196</v>
      </c>
      <c r="J4" t="s">
        <v>3076</v>
      </c>
      <c r="K4" s="1">
        <v>46031.230324074073</v>
      </c>
      <c r="L4">
        <v>-774.42</v>
      </c>
      <c r="M4">
        <v>0</v>
      </c>
      <c r="N4">
        <v>-774.42</v>
      </c>
      <c r="O4" t="s">
        <v>52</v>
      </c>
      <c r="P4" t="s">
        <v>3197</v>
      </c>
      <c r="Q4" t="s">
        <v>3036</v>
      </c>
      <c r="R4" t="s">
        <v>4977</v>
      </c>
      <c r="S4" t="s">
        <v>4991</v>
      </c>
      <c r="T4" t="s">
        <v>4992</v>
      </c>
    </row>
    <row r="5" spans="1:20" x14ac:dyDescent="0.25">
      <c r="A5" t="s">
        <v>388</v>
      </c>
      <c r="B5" t="s">
        <v>389</v>
      </c>
      <c r="C5" s="1">
        <v>46032.448958333334</v>
      </c>
      <c r="D5">
        <v>1202.97</v>
      </c>
      <c r="E5" t="s">
        <v>25</v>
      </c>
      <c r="F5" t="s">
        <v>20</v>
      </c>
      <c r="G5" t="s">
        <v>26</v>
      </c>
      <c r="H5" t="s">
        <v>390</v>
      </c>
      <c r="I5" t="s">
        <v>3199</v>
      </c>
      <c r="J5" t="s">
        <v>3034</v>
      </c>
      <c r="K5" s="1">
        <v>46032.45590277778</v>
      </c>
      <c r="L5">
        <v>1204.08</v>
      </c>
      <c r="M5">
        <v>35.22</v>
      </c>
      <c r="N5">
        <v>1168.8599999999999</v>
      </c>
      <c r="O5" t="s">
        <v>25</v>
      </c>
      <c r="P5" t="s">
        <v>3079</v>
      </c>
      <c r="Q5" t="s">
        <v>3036</v>
      </c>
      <c r="R5" t="s">
        <v>4977</v>
      </c>
      <c r="S5" t="s">
        <v>4991</v>
      </c>
      <c r="T5" t="s">
        <v>4992</v>
      </c>
    </row>
    <row r="6" spans="1:20" x14ac:dyDescent="0.25">
      <c r="A6" t="s">
        <v>427</v>
      </c>
      <c r="B6" t="s">
        <v>428</v>
      </c>
      <c r="C6" s="1">
        <v>46031.619386574072</v>
      </c>
      <c r="D6">
        <v>631.87</v>
      </c>
      <c r="E6" t="s">
        <v>25</v>
      </c>
      <c r="F6" t="s">
        <v>429</v>
      </c>
      <c r="G6" t="s">
        <v>30</v>
      </c>
      <c r="H6" t="s">
        <v>430</v>
      </c>
      <c r="I6" t="s">
        <v>3213</v>
      </c>
      <c r="J6" t="s">
        <v>3076</v>
      </c>
      <c r="K6" s="1">
        <v>46032.619386574072</v>
      </c>
      <c r="L6">
        <v>-631.87</v>
      </c>
      <c r="M6">
        <v>0</v>
      </c>
      <c r="N6">
        <v>-631.87</v>
      </c>
      <c r="O6" t="s">
        <v>25</v>
      </c>
      <c r="P6" t="s">
        <v>3214</v>
      </c>
      <c r="Q6" t="s">
        <v>3036</v>
      </c>
      <c r="R6" t="s">
        <v>4977</v>
      </c>
      <c r="S6" t="s">
        <v>4991</v>
      </c>
      <c r="T6" t="s">
        <v>4992</v>
      </c>
    </row>
    <row r="7" spans="1:20" x14ac:dyDescent="0.25">
      <c r="A7" t="s">
        <v>461</v>
      </c>
      <c r="B7" t="s">
        <v>462</v>
      </c>
      <c r="C7" s="1">
        <v>46028.634363425925</v>
      </c>
      <c r="D7">
        <v>1472.02</v>
      </c>
      <c r="E7" t="s">
        <v>25</v>
      </c>
      <c r="F7" t="s">
        <v>429</v>
      </c>
      <c r="G7" t="s">
        <v>26</v>
      </c>
      <c r="H7" t="s">
        <v>463</v>
      </c>
      <c r="I7" t="s">
        <v>3226</v>
      </c>
      <c r="J7" t="s">
        <v>3076</v>
      </c>
      <c r="K7" s="1">
        <v>46029.634363425925</v>
      </c>
      <c r="L7">
        <v>-1472.02</v>
      </c>
      <c r="M7">
        <v>0</v>
      </c>
      <c r="N7">
        <v>-1472.02</v>
      </c>
      <c r="O7" t="s">
        <v>25</v>
      </c>
      <c r="P7" t="s">
        <v>3227</v>
      </c>
      <c r="Q7" t="s">
        <v>3036</v>
      </c>
      <c r="R7" t="s">
        <v>4977</v>
      </c>
      <c r="S7" t="s">
        <v>4991</v>
      </c>
      <c r="T7" t="s">
        <v>4992</v>
      </c>
    </row>
    <row r="8" spans="1:20" x14ac:dyDescent="0.25">
      <c r="A8" t="s">
        <v>533</v>
      </c>
      <c r="B8" t="s">
        <v>534</v>
      </c>
      <c r="C8" s="1">
        <v>46024.845011574071</v>
      </c>
      <c r="D8">
        <v>586.04</v>
      </c>
      <c r="E8" t="s">
        <v>52</v>
      </c>
      <c r="F8" t="s">
        <v>92</v>
      </c>
      <c r="G8" t="s">
        <v>26</v>
      </c>
      <c r="H8" t="s">
        <v>535</v>
      </c>
      <c r="I8" t="s">
        <v>3252</v>
      </c>
      <c r="J8" t="s">
        <v>3076</v>
      </c>
      <c r="K8" s="1">
        <v>46025.845011574071</v>
      </c>
      <c r="L8">
        <v>-293.02</v>
      </c>
      <c r="M8">
        <v>0</v>
      </c>
      <c r="N8">
        <v>-293.02</v>
      </c>
      <c r="O8" t="s">
        <v>52</v>
      </c>
      <c r="P8" t="s">
        <v>3253</v>
      </c>
      <c r="Q8" t="s">
        <v>3036</v>
      </c>
      <c r="R8" t="s">
        <v>4977</v>
      </c>
      <c r="S8" t="s">
        <v>4991</v>
      </c>
      <c r="T8" t="s">
        <v>4992</v>
      </c>
    </row>
    <row r="9" spans="1:20" x14ac:dyDescent="0.25">
      <c r="A9" t="s">
        <v>578</v>
      </c>
      <c r="B9" t="s">
        <v>579</v>
      </c>
      <c r="C9" s="1">
        <v>46026.195879629631</v>
      </c>
      <c r="D9">
        <v>518.08000000000004</v>
      </c>
      <c r="E9" t="s">
        <v>25</v>
      </c>
      <c r="F9" t="s">
        <v>429</v>
      </c>
      <c r="G9" t="s">
        <v>26</v>
      </c>
      <c r="H9" t="s">
        <v>580</v>
      </c>
      <c r="I9" t="s">
        <v>3270</v>
      </c>
      <c r="J9" t="s">
        <v>3076</v>
      </c>
      <c r="K9" s="1">
        <v>46027.195879629631</v>
      </c>
      <c r="L9">
        <v>-518.08000000000004</v>
      </c>
      <c r="M9">
        <v>0</v>
      </c>
      <c r="N9">
        <v>-518.08000000000004</v>
      </c>
      <c r="O9" t="s">
        <v>25</v>
      </c>
      <c r="P9" t="s">
        <v>3271</v>
      </c>
      <c r="Q9" t="s">
        <v>3036</v>
      </c>
      <c r="R9" t="s">
        <v>4977</v>
      </c>
      <c r="S9" t="s">
        <v>4991</v>
      </c>
      <c r="T9" t="s">
        <v>4992</v>
      </c>
    </row>
    <row r="10" spans="1:20" x14ac:dyDescent="0.25">
      <c r="A10" t="s">
        <v>593</v>
      </c>
      <c r="B10" t="s">
        <v>594</v>
      </c>
      <c r="C10" s="1">
        <v>46030.644837962966</v>
      </c>
      <c r="D10">
        <v>878.65</v>
      </c>
      <c r="E10" t="s">
        <v>52</v>
      </c>
      <c r="F10" t="s">
        <v>92</v>
      </c>
      <c r="G10" t="s">
        <v>21</v>
      </c>
      <c r="H10" t="s">
        <v>595</v>
      </c>
      <c r="I10" t="s">
        <v>3277</v>
      </c>
      <c r="J10" t="s">
        <v>3076</v>
      </c>
      <c r="K10" s="1">
        <v>46031.644837962966</v>
      </c>
      <c r="L10">
        <v>-439.33</v>
      </c>
      <c r="M10">
        <v>0</v>
      </c>
      <c r="N10">
        <v>-439.33</v>
      </c>
      <c r="O10" t="s">
        <v>52</v>
      </c>
      <c r="P10" t="s">
        <v>3278</v>
      </c>
      <c r="Q10" t="s">
        <v>3036</v>
      </c>
      <c r="R10" t="s">
        <v>4977</v>
      </c>
      <c r="S10" t="s">
        <v>4991</v>
      </c>
      <c r="T10" t="s">
        <v>4992</v>
      </c>
    </row>
    <row r="11" spans="1:20" x14ac:dyDescent="0.25">
      <c r="A11" t="s">
        <v>638</v>
      </c>
      <c r="B11" t="s">
        <v>639</v>
      </c>
      <c r="C11" s="1">
        <v>46032.037812499999</v>
      </c>
      <c r="D11">
        <v>16.93</v>
      </c>
      <c r="E11" t="s">
        <v>25</v>
      </c>
      <c r="F11" t="s">
        <v>429</v>
      </c>
      <c r="G11" t="s">
        <v>21</v>
      </c>
      <c r="H11" t="s">
        <v>640</v>
      </c>
      <c r="I11" t="s">
        <v>3297</v>
      </c>
      <c r="J11" t="s">
        <v>3076</v>
      </c>
      <c r="K11" s="1">
        <v>46033.037812499999</v>
      </c>
      <c r="L11">
        <v>-16.93</v>
      </c>
      <c r="M11">
        <v>0</v>
      </c>
      <c r="N11">
        <v>-16.93</v>
      </c>
      <c r="O11" t="s">
        <v>25</v>
      </c>
      <c r="P11" t="s">
        <v>3298</v>
      </c>
      <c r="Q11" t="s">
        <v>3036</v>
      </c>
      <c r="R11" t="s">
        <v>4977</v>
      </c>
      <c r="S11" t="s">
        <v>4991</v>
      </c>
      <c r="T11" t="s">
        <v>4992</v>
      </c>
    </row>
    <row r="12" spans="1:20" x14ac:dyDescent="0.25">
      <c r="A12" t="s">
        <v>662</v>
      </c>
      <c r="B12" t="s">
        <v>663</v>
      </c>
      <c r="C12" s="1">
        <v>46025.792615740742</v>
      </c>
      <c r="D12">
        <v>1351.31</v>
      </c>
      <c r="E12" t="s">
        <v>25</v>
      </c>
      <c r="F12" t="s">
        <v>429</v>
      </c>
      <c r="G12" t="s">
        <v>30</v>
      </c>
      <c r="H12" t="s">
        <v>664</v>
      </c>
      <c r="I12" t="s">
        <v>3307</v>
      </c>
      <c r="J12" t="s">
        <v>3076</v>
      </c>
      <c r="K12" s="1">
        <v>46026.792615740742</v>
      </c>
      <c r="L12">
        <v>-1351.31</v>
      </c>
      <c r="M12">
        <v>0</v>
      </c>
      <c r="N12">
        <v>-1351.31</v>
      </c>
      <c r="O12" t="s">
        <v>25</v>
      </c>
      <c r="P12" t="s">
        <v>3308</v>
      </c>
      <c r="Q12" t="s">
        <v>3036</v>
      </c>
      <c r="R12" t="s">
        <v>4977</v>
      </c>
      <c r="S12" t="s">
        <v>4991</v>
      </c>
      <c r="T12" t="s">
        <v>4992</v>
      </c>
    </row>
    <row r="13" spans="1:20" x14ac:dyDescent="0.25">
      <c r="A13" t="s">
        <v>695</v>
      </c>
      <c r="B13" t="s">
        <v>696</v>
      </c>
      <c r="C13" s="1">
        <v>46036.779270833336</v>
      </c>
      <c r="D13">
        <v>127.66</v>
      </c>
      <c r="E13" t="s">
        <v>25</v>
      </c>
      <c r="F13" t="s">
        <v>429</v>
      </c>
      <c r="G13" t="s">
        <v>26</v>
      </c>
      <c r="H13" t="s">
        <v>697</v>
      </c>
      <c r="I13" t="s">
        <v>3320</v>
      </c>
      <c r="J13" t="s">
        <v>3076</v>
      </c>
      <c r="K13" s="1">
        <v>46037.779270833336</v>
      </c>
      <c r="L13">
        <v>-127.66</v>
      </c>
      <c r="M13">
        <v>0</v>
      </c>
      <c r="N13">
        <v>-127.66</v>
      </c>
      <c r="O13" t="s">
        <v>25</v>
      </c>
      <c r="P13" t="s">
        <v>3321</v>
      </c>
      <c r="Q13" t="s">
        <v>3036</v>
      </c>
      <c r="R13" t="s">
        <v>4977</v>
      </c>
      <c r="S13" t="s">
        <v>4991</v>
      </c>
      <c r="T13" t="s">
        <v>4992</v>
      </c>
    </row>
    <row r="14" spans="1:20" x14ac:dyDescent="0.25">
      <c r="A14" t="s">
        <v>713</v>
      </c>
      <c r="B14" t="s">
        <v>714</v>
      </c>
      <c r="C14" s="1">
        <v>46028.347060185188</v>
      </c>
      <c r="D14">
        <v>1429.86</v>
      </c>
      <c r="E14" t="s">
        <v>52</v>
      </c>
      <c r="F14" t="s">
        <v>92</v>
      </c>
      <c r="G14" t="s">
        <v>26</v>
      </c>
      <c r="H14" t="s">
        <v>715</v>
      </c>
      <c r="I14" t="s">
        <v>3327</v>
      </c>
      <c r="J14" t="s">
        <v>3076</v>
      </c>
      <c r="K14" s="1">
        <v>46029.347060185188</v>
      </c>
      <c r="L14">
        <v>-714.93</v>
      </c>
      <c r="M14">
        <v>0</v>
      </c>
      <c r="N14">
        <v>-714.93</v>
      </c>
      <c r="O14" t="s">
        <v>52</v>
      </c>
      <c r="P14" t="s">
        <v>3328</v>
      </c>
      <c r="Q14" t="s">
        <v>3036</v>
      </c>
      <c r="R14" t="s">
        <v>4977</v>
      </c>
      <c r="S14" t="s">
        <v>4991</v>
      </c>
      <c r="T14" t="s">
        <v>4992</v>
      </c>
    </row>
    <row r="15" spans="1:20" x14ac:dyDescent="0.25">
      <c r="A15" t="s">
        <v>722</v>
      </c>
      <c r="B15" t="s">
        <v>723</v>
      </c>
      <c r="C15" s="1">
        <v>46031.614201388889</v>
      </c>
      <c r="D15">
        <v>2473.4699999999998</v>
      </c>
      <c r="E15" t="s">
        <v>25</v>
      </c>
      <c r="F15" t="s">
        <v>20</v>
      </c>
      <c r="G15" t="s">
        <v>26</v>
      </c>
      <c r="H15" t="s">
        <v>724</v>
      </c>
      <c r="I15" t="s">
        <v>3331</v>
      </c>
      <c r="J15" t="s">
        <v>3034</v>
      </c>
      <c r="K15" s="1">
        <v>46031.621145833335</v>
      </c>
      <c r="L15">
        <v>2474.58</v>
      </c>
      <c r="M15">
        <v>72.06</v>
      </c>
      <c r="N15">
        <v>2402.52</v>
      </c>
      <c r="O15" t="s">
        <v>25</v>
      </c>
      <c r="P15" t="s">
        <v>3052</v>
      </c>
      <c r="Q15" t="s">
        <v>3036</v>
      </c>
      <c r="R15" t="s">
        <v>4977</v>
      </c>
      <c r="S15" t="s">
        <v>4991</v>
      </c>
      <c r="T15" t="s">
        <v>4992</v>
      </c>
    </row>
    <row r="16" spans="1:20" x14ac:dyDescent="0.25">
      <c r="A16" t="s">
        <v>806</v>
      </c>
      <c r="B16" t="s">
        <v>807</v>
      </c>
      <c r="C16" s="1">
        <v>46032.184687499997</v>
      </c>
      <c r="D16">
        <v>1149.1600000000001</v>
      </c>
      <c r="E16" t="s">
        <v>19</v>
      </c>
      <c r="F16" t="s">
        <v>429</v>
      </c>
      <c r="G16" t="s">
        <v>30</v>
      </c>
      <c r="H16" t="s">
        <v>808</v>
      </c>
      <c r="I16" t="s">
        <v>3360</v>
      </c>
      <c r="J16" t="s">
        <v>3076</v>
      </c>
      <c r="K16" s="1">
        <v>46033.184687499997</v>
      </c>
      <c r="L16">
        <v>-1149.1600000000001</v>
      </c>
      <c r="M16">
        <v>0</v>
      </c>
      <c r="N16">
        <v>-1149.1600000000001</v>
      </c>
      <c r="O16" t="s">
        <v>19</v>
      </c>
      <c r="P16" t="s">
        <v>3361</v>
      </c>
      <c r="Q16" t="s">
        <v>3036</v>
      </c>
      <c r="R16" t="s">
        <v>4977</v>
      </c>
      <c r="S16" t="s">
        <v>4991</v>
      </c>
      <c r="T16" t="s">
        <v>4992</v>
      </c>
    </row>
    <row r="17" spans="1:20" x14ac:dyDescent="0.25">
      <c r="A17" t="s">
        <v>815</v>
      </c>
      <c r="B17" t="s">
        <v>816</v>
      </c>
      <c r="C17" s="1">
        <v>46034.465358796297</v>
      </c>
      <c r="D17">
        <v>949.56</v>
      </c>
      <c r="E17" t="s">
        <v>25</v>
      </c>
      <c r="F17" t="s">
        <v>92</v>
      </c>
      <c r="G17" t="s">
        <v>30</v>
      </c>
      <c r="H17" t="s">
        <v>817</v>
      </c>
      <c r="I17" t="s">
        <v>3365</v>
      </c>
      <c r="J17" t="s">
        <v>3076</v>
      </c>
      <c r="K17" s="1">
        <v>46035.465358796297</v>
      </c>
      <c r="L17">
        <v>-474.78</v>
      </c>
      <c r="M17">
        <v>0</v>
      </c>
      <c r="N17">
        <v>-474.78</v>
      </c>
      <c r="O17" t="s">
        <v>25</v>
      </c>
      <c r="P17" t="s">
        <v>3366</v>
      </c>
      <c r="Q17" t="s">
        <v>3036</v>
      </c>
      <c r="R17" t="s">
        <v>4977</v>
      </c>
      <c r="S17" t="s">
        <v>4991</v>
      </c>
      <c r="T17" t="s">
        <v>4992</v>
      </c>
    </row>
    <row r="18" spans="1:20" x14ac:dyDescent="0.25">
      <c r="A18" t="s">
        <v>908</v>
      </c>
      <c r="B18" t="s">
        <v>909</v>
      </c>
      <c r="C18" s="1">
        <v>46023.273333333331</v>
      </c>
      <c r="D18">
        <v>2282.7800000000002</v>
      </c>
      <c r="E18" t="s">
        <v>25</v>
      </c>
      <c r="F18" t="s">
        <v>429</v>
      </c>
      <c r="G18" t="s">
        <v>21</v>
      </c>
      <c r="H18" t="s">
        <v>910</v>
      </c>
      <c r="I18" t="s">
        <v>3403</v>
      </c>
      <c r="J18" t="s">
        <v>3076</v>
      </c>
      <c r="K18" s="1">
        <v>46024.273333333331</v>
      </c>
      <c r="L18">
        <v>-2282.7800000000002</v>
      </c>
      <c r="M18">
        <v>0</v>
      </c>
      <c r="N18">
        <v>-2282.7800000000002</v>
      </c>
      <c r="O18" t="s">
        <v>25</v>
      </c>
      <c r="P18" t="s">
        <v>3404</v>
      </c>
      <c r="Q18" t="s">
        <v>3036</v>
      </c>
      <c r="R18" t="s">
        <v>4977</v>
      </c>
      <c r="S18" t="s">
        <v>4991</v>
      </c>
      <c r="T18" t="s">
        <v>4992</v>
      </c>
    </row>
    <row r="19" spans="1:20" x14ac:dyDescent="0.25">
      <c r="A19" t="s">
        <v>1025</v>
      </c>
      <c r="B19" t="s">
        <v>1026</v>
      </c>
      <c r="C19" s="1">
        <v>46034.853738425925</v>
      </c>
      <c r="D19">
        <v>2479.2800000000002</v>
      </c>
      <c r="E19" t="s">
        <v>25</v>
      </c>
      <c r="F19" t="s">
        <v>20</v>
      </c>
      <c r="G19" t="s">
        <v>21</v>
      </c>
      <c r="H19" t="s">
        <v>1027</v>
      </c>
      <c r="I19" t="s">
        <v>3446</v>
      </c>
      <c r="J19" t="s">
        <v>3034</v>
      </c>
      <c r="K19" s="1">
        <v>46034.860682870371</v>
      </c>
      <c r="L19">
        <v>2480.39</v>
      </c>
      <c r="M19">
        <v>72.23</v>
      </c>
      <c r="N19">
        <v>2408.16</v>
      </c>
      <c r="O19" t="s">
        <v>25</v>
      </c>
      <c r="P19" t="s">
        <v>3058</v>
      </c>
      <c r="Q19" t="s">
        <v>3036</v>
      </c>
      <c r="R19" t="s">
        <v>4977</v>
      </c>
      <c r="S19" t="s">
        <v>4991</v>
      </c>
      <c r="T19" t="s">
        <v>4992</v>
      </c>
    </row>
    <row r="20" spans="1:20" x14ac:dyDescent="0.25">
      <c r="A20" t="s">
        <v>1034</v>
      </c>
      <c r="B20" t="s">
        <v>1035</v>
      </c>
      <c r="C20" s="1">
        <v>46024.148252314815</v>
      </c>
      <c r="D20">
        <v>210.19</v>
      </c>
      <c r="E20" t="s">
        <v>25</v>
      </c>
      <c r="F20" t="s">
        <v>20</v>
      </c>
      <c r="G20" t="s">
        <v>21</v>
      </c>
      <c r="H20" t="s">
        <v>1036</v>
      </c>
      <c r="I20" t="s">
        <v>3448</v>
      </c>
      <c r="J20" t="s">
        <v>3034</v>
      </c>
      <c r="K20" s="1">
        <v>46024.15519675926</v>
      </c>
      <c r="L20">
        <v>211.3</v>
      </c>
      <c r="M20">
        <v>6.43</v>
      </c>
      <c r="N20">
        <v>204.87</v>
      </c>
      <c r="O20" t="s">
        <v>25</v>
      </c>
      <c r="P20" t="s">
        <v>3064</v>
      </c>
      <c r="Q20" t="s">
        <v>3036</v>
      </c>
      <c r="R20" t="s">
        <v>4977</v>
      </c>
      <c r="S20" t="s">
        <v>4991</v>
      </c>
      <c r="T20" t="s">
        <v>4992</v>
      </c>
    </row>
    <row r="21" spans="1:20" x14ac:dyDescent="0.25">
      <c r="A21" t="s">
        <v>1073</v>
      </c>
      <c r="B21" t="s">
        <v>1074</v>
      </c>
      <c r="C21" s="1">
        <v>46036.323819444442</v>
      </c>
      <c r="D21">
        <v>2107.5100000000002</v>
      </c>
      <c r="E21" t="s">
        <v>52</v>
      </c>
      <c r="F21" t="s">
        <v>429</v>
      </c>
      <c r="G21" t="s">
        <v>26</v>
      </c>
      <c r="H21" t="s">
        <v>1075</v>
      </c>
      <c r="I21" t="s">
        <v>3463</v>
      </c>
      <c r="J21" t="s">
        <v>3076</v>
      </c>
      <c r="K21" s="1">
        <v>46037.323819444442</v>
      </c>
      <c r="L21">
        <v>-2107.5100000000002</v>
      </c>
      <c r="M21">
        <v>0</v>
      </c>
      <c r="N21">
        <v>-2107.5100000000002</v>
      </c>
      <c r="O21" t="s">
        <v>52</v>
      </c>
      <c r="P21" t="s">
        <v>3464</v>
      </c>
      <c r="Q21" t="s">
        <v>3036</v>
      </c>
      <c r="R21" t="s">
        <v>4977</v>
      </c>
      <c r="S21" t="s">
        <v>4991</v>
      </c>
      <c r="T21" t="s">
        <v>4992</v>
      </c>
    </row>
    <row r="22" spans="1:20" x14ac:dyDescent="0.25">
      <c r="A22" t="s">
        <v>1124</v>
      </c>
      <c r="B22" t="s">
        <v>1125</v>
      </c>
      <c r="C22" s="1">
        <v>46025.901956018519</v>
      </c>
      <c r="D22">
        <v>1279.97</v>
      </c>
      <c r="E22" t="s">
        <v>25</v>
      </c>
      <c r="F22" t="s">
        <v>92</v>
      </c>
      <c r="G22" t="s">
        <v>21</v>
      </c>
      <c r="H22" t="s">
        <v>1126</v>
      </c>
      <c r="I22" t="s">
        <v>3497</v>
      </c>
      <c r="J22" t="s">
        <v>3076</v>
      </c>
      <c r="K22" s="1">
        <v>46026.901956018519</v>
      </c>
      <c r="L22">
        <v>-639.99</v>
      </c>
      <c r="M22">
        <v>0</v>
      </c>
      <c r="N22">
        <v>-639.99</v>
      </c>
      <c r="O22" t="s">
        <v>25</v>
      </c>
      <c r="P22" t="s">
        <v>3498</v>
      </c>
      <c r="Q22" t="s">
        <v>3036</v>
      </c>
      <c r="R22" t="s">
        <v>4977</v>
      </c>
      <c r="S22" t="s">
        <v>4991</v>
      </c>
      <c r="T22" t="s">
        <v>4992</v>
      </c>
    </row>
    <row r="23" spans="1:20" x14ac:dyDescent="0.25">
      <c r="A23" t="s">
        <v>1169</v>
      </c>
      <c r="B23" t="s">
        <v>1170</v>
      </c>
      <c r="C23" s="1">
        <v>46026.276064814818</v>
      </c>
      <c r="D23">
        <v>1695.16</v>
      </c>
      <c r="E23" t="s">
        <v>25</v>
      </c>
      <c r="F23" t="s">
        <v>92</v>
      </c>
      <c r="G23" t="s">
        <v>21</v>
      </c>
      <c r="H23" t="s">
        <v>1171</v>
      </c>
      <c r="I23" t="s">
        <v>3522</v>
      </c>
      <c r="J23" t="s">
        <v>3076</v>
      </c>
      <c r="K23" s="1">
        <v>46027.276064814818</v>
      </c>
      <c r="L23">
        <v>-847.58</v>
      </c>
      <c r="M23">
        <v>0</v>
      </c>
      <c r="N23">
        <v>-847.58</v>
      </c>
      <c r="O23" t="s">
        <v>25</v>
      </c>
      <c r="P23" t="s">
        <v>3523</v>
      </c>
      <c r="Q23" t="s">
        <v>3036</v>
      </c>
      <c r="R23" t="s">
        <v>4977</v>
      </c>
      <c r="S23" t="s">
        <v>4991</v>
      </c>
      <c r="T23" t="s">
        <v>4992</v>
      </c>
    </row>
    <row r="24" spans="1:20" x14ac:dyDescent="0.25">
      <c r="A24" t="s">
        <v>1196</v>
      </c>
      <c r="B24" t="s">
        <v>1197</v>
      </c>
      <c r="C24" s="1">
        <v>46036.070775462962</v>
      </c>
      <c r="D24">
        <v>804.62</v>
      </c>
      <c r="E24" t="s">
        <v>19</v>
      </c>
      <c r="F24" t="s">
        <v>20</v>
      </c>
      <c r="G24" t="s">
        <v>21</v>
      </c>
      <c r="H24" t="s">
        <v>1198</v>
      </c>
      <c r="I24" t="s">
        <v>3534</v>
      </c>
      <c r="J24" t="s">
        <v>3034</v>
      </c>
      <c r="K24" s="1">
        <v>46036.077719907407</v>
      </c>
      <c r="L24">
        <v>805.73</v>
      </c>
      <c r="M24">
        <v>23.67</v>
      </c>
      <c r="N24">
        <v>782.06</v>
      </c>
      <c r="O24" t="s">
        <v>19</v>
      </c>
      <c r="P24" t="s">
        <v>3535</v>
      </c>
      <c r="Q24" t="s">
        <v>3036</v>
      </c>
      <c r="R24" t="s">
        <v>4977</v>
      </c>
      <c r="S24" t="s">
        <v>4991</v>
      </c>
      <c r="T24" t="s">
        <v>4992</v>
      </c>
    </row>
    <row r="25" spans="1:20" x14ac:dyDescent="0.25">
      <c r="A25" t="s">
        <v>1223</v>
      </c>
      <c r="B25" t="s">
        <v>1224</v>
      </c>
      <c r="C25" s="1">
        <v>46030.924305555556</v>
      </c>
      <c r="D25">
        <v>84.97</v>
      </c>
      <c r="E25" t="s">
        <v>52</v>
      </c>
      <c r="F25" t="s">
        <v>92</v>
      </c>
      <c r="G25" t="s">
        <v>21</v>
      </c>
      <c r="H25" t="s">
        <v>1225</v>
      </c>
      <c r="I25" t="s">
        <v>3546</v>
      </c>
      <c r="J25" t="s">
        <v>3076</v>
      </c>
      <c r="K25" s="1">
        <v>46031.924305555556</v>
      </c>
      <c r="L25">
        <v>-42.49</v>
      </c>
      <c r="M25">
        <v>0</v>
      </c>
      <c r="N25">
        <v>-42.49</v>
      </c>
      <c r="O25" t="s">
        <v>52</v>
      </c>
      <c r="P25" t="s">
        <v>3547</v>
      </c>
      <c r="Q25" t="s">
        <v>3036</v>
      </c>
      <c r="R25" t="s">
        <v>4977</v>
      </c>
      <c r="S25" t="s">
        <v>4991</v>
      </c>
      <c r="T25" t="s">
        <v>4992</v>
      </c>
    </row>
    <row r="26" spans="1:20" x14ac:dyDescent="0.25">
      <c r="A26" t="s">
        <v>1289</v>
      </c>
      <c r="B26" t="s">
        <v>1290</v>
      </c>
      <c r="C26" s="1">
        <v>46024.928506944445</v>
      </c>
      <c r="D26">
        <v>1001.59</v>
      </c>
      <c r="E26" t="s">
        <v>25</v>
      </c>
      <c r="F26" t="s">
        <v>20</v>
      </c>
      <c r="G26" t="s">
        <v>26</v>
      </c>
      <c r="H26" t="s">
        <v>1291</v>
      </c>
      <c r="I26" t="s">
        <v>3578</v>
      </c>
      <c r="J26" t="s">
        <v>3034</v>
      </c>
      <c r="K26" s="1">
        <v>46024.93545138889</v>
      </c>
      <c r="L26">
        <v>1002.7</v>
      </c>
      <c r="M26">
        <v>29.38</v>
      </c>
      <c r="N26">
        <v>973.32</v>
      </c>
      <c r="O26" t="s">
        <v>25</v>
      </c>
      <c r="P26" t="s">
        <v>3468</v>
      </c>
      <c r="Q26" t="s">
        <v>3036</v>
      </c>
      <c r="R26" t="s">
        <v>4977</v>
      </c>
      <c r="S26" t="s">
        <v>4991</v>
      </c>
      <c r="T26" t="s">
        <v>4992</v>
      </c>
    </row>
    <row r="27" spans="1:20" x14ac:dyDescent="0.25">
      <c r="A27" t="s">
        <v>1316</v>
      </c>
      <c r="B27" t="s">
        <v>1317</v>
      </c>
      <c r="C27" s="1">
        <v>46033.767210648148</v>
      </c>
      <c r="D27">
        <v>1218.07</v>
      </c>
      <c r="E27" t="s">
        <v>19</v>
      </c>
      <c r="F27" t="s">
        <v>92</v>
      </c>
      <c r="G27" t="s">
        <v>26</v>
      </c>
      <c r="H27" t="s">
        <v>1318</v>
      </c>
      <c r="I27" t="s">
        <v>3590</v>
      </c>
      <c r="J27" t="s">
        <v>3076</v>
      </c>
      <c r="K27" s="1">
        <v>46034.767210648148</v>
      </c>
      <c r="L27">
        <v>-609.04</v>
      </c>
      <c r="M27">
        <v>0</v>
      </c>
      <c r="N27">
        <v>-609.04</v>
      </c>
      <c r="O27" t="s">
        <v>19</v>
      </c>
      <c r="P27" t="s">
        <v>3591</v>
      </c>
      <c r="Q27" t="s">
        <v>3036</v>
      </c>
      <c r="R27" t="s">
        <v>4977</v>
      </c>
      <c r="S27" t="s">
        <v>4991</v>
      </c>
      <c r="T27" t="s">
        <v>4992</v>
      </c>
    </row>
    <row r="28" spans="1:20" x14ac:dyDescent="0.25">
      <c r="A28" t="s">
        <v>1340</v>
      </c>
      <c r="B28" t="s">
        <v>1341</v>
      </c>
      <c r="C28" s="1">
        <v>46027.489340277774</v>
      </c>
      <c r="D28">
        <v>822.81</v>
      </c>
      <c r="E28" t="s">
        <v>25</v>
      </c>
      <c r="F28" t="s">
        <v>429</v>
      </c>
      <c r="G28" t="s">
        <v>21</v>
      </c>
      <c r="H28" t="s">
        <v>1342</v>
      </c>
      <c r="I28" t="s">
        <v>3600</v>
      </c>
      <c r="J28" t="s">
        <v>3076</v>
      </c>
      <c r="K28" s="1">
        <v>46028.489340277774</v>
      </c>
      <c r="L28">
        <v>-822.81</v>
      </c>
      <c r="M28">
        <v>0</v>
      </c>
      <c r="N28">
        <v>-822.81</v>
      </c>
      <c r="O28" t="s">
        <v>25</v>
      </c>
      <c r="P28" t="s">
        <v>3601</v>
      </c>
      <c r="Q28" t="s">
        <v>3036</v>
      </c>
      <c r="R28" t="s">
        <v>4977</v>
      </c>
      <c r="S28" t="s">
        <v>4991</v>
      </c>
      <c r="T28" t="s">
        <v>4992</v>
      </c>
    </row>
    <row r="29" spans="1:20" x14ac:dyDescent="0.25">
      <c r="A29" t="s">
        <v>1358</v>
      </c>
      <c r="B29" t="s">
        <v>1359</v>
      </c>
      <c r="C29" s="1">
        <v>46034.056145833332</v>
      </c>
      <c r="D29">
        <v>884.84</v>
      </c>
      <c r="E29" t="s">
        <v>25</v>
      </c>
      <c r="F29" t="s">
        <v>92</v>
      </c>
      <c r="G29" t="s">
        <v>21</v>
      </c>
      <c r="H29" t="s">
        <v>1360</v>
      </c>
      <c r="I29" t="s">
        <v>3608</v>
      </c>
      <c r="J29" t="s">
        <v>3076</v>
      </c>
      <c r="K29" s="1">
        <v>46035.056145833332</v>
      </c>
      <c r="L29">
        <v>-442.42</v>
      </c>
      <c r="M29">
        <v>0</v>
      </c>
      <c r="N29">
        <v>-442.42</v>
      </c>
      <c r="O29" t="s">
        <v>25</v>
      </c>
      <c r="P29" t="s">
        <v>3609</v>
      </c>
      <c r="Q29" t="s">
        <v>3036</v>
      </c>
      <c r="R29" t="s">
        <v>4977</v>
      </c>
      <c r="S29" t="s">
        <v>4991</v>
      </c>
      <c r="T29" t="s">
        <v>4992</v>
      </c>
    </row>
    <row r="30" spans="1:20" x14ac:dyDescent="0.25">
      <c r="A30" t="s">
        <v>1430</v>
      </c>
      <c r="B30" t="s">
        <v>1431</v>
      </c>
      <c r="C30" s="1">
        <v>46029.250277777777</v>
      </c>
      <c r="D30">
        <v>722.27</v>
      </c>
      <c r="E30" t="s">
        <v>25</v>
      </c>
      <c r="F30" t="s">
        <v>429</v>
      </c>
      <c r="G30" t="s">
        <v>21</v>
      </c>
      <c r="H30" t="s">
        <v>1432</v>
      </c>
      <c r="I30" t="s">
        <v>3632</v>
      </c>
      <c r="J30" t="s">
        <v>3076</v>
      </c>
      <c r="K30" s="1">
        <v>46030.250277777777</v>
      </c>
      <c r="L30">
        <v>-722.27</v>
      </c>
      <c r="M30">
        <v>0</v>
      </c>
      <c r="N30">
        <v>-722.27</v>
      </c>
      <c r="O30" t="s">
        <v>25</v>
      </c>
      <c r="P30" t="s">
        <v>3633</v>
      </c>
      <c r="Q30" t="s">
        <v>3036</v>
      </c>
      <c r="R30" t="s">
        <v>4977</v>
      </c>
      <c r="S30" t="s">
        <v>4991</v>
      </c>
      <c r="T30" t="s">
        <v>4992</v>
      </c>
    </row>
    <row r="31" spans="1:20" x14ac:dyDescent="0.25">
      <c r="A31" t="s">
        <v>1451</v>
      </c>
      <c r="B31" t="s">
        <v>1452</v>
      </c>
      <c r="C31" s="1">
        <v>46036.871319444443</v>
      </c>
      <c r="D31">
        <v>952.14</v>
      </c>
      <c r="E31" t="s">
        <v>25</v>
      </c>
      <c r="F31" t="s">
        <v>429</v>
      </c>
      <c r="G31" t="s">
        <v>26</v>
      </c>
      <c r="H31" t="s">
        <v>1453</v>
      </c>
      <c r="I31" t="s">
        <v>3642</v>
      </c>
      <c r="J31" t="s">
        <v>3076</v>
      </c>
      <c r="K31" s="1">
        <v>46037.871319444443</v>
      </c>
      <c r="L31">
        <v>-952.14</v>
      </c>
      <c r="M31">
        <v>0</v>
      </c>
      <c r="N31">
        <v>-952.14</v>
      </c>
      <c r="O31" t="s">
        <v>25</v>
      </c>
      <c r="P31" t="s">
        <v>3643</v>
      </c>
      <c r="Q31" t="s">
        <v>3036</v>
      </c>
      <c r="R31" t="s">
        <v>4977</v>
      </c>
      <c r="S31" t="s">
        <v>4991</v>
      </c>
      <c r="T31" t="s">
        <v>4992</v>
      </c>
    </row>
    <row r="32" spans="1:20" x14ac:dyDescent="0.25">
      <c r="A32" t="s">
        <v>1484</v>
      </c>
      <c r="B32" t="s">
        <v>1485</v>
      </c>
      <c r="C32" s="1">
        <v>46033.896527777775</v>
      </c>
      <c r="D32">
        <v>1066.55</v>
      </c>
      <c r="E32" t="s">
        <v>25</v>
      </c>
      <c r="F32" t="s">
        <v>92</v>
      </c>
      <c r="G32" t="s">
        <v>21</v>
      </c>
      <c r="H32" t="s">
        <v>1486</v>
      </c>
      <c r="I32" t="s">
        <v>3656</v>
      </c>
      <c r="J32" t="s">
        <v>3076</v>
      </c>
      <c r="K32" s="1">
        <v>46034.896527777775</v>
      </c>
      <c r="L32">
        <v>-533.28</v>
      </c>
      <c r="M32">
        <v>0</v>
      </c>
      <c r="N32">
        <v>-533.28</v>
      </c>
      <c r="O32" t="s">
        <v>25</v>
      </c>
      <c r="P32" t="s">
        <v>3657</v>
      </c>
      <c r="Q32" t="s">
        <v>3036</v>
      </c>
      <c r="R32" t="s">
        <v>4977</v>
      </c>
      <c r="S32" t="s">
        <v>4991</v>
      </c>
      <c r="T32" t="s">
        <v>4992</v>
      </c>
    </row>
    <row r="33" spans="1:20" x14ac:dyDescent="0.25">
      <c r="A33" t="s">
        <v>1553</v>
      </c>
      <c r="B33" t="s">
        <v>1554</v>
      </c>
      <c r="C33" s="1">
        <v>46029.003668981481</v>
      </c>
      <c r="D33">
        <v>924.9</v>
      </c>
      <c r="E33" t="s">
        <v>52</v>
      </c>
      <c r="F33" t="s">
        <v>20</v>
      </c>
      <c r="G33" t="s">
        <v>30</v>
      </c>
      <c r="H33" t="s">
        <v>1555</v>
      </c>
      <c r="I33" t="s">
        <v>3681</v>
      </c>
      <c r="J33" t="s">
        <v>3034</v>
      </c>
      <c r="K33" s="1">
        <v>46029.010613425926</v>
      </c>
      <c r="L33">
        <v>926.01</v>
      </c>
      <c r="M33">
        <v>27.15</v>
      </c>
      <c r="N33">
        <v>898.86</v>
      </c>
      <c r="O33" t="s">
        <v>52</v>
      </c>
      <c r="P33" t="s">
        <v>3502</v>
      </c>
      <c r="Q33" t="s">
        <v>3036</v>
      </c>
      <c r="R33" t="s">
        <v>4977</v>
      </c>
      <c r="S33" t="s">
        <v>4991</v>
      </c>
      <c r="T33" t="s">
        <v>4992</v>
      </c>
    </row>
    <row r="34" spans="1:20" x14ac:dyDescent="0.25">
      <c r="A34" t="s">
        <v>1577</v>
      </c>
      <c r="B34" t="s">
        <v>1578</v>
      </c>
      <c r="C34" s="1">
        <v>46036.74318287037</v>
      </c>
      <c r="D34">
        <v>1175.8499999999999</v>
      </c>
      <c r="E34" t="s">
        <v>25</v>
      </c>
      <c r="F34" t="s">
        <v>429</v>
      </c>
      <c r="G34" t="s">
        <v>26</v>
      </c>
      <c r="H34" t="s">
        <v>1579</v>
      </c>
      <c r="I34" t="s">
        <v>3691</v>
      </c>
      <c r="J34" t="s">
        <v>3076</v>
      </c>
      <c r="K34" s="1">
        <v>46037.74318287037</v>
      </c>
      <c r="L34">
        <v>-1175.8499999999999</v>
      </c>
      <c r="M34">
        <v>0</v>
      </c>
      <c r="N34">
        <v>-1175.8499999999999</v>
      </c>
      <c r="O34" t="s">
        <v>25</v>
      </c>
      <c r="P34" t="s">
        <v>3692</v>
      </c>
      <c r="Q34" t="s">
        <v>3036</v>
      </c>
      <c r="R34" t="s">
        <v>4977</v>
      </c>
      <c r="S34" t="s">
        <v>4991</v>
      </c>
      <c r="T34" t="s">
        <v>4992</v>
      </c>
    </row>
    <row r="35" spans="1:20" x14ac:dyDescent="0.25">
      <c r="A35" t="s">
        <v>1682</v>
      </c>
      <c r="B35" t="s">
        <v>1683</v>
      </c>
      <c r="C35" s="1">
        <v>46029.949282407404</v>
      </c>
      <c r="D35">
        <v>2104.71</v>
      </c>
      <c r="E35" t="s">
        <v>25</v>
      </c>
      <c r="F35" t="s">
        <v>20</v>
      </c>
      <c r="G35" t="s">
        <v>21</v>
      </c>
      <c r="H35" t="s">
        <v>1684</v>
      </c>
      <c r="I35" t="s">
        <v>3728</v>
      </c>
      <c r="J35" t="s">
        <v>3034</v>
      </c>
      <c r="K35" s="1">
        <v>46029.956226851849</v>
      </c>
      <c r="L35">
        <v>2105.8200000000002</v>
      </c>
      <c r="M35">
        <v>61.37</v>
      </c>
      <c r="N35">
        <v>2044.45</v>
      </c>
      <c r="O35" t="s">
        <v>25</v>
      </c>
      <c r="P35" t="s">
        <v>3478</v>
      </c>
      <c r="Q35" t="s">
        <v>3036</v>
      </c>
      <c r="R35" t="s">
        <v>4977</v>
      </c>
      <c r="S35" t="s">
        <v>4991</v>
      </c>
      <c r="T35" t="s">
        <v>4992</v>
      </c>
    </row>
    <row r="36" spans="1:20" x14ac:dyDescent="0.25">
      <c r="A36" t="s">
        <v>1814</v>
      </c>
      <c r="B36" t="s">
        <v>1815</v>
      </c>
      <c r="C36" s="1">
        <v>46031.951898148145</v>
      </c>
      <c r="D36">
        <v>1302.3499999999999</v>
      </c>
      <c r="E36" t="s">
        <v>25</v>
      </c>
      <c r="F36" t="s">
        <v>20</v>
      </c>
      <c r="G36" t="s">
        <v>30</v>
      </c>
      <c r="H36" t="s">
        <v>1816</v>
      </c>
      <c r="I36" t="s">
        <v>3776</v>
      </c>
      <c r="J36" t="s">
        <v>3034</v>
      </c>
      <c r="K36" s="1">
        <v>46031.95884259259</v>
      </c>
      <c r="L36">
        <v>1303.46</v>
      </c>
      <c r="M36">
        <v>38.1</v>
      </c>
      <c r="N36">
        <v>1265.3599999999999</v>
      </c>
      <c r="O36" t="s">
        <v>25</v>
      </c>
      <c r="P36" t="s">
        <v>3482</v>
      </c>
      <c r="Q36" t="s">
        <v>3036</v>
      </c>
      <c r="R36" t="s">
        <v>4977</v>
      </c>
      <c r="S36" t="s">
        <v>4991</v>
      </c>
      <c r="T36" t="s">
        <v>4992</v>
      </c>
    </row>
    <row r="37" spans="1:20" x14ac:dyDescent="0.25">
      <c r="A37" t="s">
        <v>1847</v>
      </c>
      <c r="B37" t="s">
        <v>1848</v>
      </c>
      <c r="C37" s="1">
        <v>46028.991261574076</v>
      </c>
      <c r="D37">
        <v>1103.1400000000001</v>
      </c>
      <c r="E37" t="s">
        <v>25</v>
      </c>
      <c r="F37" t="s">
        <v>92</v>
      </c>
      <c r="G37" t="s">
        <v>26</v>
      </c>
      <c r="H37" t="s">
        <v>1849</v>
      </c>
      <c r="I37" t="s">
        <v>3788</v>
      </c>
      <c r="J37" t="s">
        <v>3076</v>
      </c>
      <c r="K37" s="1">
        <v>46029.991261574076</v>
      </c>
      <c r="L37">
        <v>-551.57000000000005</v>
      </c>
      <c r="M37">
        <v>0</v>
      </c>
      <c r="N37">
        <v>-551.57000000000005</v>
      </c>
      <c r="O37" t="s">
        <v>25</v>
      </c>
      <c r="P37" t="s">
        <v>3789</v>
      </c>
      <c r="Q37" t="s">
        <v>3036</v>
      </c>
      <c r="R37" t="s">
        <v>4977</v>
      </c>
      <c r="S37" t="s">
        <v>4991</v>
      </c>
      <c r="T37" t="s">
        <v>4992</v>
      </c>
    </row>
    <row r="38" spans="1:20" x14ac:dyDescent="0.25">
      <c r="A38" t="s">
        <v>1886</v>
      </c>
      <c r="B38" t="s">
        <v>1887</v>
      </c>
      <c r="C38" s="1">
        <v>46028.185740740744</v>
      </c>
      <c r="D38">
        <v>911.79</v>
      </c>
      <c r="E38" t="s">
        <v>19</v>
      </c>
      <c r="F38" t="s">
        <v>20</v>
      </c>
      <c r="G38" t="s">
        <v>30</v>
      </c>
      <c r="H38" t="s">
        <v>1888</v>
      </c>
      <c r="I38" t="s">
        <v>3802</v>
      </c>
      <c r="J38" t="s">
        <v>3034</v>
      </c>
      <c r="K38" s="1">
        <v>46028.192685185182</v>
      </c>
      <c r="L38">
        <v>912.9</v>
      </c>
      <c r="M38">
        <v>26.77</v>
      </c>
      <c r="N38">
        <v>886.13</v>
      </c>
      <c r="O38" t="s">
        <v>19</v>
      </c>
      <c r="P38" t="s">
        <v>3563</v>
      </c>
      <c r="Q38" t="s">
        <v>3036</v>
      </c>
      <c r="R38" t="s">
        <v>4977</v>
      </c>
      <c r="S38" t="s">
        <v>4991</v>
      </c>
      <c r="T38" t="s">
        <v>4992</v>
      </c>
    </row>
    <row r="39" spans="1:20" x14ac:dyDescent="0.25">
      <c r="A39" t="s">
        <v>2090</v>
      </c>
      <c r="B39" t="s">
        <v>2091</v>
      </c>
      <c r="C39" s="1">
        <v>46025.411377314813</v>
      </c>
      <c r="D39">
        <v>713.36</v>
      </c>
      <c r="E39" t="s">
        <v>25</v>
      </c>
      <c r="F39" t="s">
        <v>429</v>
      </c>
      <c r="G39" t="s">
        <v>26</v>
      </c>
      <c r="H39" t="s">
        <v>2092</v>
      </c>
      <c r="I39" t="s">
        <v>3874</v>
      </c>
      <c r="J39" t="s">
        <v>3076</v>
      </c>
      <c r="K39" s="1">
        <v>46026.411377314813</v>
      </c>
      <c r="L39">
        <v>-713.36</v>
      </c>
      <c r="M39">
        <v>0</v>
      </c>
      <c r="N39">
        <v>-713.36</v>
      </c>
      <c r="O39" t="s">
        <v>25</v>
      </c>
      <c r="P39" t="s">
        <v>3875</v>
      </c>
      <c r="Q39" t="s">
        <v>3036</v>
      </c>
      <c r="R39" t="s">
        <v>4977</v>
      </c>
      <c r="S39" t="s">
        <v>4991</v>
      </c>
      <c r="T39" t="s">
        <v>4992</v>
      </c>
    </row>
    <row r="40" spans="1:20" x14ac:dyDescent="0.25">
      <c r="A40" t="s">
        <v>2129</v>
      </c>
      <c r="B40" t="s">
        <v>2130</v>
      </c>
      <c r="C40" s="1">
        <v>46024.577893518515</v>
      </c>
      <c r="D40">
        <v>2117.7600000000002</v>
      </c>
      <c r="E40" t="s">
        <v>25</v>
      </c>
      <c r="F40" t="s">
        <v>92</v>
      </c>
      <c r="G40" t="s">
        <v>30</v>
      </c>
      <c r="H40" t="s">
        <v>2131</v>
      </c>
      <c r="I40" t="s">
        <v>3891</v>
      </c>
      <c r="J40" t="s">
        <v>3076</v>
      </c>
      <c r="K40" s="1">
        <v>46025.577893518515</v>
      </c>
      <c r="L40">
        <v>-1058.8800000000001</v>
      </c>
      <c r="M40">
        <v>0</v>
      </c>
      <c r="N40">
        <v>-1058.8800000000001</v>
      </c>
      <c r="O40" t="s">
        <v>25</v>
      </c>
      <c r="P40" t="s">
        <v>3892</v>
      </c>
      <c r="Q40" t="s">
        <v>3036</v>
      </c>
      <c r="R40" t="s">
        <v>4977</v>
      </c>
      <c r="S40" t="s">
        <v>4991</v>
      </c>
      <c r="T40" t="s">
        <v>4992</v>
      </c>
    </row>
    <row r="41" spans="1:20" x14ac:dyDescent="0.25">
      <c r="A41" t="s">
        <v>2228</v>
      </c>
      <c r="B41" t="s">
        <v>2229</v>
      </c>
      <c r="C41" s="1">
        <v>46029.611273148148</v>
      </c>
      <c r="D41">
        <v>1893.86</v>
      </c>
      <c r="E41" t="s">
        <v>25</v>
      </c>
      <c r="F41" t="s">
        <v>20</v>
      </c>
      <c r="G41" t="s">
        <v>30</v>
      </c>
      <c r="H41" t="s">
        <v>2230</v>
      </c>
      <c r="I41" t="s">
        <v>3947</v>
      </c>
      <c r="J41" t="s">
        <v>3034</v>
      </c>
      <c r="K41" s="1">
        <v>46029.618217592593</v>
      </c>
      <c r="L41">
        <v>1894.97</v>
      </c>
      <c r="M41">
        <v>55.25</v>
      </c>
      <c r="N41">
        <v>1839.72</v>
      </c>
      <c r="O41" t="s">
        <v>25</v>
      </c>
      <c r="P41" t="s">
        <v>3902</v>
      </c>
      <c r="Q41" t="s">
        <v>3036</v>
      </c>
      <c r="R41" t="s">
        <v>4977</v>
      </c>
      <c r="S41" t="s">
        <v>4991</v>
      </c>
      <c r="T41" t="s">
        <v>4992</v>
      </c>
    </row>
    <row r="42" spans="1:20" x14ac:dyDescent="0.25">
      <c r="A42" t="s">
        <v>2261</v>
      </c>
      <c r="B42" t="s">
        <v>2262</v>
      </c>
      <c r="C42" s="1">
        <v>46026.628495370373</v>
      </c>
      <c r="D42">
        <v>764.09</v>
      </c>
      <c r="E42" t="s">
        <v>25</v>
      </c>
      <c r="F42" t="s">
        <v>429</v>
      </c>
      <c r="G42" t="s">
        <v>26</v>
      </c>
      <c r="H42" t="s">
        <v>2263</v>
      </c>
      <c r="I42" t="s">
        <v>3962</v>
      </c>
      <c r="J42" t="s">
        <v>3076</v>
      </c>
      <c r="K42" s="1">
        <v>46027.628495370373</v>
      </c>
      <c r="L42">
        <v>-764.09</v>
      </c>
      <c r="M42">
        <v>0</v>
      </c>
      <c r="N42">
        <v>-764.09</v>
      </c>
      <c r="O42" t="s">
        <v>25</v>
      </c>
      <c r="P42" t="s">
        <v>3963</v>
      </c>
      <c r="Q42" t="s">
        <v>3036</v>
      </c>
      <c r="R42" t="s">
        <v>4977</v>
      </c>
      <c r="S42" t="s">
        <v>4991</v>
      </c>
      <c r="T42" t="s">
        <v>4992</v>
      </c>
    </row>
    <row r="43" spans="1:20" x14ac:dyDescent="0.25">
      <c r="A43" t="s">
        <v>2276</v>
      </c>
      <c r="B43" t="s">
        <v>2277</v>
      </c>
      <c r="C43" s="1">
        <v>46032.073761574073</v>
      </c>
      <c r="D43">
        <v>1070.48</v>
      </c>
      <c r="E43" t="s">
        <v>19</v>
      </c>
      <c r="F43" t="s">
        <v>429</v>
      </c>
      <c r="G43" t="s">
        <v>21</v>
      </c>
      <c r="H43" t="s">
        <v>2278</v>
      </c>
      <c r="I43" t="s">
        <v>3971</v>
      </c>
      <c r="J43" t="s">
        <v>3076</v>
      </c>
      <c r="K43" s="1">
        <v>46033.073761574073</v>
      </c>
      <c r="L43">
        <v>-1070.48</v>
      </c>
      <c r="M43">
        <v>0</v>
      </c>
      <c r="N43">
        <v>-1070.48</v>
      </c>
      <c r="O43" t="s">
        <v>19</v>
      </c>
      <c r="P43" t="s">
        <v>3972</v>
      </c>
      <c r="Q43" t="s">
        <v>3036</v>
      </c>
      <c r="R43" t="s">
        <v>4977</v>
      </c>
      <c r="S43" t="s">
        <v>4991</v>
      </c>
      <c r="T43" t="s">
        <v>4992</v>
      </c>
    </row>
    <row r="44" spans="1:20" x14ac:dyDescent="0.25">
      <c r="A44" t="s">
        <v>2330</v>
      </c>
      <c r="B44" t="s">
        <v>2331</v>
      </c>
      <c r="C44" s="1">
        <v>46035.743807870371</v>
      </c>
      <c r="D44">
        <v>2241.6</v>
      </c>
      <c r="E44" t="s">
        <v>25</v>
      </c>
      <c r="F44" t="s">
        <v>20</v>
      </c>
      <c r="G44" t="s">
        <v>21</v>
      </c>
      <c r="H44" t="s">
        <v>2332</v>
      </c>
      <c r="I44" t="s">
        <v>3996</v>
      </c>
      <c r="J44" t="s">
        <v>3034</v>
      </c>
      <c r="K44" s="1">
        <v>46035.750752314816</v>
      </c>
      <c r="L44">
        <v>2242.71</v>
      </c>
      <c r="M44">
        <v>65.34</v>
      </c>
      <c r="N44">
        <v>2177.37</v>
      </c>
      <c r="O44" t="s">
        <v>25</v>
      </c>
      <c r="P44" t="s">
        <v>3914</v>
      </c>
      <c r="Q44" t="s">
        <v>3036</v>
      </c>
      <c r="R44" t="s">
        <v>4977</v>
      </c>
      <c r="S44" t="s">
        <v>4991</v>
      </c>
      <c r="T44" t="s">
        <v>4992</v>
      </c>
    </row>
    <row r="45" spans="1:20" x14ac:dyDescent="0.25">
      <c r="A45" t="s">
        <v>2348</v>
      </c>
      <c r="B45" t="s">
        <v>2349</v>
      </c>
      <c r="C45" s="1">
        <v>46027.290625000001</v>
      </c>
      <c r="D45">
        <v>1911.75</v>
      </c>
      <c r="E45" t="s">
        <v>25</v>
      </c>
      <c r="F45" t="s">
        <v>20</v>
      </c>
      <c r="G45" t="s">
        <v>21</v>
      </c>
      <c r="H45" t="s">
        <v>2350</v>
      </c>
      <c r="I45" t="s">
        <v>4003</v>
      </c>
      <c r="J45" t="s">
        <v>3034</v>
      </c>
      <c r="K45" s="1">
        <v>46027.297569444447</v>
      </c>
      <c r="L45">
        <v>1912.86</v>
      </c>
      <c r="M45">
        <v>55.77</v>
      </c>
      <c r="N45">
        <v>1857.09</v>
      </c>
      <c r="O45" t="s">
        <v>25</v>
      </c>
      <c r="P45" t="s">
        <v>3923</v>
      </c>
      <c r="Q45" t="s">
        <v>3036</v>
      </c>
      <c r="R45" t="s">
        <v>4977</v>
      </c>
      <c r="S45" t="s">
        <v>4991</v>
      </c>
      <c r="T45" t="s">
        <v>4992</v>
      </c>
    </row>
    <row r="46" spans="1:20" x14ac:dyDescent="0.25">
      <c r="A46" t="s">
        <v>2372</v>
      </c>
      <c r="B46" t="s">
        <v>2373</v>
      </c>
      <c r="C46" s="1">
        <v>46036.034803240742</v>
      </c>
      <c r="D46">
        <v>1721.03</v>
      </c>
      <c r="E46" t="s">
        <v>25</v>
      </c>
      <c r="F46" t="s">
        <v>20</v>
      </c>
      <c r="G46" t="s">
        <v>30</v>
      </c>
      <c r="H46" t="s">
        <v>2374</v>
      </c>
      <c r="I46" t="s">
        <v>4011</v>
      </c>
      <c r="J46" t="s">
        <v>3034</v>
      </c>
      <c r="K46" s="1">
        <v>46036.041747685187</v>
      </c>
      <c r="L46">
        <v>1722.14</v>
      </c>
      <c r="M46">
        <v>50.24</v>
      </c>
      <c r="N46">
        <v>1671.9</v>
      </c>
      <c r="O46" t="s">
        <v>25</v>
      </c>
      <c r="P46" t="s">
        <v>3914</v>
      </c>
      <c r="Q46" t="s">
        <v>3036</v>
      </c>
      <c r="R46" t="s">
        <v>4977</v>
      </c>
      <c r="S46" t="s">
        <v>4991</v>
      </c>
      <c r="T46" t="s">
        <v>4992</v>
      </c>
    </row>
    <row r="47" spans="1:20" x14ac:dyDescent="0.25">
      <c r="A47" t="s">
        <v>2408</v>
      </c>
      <c r="B47" t="s">
        <v>2409</v>
      </c>
      <c r="C47" s="1">
        <v>46034.129212962966</v>
      </c>
      <c r="D47">
        <v>2092.8200000000002</v>
      </c>
      <c r="E47" t="s">
        <v>25</v>
      </c>
      <c r="F47" t="s">
        <v>429</v>
      </c>
      <c r="G47" t="s">
        <v>30</v>
      </c>
      <c r="H47" t="s">
        <v>2410</v>
      </c>
      <c r="I47" t="s">
        <v>4025</v>
      </c>
      <c r="J47" t="s">
        <v>3076</v>
      </c>
      <c r="K47" s="1">
        <v>46035.129212962966</v>
      </c>
      <c r="L47">
        <v>-2092.8200000000002</v>
      </c>
      <c r="M47">
        <v>0</v>
      </c>
      <c r="N47">
        <v>-2092.8200000000002</v>
      </c>
      <c r="O47" t="s">
        <v>25</v>
      </c>
      <c r="P47" t="s">
        <v>4026</v>
      </c>
      <c r="Q47" t="s">
        <v>3036</v>
      </c>
      <c r="R47" t="s">
        <v>4977</v>
      </c>
      <c r="S47" t="s">
        <v>4991</v>
      </c>
      <c r="T47" t="s">
        <v>4992</v>
      </c>
    </row>
    <row r="48" spans="1:20" x14ac:dyDescent="0.25">
      <c r="A48" t="s">
        <v>2471</v>
      </c>
      <c r="B48" t="s">
        <v>2472</v>
      </c>
      <c r="C48" s="1">
        <v>46027.049039351848</v>
      </c>
      <c r="D48">
        <v>1882.71</v>
      </c>
      <c r="E48" t="s">
        <v>25</v>
      </c>
      <c r="F48" t="s">
        <v>20</v>
      </c>
      <c r="G48" t="s">
        <v>30</v>
      </c>
      <c r="H48" t="s">
        <v>2473</v>
      </c>
      <c r="I48" t="s">
        <v>4050</v>
      </c>
      <c r="J48" t="s">
        <v>3034</v>
      </c>
      <c r="K48" s="1">
        <v>46027.055983796294</v>
      </c>
      <c r="L48">
        <v>1883.82</v>
      </c>
      <c r="M48">
        <v>54.93</v>
      </c>
      <c r="N48">
        <v>1828.89</v>
      </c>
      <c r="O48" t="s">
        <v>25</v>
      </c>
      <c r="P48" t="s">
        <v>3896</v>
      </c>
      <c r="Q48" t="s">
        <v>3036</v>
      </c>
      <c r="R48" t="s">
        <v>4977</v>
      </c>
      <c r="S48" t="s">
        <v>4991</v>
      </c>
      <c r="T48" t="s">
        <v>4992</v>
      </c>
    </row>
    <row r="49" spans="1:20" x14ac:dyDescent="0.25">
      <c r="A49" t="s">
        <v>2576</v>
      </c>
      <c r="B49" t="s">
        <v>2577</v>
      </c>
      <c r="C49" s="1">
        <v>46033.232372685183</v>
      </c>
      <c r="D49">
        <v>41.73</v>
      </c>
      <c r="E49" t="s">
        <v>19</v>
      </c>
      <c r="F49" t="s">
        <v>92</v>
      </c>
      <c r="G49" t="s">
        <v>26</v>
      </c>
      <c r="H49" t="s">
        <v>2578</v>
      </c>
      <c r="I49" t="s">
        <v>4089</v>
      </c>
      <c r="J49" t="s">
        <v>3076</v>
      </c>
      <c r="K49" s="1">
        <v>46034.232372685183</v>
      </c>
      <c r="L49">
        <v>-20.87</v>
      </c>
      <c r="M49">
        <v>0</v>
      </c>
      <c r="N49">
        <v>-20.87</v>
      </c>
      <c r="O49" t="s">
        <v>19</v>
      </c>
      <c r="P49" t="s">
        <v>4090</v>
      </c>
      <c r="Q49" t="s">
        <v>3036</v>
      </c>
      <c r="R49" t="s">
        <v>4977</v>
      </c>
      <c r="S49" t="s">
        <v>4991</v>
      </c>
      <c r="T49" t="s">
        <v>4992</v>
      </c>
    </row>
    <row r="50" spans="1:20" x14ac:dyDescent="0.25">
      <c r="A50" t="s">
        <v>2636</v>
      </c>
      <c r="B50" t="s">
        <v>2637</v>
      </c>
      <c r="C50" s="1">
        <v>46026.098032407404</v>
      </c>
      <c r="D50">
        <v>2348.33</v>
      </c>
      <c r="E50" t="s">
        <v>19</v>
      </c>
      <c r="F50" t="s">
        <v>92</v>
      </c>
      <c r="G50" t="s">
        <v>21</v>
      </c>
      <c r="H50" t="s">
        <v>2638</v>
      </c>
      <c r="I50" t="s">
        <v>4112</v>
      </c>
      <c r="J50" t="s">
        <v>3076</v>
      </c>
      <c r="K50" s="1">
        <v>46027.098032407404</v>
      </c>
      <c r="L50">
        <v>-1174.17</v>
      </c>
      <c r="M50">
        <v>0</v>
      </c>
      <c r="N50">
        <v>-1174.17</v>
      </c>
      <c r="O50" t="s">
        <v>19</v>
      </c>
      <c r="P50" t="s">
        <v>4113</v>
      </c>
      <c r="Q50" t="s">
        <v>3036</v>
      </c>
      <c r="R50" t="s">
        <v>4977</v>
      </c>
      <c r="S50" t="s">
        <v>4991</v>
      </c>
      <c r="T50" t="s">
        <v>4992</v>
      </c>
    </row>
    <row r="51" spans="1:20" x14ac:dyDescent="0.25">
      <c r="A51" t="s">
        <v>2666</v>
      </c>
      <c r="B51" t="s">
        <v>2667</v>
      </c>
      <c r="C51" s="1">
        <v>46035.998356481483</v>
      </c>
      <c r="D51">
        <v>1001.11</v>
      </c>
      <c r="E51" t="s">
        <v>19</v>
      </c>
      <c r="F51" t="s">
        <v>92</v>
      </c>
      <c r="G51" t="s">
        <v>26</v>
      </c>
      <c r="H51" t="s">
        <v>2668</v>
      </c>
      <c r="I51" t="s">
        <v>4126</v>
      </c>
      <c r="J51" t="s">
        <v>3076</v>
      </c>
      <c r="K51" s="1">
        <v>46036.998356481483</v>
      </c>
      <c r="L51">
        <v>-500.56</v>
      </c>
      <c r="M51">
        <v>0</v>
      </c>
      <c r="N51">
        <v>-500.56</v>
      </c>
      <c r="O51" t="s">
        <v>19</v>
      </c>
      <c r="P51" t="s">
        <v>4127</v>
      </c>
      <c r="Q51" t="s">
        <v>3036</v>
      </c>
      <c r="R51" t="s">
        <v>4977</v>
      </c>
      <c r="S51" t="s">
        <v>4991</v>
      </c>
      <c r="T51" t="s">
        <v>4992</v>
      </c>
    </row>
    <row r="52" spans="1:20" x14ac:dyDescent="0.25">
      <c r="A52" t="s">
        <v>2717</v>
      </c>
      <c r="B52" t="s">
        <v>2718</v>
      </c>
      <c r="C52" s="1">
        <v>46024.535474537035</v>
      </c>
      <c r="D52">
        <v>2370.52</v>
      </c>
      <c r="E52" t="s">
        <v>25</v>
      </c>
      <c r="F52" t="s">
        <v>429</v>
      </c>
      <c r="G52" t="s">
        <v>21</v>
      </c>
      <c r="H52" t="s">
        <v>2719</v>
      </c>
      <c r="I52" t="s">
        <v>4145</v>
      </c>
      <c r="J52" t="s">
        <v>3076</v>
      </c>
      <c r="K52" s="1">
        <v>46025.535474537035</v>
      </c>
      <c r="L52">
        <v>-2370.52</v>
      </c>
      <c r="M52">
        <v>0</v>
      </c>
      <c r="N52">
        <v>-2370.52</v>
      </c>
      <c r="O52" t="s">
        <v>25</v>
      </c>
      <c r="P52" t="s">
        <v>4146</v>
      </c>
      <c r="Q52" t="s">
        <v>3036</v>
      </c>
      <c r="R52" t="s">
        <v>4977</v>
      </c>
      <c r="S52" t="s">
        <v>4991</v>
      </c>
      <c r="T52" t="s">
        <v>4992</v>
      </c>
    </row>
    <row r="53" spans="1:20" x14ac:dyDescent="0.25">
      <c r="A53" t="s">
        <v>2759</v>
      </c>
      <c r="B53" t="s">
        <v>2760</v>
      </c>
      <c r="C53" s="1">
        <v>46024.823391203703</v>
      </c>
      <c r="D53">
        <v>664.89</v>
      </c>
      <c r="E53" t="s">
        <v>25</v>
      </c>
      <c r="F53" t="s">
        <v>92</v>
      </c>
      <c r="G53" t="s">
        <v>30</v>
      </c>
      <c r="H53" t="s">
        <v>2761</v>
      </c>
      <c r="I53" t="s">
        <v>4161</v>
      </c>
      <c r="J53" t="s">
        <v>3076</v>
      </c>
      <c r="K53" s="1">
        <v>46025.823391203703</v>
      </c>
      <c r="L53">
        <v>-332.45</v>
      </c>
      <c r="M53">
        <v>0</v>
      </c>
      <c r="N53">
        <v>-332.45</v>
      </c>
      <c r="O53" t="s">
        <v>25</v>
      </c>
      <c r="P53" t="s">
        <v>4162</v>
      </c>
      <c r="Q53" t="s">
        <v>3036</v>
      </c>
      <c r="R53" t="s">
        <v>4977</v>
      </c>
      <c r="S53" t="s">
        <v>4991</v>
      </c>
      <c r="T53" t="s">
        <v>4992</v>
      </c>
    </row>
    <row r="54" spans="1:20" x14ac:dyDescent="0.25">
      <c r="A54" t="s">
        <v>2810</v>
      </c>
      <c r="B54" t="s">
        <v>2811</v>
      </c>
      <c r="C54" s="1">
        <v>46027.397083333337</v>
      </c>
      <c r="D54">
        <v>701.47</v>
      </c>
      <c r="E54" t="s">
        <v>25</v>
      </c>
      <c r="F54" t="s">
        <v>429</v>
      </c>
      <c r="G54" t="s">
        <v>26</v>
      </c>
      <c r="H54" t="s">
        <v>2812</v>
      </c>
      <c r="I54" t="s">
        <v>4182</v>
      </c>
      <c r="J54" t="s">
        <v>3076</v>
      </c>
      <c r="K54" s="1">
        <v>46028.397083333337</v>
      </c>
      <c r="L54">
        <v>-701.47</v>
      </c>
      <c r="M54">
        <v>0</v>
      </c>
      <c r="N54">
        <v>-701.47</v>
      </c>
      <c r="O54" t="s">
        <v>25</v>
      </c>
      <c r="P54" t="s">
        <v>4183</v>
      </c>
      <c r="Q54" t="s">
        <v>3036</v>
      </c>
      <c r="R54" t="s">
        <v>4977</v>
      </c>
      <c r="S54" t="s">
        <v>4991</v>
      </c>
      <c r="T54" t="s">
        <v>4992</v>
      </c>
    </row>
    <row r="55" spans="1:20" x14ac:dyDescent="0.25">
      <c r="A55" t="s">
        <v>2885</v>
      </c>
      <c r="B55" t="s">
        <v>2886</v>
      </c>
      <c r="C55" s="1">
        <v>46024.673055555555</v>
      </c>
      <c r="D55">
        <v>191.72</v>
      </c>
      <c r="E55" t="s">
        <v>25</v>
      </c>
      <c r="F55" t="s">
        <v>20</v>
      </c>
      <c r="G55" t="s">
        <v>30</v>
      </c>
      <c r="H55" t="s">
        <v>2887</v>
      </c>
      <c r="I55" t="s">
        <v>4208</v>
      </c>
      <c r="J55" t="s">
        <v>3034</v>
      </c>
      <c r="K55" s="1">
        <v>46024.68</v>
      </c>
      <c r="L55">
        <v>192.83</v>
      </c>
      <c r="M55">
        <v>5.89</v>
      </c>
      <c r="N55">
        <v>186.94</v>
      </c>
      <c r="O55" t="s">
        <v>25</v>
      </c>
      <c r="P55" t="s">
        <v>3890</v>
      </c>
      <c r="Q55" t="s">
        <v>3036</v>
      </c>
      <c r="R55" t="s">
        <v>4977</v>
      </c>
      <c r="S55" t="s">
        <v>4991</v>
      </c>
      <c r="T55" t="s">
        <v>4992</v>
      </c>
    </row>
    <row r="56" spans="1:20" x14ac:dyDescent="0.25">
      <c r="A56" t="s">
        <v>2900</v>
      </c>
      <c r="B56" t="s">
        <v>2901</v>
      </c>
      <c r="C56" s="1">
        <v>46030.148125</v>
      </c>
      <c r="D56">
        <v>1660.49</v>
      </c>
      <c r="E56" t="s">
        <v>25</v>
      </c>
      <c r="F56" t="s">
        <v>20</v>
      </c>
      <c r="G56" t="s">
        <v>26</v>
      </c>
      <c r="H56" t="s">
        <v>2902</v>
      </c>
      <c r="I56" t="s">
        <v>4213</v>
      </c>
      <c r="J56" t="s">
        <v>3034</v>
      </c>
      <c r="K56" s="1">
        <v>46030.155069444445</v>
      </c>
      <c r="L56">
        <v>1661.6</v>
      </c>
      <c r="M56">
        <v>48.49</v>
      </c>
      <c r="N56">
        <v>1613.11</v>
      </c>
      <c r="O56" t="s">
        <v>25</v>
      </c>
      <c r="P56" t="s">
        <v>3902</v>
      </c>
      <c r="Q56" t="s">
        <v>3036</v>
      </c>
      <c r="R56" t="s">
        <v>4977</v>
      </c>
      <c r="S56" t="s">
        <v>4991</v>
      </c>
      <c r="T56" t="s">
        <v>4992</v>
      </c>
    </row>
    <row r="57" spans="1:20" x14ac:dyDescent="0.25">
      <c r="A57" t="s">
        <v>2918</v>
      </c>
      <c r="B57" t="s">
        <v>2919</v>
      </c>
      <c r="C57" s="1">
        <v>46035.682233796295</v>
      </c>
      <c r="D57">
        <v>1976.69</v>
      </c>
      <c r="E57" t="s">
        <v>25</v>
      </c>
      <c r="F57" t="s">
        <v>20</v>
      </c>
      <c r="G57" t="s">
        <v>26</v>
      </c>
      <c r="H57" t="s">
        <v>2920</v>
      </c>
      <c r="I57" t="s">
        <v>4220</v>
      </c>
      <c r="J57" t="s">
        <v>3034</v>
      </c>
      <c r="K57" s="1">
        <v>46035.68917824074</v>
      </c>
      <c r="L57">
        <v>1977.8</v>
      </c>
      <c r="M57">
        <v>57.66</v>
      </c>
      <c r="N57">
        <v>1920.14</v>
      </c>
      <c r="O57" t="s">
        <v>25</v>
      </c>
      <c r="P57" t="s">
        <v>3914</v>
      </c>
      <c r="Q57" t="s">
        <v>3036</v>
      </c>
      <c r="R57" t="s">
        <v>4977</v>
      </c>
      <c r="S57" t="s">
        <v>4991</v>
      </c>
      <c r="T57" t="s">
        <v>4992</v>
      </c>
    </row>
    <row r="58" spans="1:20" x14ac:dyDescent="0.25">
      <c r="A58" t="s">
        <v>2927</v>
      </c>
      <c r="B58" t="s">
        <v>2928</v>
      </c>
      <c r="C58" s="1">
        <v>46024.968321759261</v>
      </c>
      <c r="D58">
        <v>2055.44</v>
      </c>
      <c r="E58" t="s">
        <v>25</v>
      </c>
      <c r="F58" t="s">
        <v>20</v>
      </c>
      <c r="G58" t="s">
        <v>26</v>
      </c>
      <c r="H58" t="s">
        <v>2929</v>
      </c>
      <c r="I58" t="s">
        <v>4224</v>
      </c>
      <c r="J58" t="s">
        <v>3034</v>
      </c>
      <c r="K58" s="1">
        <v>46024.975266203706</v>
      </c>
      <c r="L58">
        <v>2056.5500000000002</v>
      </c>
      <c r="M58">
        <v>59.94</v>
      </c>
      <c r="N58">
        <v>1996.61</v>
      </c>
      <c r="O58" t="s">
        <v>25</v>
      </c>
      <c r="P58" t="s">
        <v>3890</v>
      </c>
      <c r="Q58" t="s">
        <v>3036</v>
      </c>
      <c r="R58" t="s">
        <v>4977</v>
      </c>
      <c r="S58" t="s">
        <v>4991</v>
      </c>
      <c r="T58" t="s">
        <v>4992</v>
      </c>
    </row>
    <row r="59" spans="1:20" x14ac:dyDescent="0.25">
      <c r="A59" t="s">
        <v>2990</v>
      </c>
      <c r="B59" t="s">
        <v>2991</v>
      </c>
      <c r="C59" s="1">
        <v>46031.888287037036</v>
      </c>
      <c r="D59">
        <v>1495.87</v>
      </c>
      <c r="E59" t="s">
        <v>25</v>
      </c>
      <c r="F59" t="s">
        <v>92</v>
      </c>
      <c r="G59" t="s">
        <v>26</v>
      </c>
      <c r="H59" t="s">
        <v>2992</v>
      </c>
      <c r="I59" t="s">
        <v>4245</v>
      </c>
      <c r="J59" t="s">
        <v>3076</v>
      </c>
      <c r="K59" s="1">
        <v>46032.888287037036</v>
      </c>
      <c r="L59">
        <v>-747.94</v>
      </c>
      <c r="M59">
        <v>0</v>
      </c>
      <c r="N59">
        <v>-747.94</v>
      </c>
      <c r="O59" t="s">
        <v>25</v>
      </c>
      <c r="P59" t="s">
        <v>4246</v>
      </c>
      <c r="Q59" t="s">
        <v>3036</v>
      </c>
      <c r="R59" t="s">
        <v>4977</v>
      </c>
      <c r="S59" t="s">
        <v>4991</v>
      </c>
      <c r="T59" t="s">
        <v>4992</v>
      </c>
    </row>
    <row r="60" spans="1:20" x14ac:dyDescent="0.25">
      <c r="A60" t="s">
        <v>3008</v>
      </c>
      <c r="B60" t="s">
        <v>3009</v>
      </c>
      <c r="C60" s="1">
        <v>46023.435717592591</v>
      </c>
      <c r="D60">
        <v>1906.98</v>
      </c>
      <c r="E60" t="s">
        <v>25</v>
      </c>
      <c r="F60" t="s">
        <v>429</v>
      </c>
      <c r="G60" t="s">
        <v>26</v>
      </c>
      <c r="H60" t="s">
        <v>3010</v>
      </c>
      <c r="I60" t="s">
        <v>4254</v>
      </c>
      <c r="J60" t="s">
        <v>3076</v>
      </c>
      <c r="K60" s="1">
        <v>46024.435717592591</v>
      </c>
      <c r="L60">
        <v>-1906.98</v>
      </c>
      <c r="M60">
        <v>0</v>
      </c>
      <c r="N60">
        <v>-1906.98</v>
      </c>
      <c r="O60" t="s">
        <v>25</v>
      </c>
      <c r="P60" t="s">
        <v>4255</v>
      </c>
      <c r="Q60" t="s">
        <v>3036</v>
      </c>
      <c r="R60" t="s">
        <v>4977</v>
      </c>
      <c r="S60" t="s">
        <v>4991</v>
      </c>
      <c r="T60" t="s">
        <v>4992</v>
      </c>
    </row>
    <row r="61" spans="1:20" x14ac:dyDescent="0.25">
      <c r="A61" t="s">
        <v>3023</v>
      </c>
      <c r="B61" t="s">
        <v>3024</v>
      </c>
      <c r="C61" s="1">
        <v>46028.914803240739</v>
      </c>
      <c r="D61">
        <v>1943.93</v>
      </c>
      <c r="E61" t="s">
        <v>52</v>
      </c>
      <c r="F61" t="s">
        <v>20</v>
      </c>
      <c r="G61" t="s">
        <v>21</v>
      </c>
      <c r="H61" t="s">
        <v>3025</v>
      </c>
      <c r="I61" t="s">
        <v>4259</v>
      </c>
      <c r="J61" t="s">
        <v>3034</v>
      </c>
      <c r="K61" s="1">
        <v>46028.921747685185</v>
      </c>
      <c r="L61">
        <v>1945.04</v>
      </c>
      <c r="M61">
        <v>56.71</v>
      </c>
      <c r="N61">
        <v>1888.33</v>
      </c>
      <c r="O61" t="s">
        <v>52</v>
      </c>
      <c r="P61" t="s">
        <v>3925</v>
      </c>
      <c r="Q61" t="s">
        <v>3036</v>
      </c>
      <c r="R61" t="s">
        <v>4977</v>
      </c>
      <c r="S61" t="s">
        <v>4991</v>
      </c>
      <c r="T61" t="s">
        <v>4992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DF31-946D-4A42-81D9-A827AC596A06}">
  <dimension ref="A1:I63"/>
  <sheetViews>
    <sheetView topLeftCell="B1" workbookViewId="0">
      <selection activeCell="H2" sqref="H2"/>
    </sheetView>
  </sheetViews>
  <sheetFormatPr defaultRowHeight="15" x14ac:dyDescent="0.25"/>
  <cols>
    <col min="1" max="1" width="38.5703125" bestFit="1" customWidth="1"/>
    <col min="2" max="2" width="11.140625" bestFit="1" customWidth="1"/>
    <col min="3" max="3" width="24.140625" bestFit="1" customWidth="1"/>
    <col min="4" max="5" width="22" bestFit="1" customWidth="1"/>
    <col min="6" max="6" width="25.140625" bestFit="1" customWidth="1"/>
    <col min="7" max="7" width="19.85546875" bestFit="1" customWidth="1"/>
    <col min="8" max="8" width="22" bestFit="1" customWidth="1"/>
    <col min="9" max="9" width="27.140625" bestFit="1" customWidth="1"/>
  </cols>
  <sheetData>
    <row r="1" spans="1:9" x14ac:dyDescent="0.25">
      <c r="A1" t="s">
        <v>3031</v>
      </c>
      <c r="B1" t="s">
        <v>13</v>
      </c>
      <c r="C1" t="s">
        <v>4980</v>
      </c>
      <c r="D1" t="s">
        <v>4981</v>
      </c>
      <c r="E1" t="s">
        <v>4982</v>
      </c>
      <c r="F1" t="s">
        <v>4983</v>
      </c>
      <c r="G1" t="s">
        <v>4984</v>
      </c>
      <c r="H1" t="s">
        <v>4985</v>
      </c>
      <c r="I1" t="s">
        <v>4986</v>
      </c>
    </row>
    <row r="2" spans="1:9" x14ac:dyDescent="0.25">
      <c r="A2" t="s">
        <v>3369</v>
      </c>
      <c r="B2" t="s">
        <v>25</v>
      </c>
      <c r="C2">
        <v>1916.51</v>
      </c>
      <c r="D2">
        <v>55.88</v>
      </c>
      <c r="E2">
        <v>1860.63</v>
      </c>
      <c r="F2">
        <v>1</v>
      </c>
      <c r="G2">
        <v>1</v>
      </c>
      <c r="H2">
        <v>1862.63</v>
      </c>
      <c r="I2" t="s">
        <v>4987</v>
      </c>
    </row>
    <row r="3" spans="1:9" x14ac:dyDescent="0.25">
      <c r="A3" t="s">
        <v>3385</v>
      </c>
      <c r="B3" t="s">
        <v>52</v>
      </c>
      <c r="C3">
        <v>959.99</v>
      </c>
      <c r="D3">
        <v>28.14</v>
      </c>
      <c r="E3">
        <v>931.85</v>
      </c>
      <c r="F3">
        <v>1</v>
      </c>
      <c r="G3">
        <v>1</v>
      </c>
      <c r="H3">
        <v>933.85</v>
      </c>
      <c r="I3" t="s">
        <v>4987</v>
      </c>
    </row>
    <row r="4" spans="1:9" x14ac:dyDescent="0.25">
      <c r="A4" t="s">
        <v>3414</v>
      </c>
      <c r="B4" t="s">
        <v>25</v>
      </c>
      <c r="C4">
        <v>7.53</v>
      </c>
      <c r="D4">
        <v>0.52</v>
      </c>
      <c r="E4">
        <v>7.01</v>
      </c>
      <c r="F4">
        <v>1</v>
      </c>
      <c r="G4">
        <v>1</v>
      </c>
      <c r="H4">
        <v>9.01</v>
      </c>
      <c r="I4" t="s">
        <v>4987</v>
      </c>
    </row>
    <row r="5" spans="1:9" x14ac:dyDescent="0.25">
      <c r="A5" t="s">
        <v>3508</v>
      </c>
      <c r="B5" t="s">
        <v>25</v>
      </c>
      <c r="C5">
        <v>1852.64</v>
      </c>
      <c r="D5">
        <v>54.03</v>
      </c>
      <c r="E5">
        <v>1798.61</v>
      </c>
      <c r="F5">
        <v>1</v>
      </c>
      <c r="G5">
        <v>1</v>
      </c>
      <c r="H5">
        <v>1800.61</v>
      </c>
      <c r="I5" t="s">
        <v>4987</v>
      </c>
    </row>
    <row r="6" spans="1:9" x14ac:dyDescent="0.25">
      <c r="A6" t="s">
        <v>3614</v>
      </c>
      <c r="B6" t="s">
        <v>25</v>
      </c>
      <c r="C6">
        <v>1858.89</v>
      </c>
      <c r="D6">
        <v>54.21</v>
      </c>
      <c r="E6">
        <v>1804.68</v>
      </c>
      <c r="F6">
        <v>1</v>
      </c>
      <c r="G6">
        <v>1</v>
      </c>
      <c r="H6">
        <v>1806.68</v>
      </c>
      <c r="I6" t="s">
        <v>4987</v>
      </c>
    </row>
    <row r="7" spans="1:9" x14ac:dyDescent="0.25">
      <c r="A7" t="s">
        <v>3046</v>
      </c>
      <c r="B7" t="s">
        <v>25</v>
      </c>
      <c r="C7">
        <v>26260.92</v>
      </c>
      <c r="D7">
        <v>767.57000000000016</v>
      </c>
      <c r="E7">
        <v>25493.35</v>
      </c>
      <c r="F7">
        <v>20</v>
      </c>
      <c r="G7">
        <v>1</v>
      </c>
      <c r="H7">
        <v>23126.11</v>
      </c>
      <c r="I7" t="s">
        <v>4987</v>
      </c>
    </row>
    <row r="8" spans="1:9" x14ac:dyDescent="0.25">
      <c r="A8" t="s">
        <v>3679</v>
      </c>
      <c r="B8" t="s">
        <v>25</v>
      </c>
      <c r="C8">
        <v>1694.06</v>
      </c>
      <c r="D8">
        <v>49.43</v>
      </c>
      <c r="E8">
        <v>1644.63</v>
      </c>
      <c r="F8">
        <v>1</v>
      </c>
      <c r="G8">
        <v>1</v>
      </c>
      <c r="H8">
        <v>1646.63</v>
      </c>
      <c r="I8" t="s">
        <v>4987</v>
      </c>
    </row>
    <row r="9" spans="1:9" x14ac:dyDescent="0.25">
      <c r="A9" t="s">
        <v>3048</v>
      </c>
      <c r="B9" t="s">
        <v>25</v>
      </c>
      <c r="C9">
        <v>23129.34</v>
      </c>
      <c r="D9">
        <v>677.07</v>
      </c>
      <c r="E9">
        <v>22452.27</v>
      </c>
      <c r="F9">
        <v>21</v>
      </c>
      <c r="G9">
        <v>1</v>
      </c>
      <c r="H9">
        <v>22230.26</v>
      </c>
      <c r="I9" t="s">
        <v>4987</v>
      </c>
    </row>
    <row r="10" spans="1:9" x14ac:dyDescent="0.25">
      <c r="A10" t="s">
        <v>3838</v>
      </c>
      <c r="B10" t="s">
        <v>25</v>
      </c>
      <c r="C10">
        <v>2393.37</v>
      </c>
      <c r="D10">
        <v>69.709999999999994</v>
      </c>
      <c r="E10">
        <v>2323.66</v>
      </c>
      <c r="F10">
        <v>1</v>
      </c>
      <c r="G10">
        <v>1</v>
      </c>
      <c r="H10">
        <v>2325.66</v>
      </c>
      <c r="I10" t="s">
        <v>4987</v>
      </c>
    </row>
    <row r="11" spans="1:9" x14ac:dyDescent="0.25">
      <c r="A11" t="s">
        <v>3956</v>
      </c>
      <c r="B11" t="s">
        <v>19</v>
      </c>
      <c r="C11">
        <v>1922.81</v>
      </c>
      <c r="D11">
        <v>56.06</v>
      </c>
      <c r="E11">
        <v>1866.75</v>
      </c>
      <c r="F11">
        <v>1</v>
      </c>
      <c r="G11">
        <v>1</v>
      </c>
      <c r="H11">
        <v>1868.75</v>
      </c>
      <c r="I11" t="s">
        <v>4987</v>
      </c>
    </row>
    <row r="12" spans="1:9" x14ac:dyDescent="0.25">
      <c r="A12" t="s">
        <v>3052</v>
      </c>
      <c r="B12" t="s">
        <v>25</v>
      </c>
      <c r="C12">
        <v>30568.15</v>
      </c>
      <c r="D12">
        <v>892.76</v>
      </c>
      <c r="E12">
        <v>29675.390000000003</v>
      </c>
      <c r="F12">
        <v>21</v>
      </c>
      <c r="G12">
        <v>1</v>
      </c>
      <c r="H12">
        <v>27109.53</v>
      </c>
      <c r="I12" t="s">
        <v>4987</v>
      </c>
    </row>
    <row r="13" spans="1:9" x14ac:dyDescent="0.25">
      <c r="A13" t="s">
        <v>4132</v>
      </c>
      <c r="B13" t="s">
        <v>25</v>
      </c>
      <c r="C13">
        <v>1843.92</v>
      </c>
      <c r="D13">
        <v>53.77</v>
      </c>
      <c r="E13">
        <v>1790.15</v>
      </c>
      <c r="F13">
        <v>1</v>
      </c>
      <c r="G13">
        <v>1</v>
      </c>
      <c r="H13">
        <v>1792.15</v>
      </c>
      <c r="I13" t="s">
        <v>4987</v>
      </c>
    </row>
    <row r="14" spans="1:9" x14ac:dyDescent="0.25">
      <c r="A14" t="s">
        <v>4218</v>
      </c>
      <c r="B14" t="s">
        <v>25</v>
      </c>
      <c r="C14">
        <v>30.89</v>
      </c>
      <c r="D14">
        <v>1.2</v>
      </c>
      <c r="E14">
        <v>29.69</v>
      </c>
      <c r="F14">
        <v>1</v>
      </c>
      <c r="G14">
        <v>1</v>
      </c>
      <c r="H14">
        <v>31.69</v>
      </c>
      <c r="I14" t="s">
        <v>4987</v>
      </c>
    </row>
    <row r="15" spans="1:9" x14ac:dyDescent="0.25">
      <c r="A15" t="s">
        <v>3062</v>
      </c>
      <c r="B15" t="s">
        <v>25</v>
      </c>
      <c r="C15">
        <v>21970.850000000002</v>
      </c>
      <c r="D15">
        <v>643.17000000000007</v>
      </c>
      <c r="E15">
        <v>21327.68</v>
      </c>
      <c r="F15">
        <v>20</v>
      </c>
      <c r="G15">
        <v>1</v>
      </c>
      <c r="H15">
        <v>19268.55</v>
      </c>
      <c r="I15" t="s">
        <v>4987</v>
      </c>
    </row>
    <row r="16" spans="1:9" x14ac:dyDescent="0.25">
      <c r="A16" t="s">
        <v>3064</v>
      </c>
      <c r="B16" t="s">
        <v>25</v>
      </c>
      <c r="C16">
        <v>25152.429999999997</v>
      </c>
      <c r="D16">
        <v>735.49999999999977</v>
      </c>
      <c r="E16">
        <v>24416.929999999997</v>
      </c>
      <c r="F16">
        <v>19</v>
      </c>
      <c r="G16">
        <v>1</v>
      </c>
      <c r="H16">
        <v>24148.25</v>
      </c>
      <c r="I16" t="s">
        <v>4987</v>
      </c>
    </row>
    <row r="17" spans="1:9" x14ac:dyDescent="0.25">
      <c r="A17" t="s">
        <v>3072</v>
      </c>
      <c r="B17" t="s">
        <v>19</v>
      </c>
      <c r="C17">
        <v>7226.05</v>
      </c>
      <c r="D17">
        <v>211.35</v>
      </c>
      <c r="E17">
        <v>7014.7</v>
      </c>
      <c r="F17">
        <v>6</v>
      </c>
      <c r="G17">
        <v>1</v>
      </c>
      <c r="H17">
        <v>5792.42</v>
      </c>
      <c r="I17" t="s">
        <v>4987</v>
      </c>
    </row>
    <row r="18" spans="1:9" x14ac:dyDescent="0.25">
      <c r="A18" t="s">
        <v>3079</v>
      </c>
      <c r="B18" t="s">
        <v>25</v>
      </c>
      <c r="C18">
        <v>24271.800000000003</v>
      </c>
      <c r="D18">
        <v>709.58</v>
      </c>
      <c r="E18">
        <v>23562.219999999998</v>
      </c>
      <c r="F18">
        <v>19</v>
      </c>
      <c r="G18">
        <v>1</v>
      </c>
      <c r="H18">
        <v>21810.22</v>
      </c>
      <c r="I18" t="s">
        <v>4987</v>
      </c>
    </row>
    <row r="19" spans="1:9" x14ac:dyDescent="0.25">
      <c r="A19" t="s">
        <v>3081</v>
      </c>
      <c r="B19" t="s">
        <v>25</v>
      </c>
      <c r="C19">
        <v>20090.330000000005</v>
      </c>
      <c r="D19">
        <v>588.61999999999989</v>
      </c>
      <c r="E19">
        <v>19501.71</v>
      </c>
      <c r="F19">
        <v>20</v>
      </c>
      <c r="G19">
        <v>1</v>
      </c>
      <c r="H19">
        <v>19175.91</v>
      </c>
      <c r="I19" t="s">
        <v>4987</v>
      </c>
    </row>
    <row r="20" spans="1:9" x14ac:dyDescent="0.25">
      <c r="A20" t="s">
        <v>3089</v>
      </c>
      <c r="B20" t="s">
        <v>52</v>
      </c>
      <c r="C20">
        <v>1815.34</v>
      </c>
      <c r="D20">
        <v>52.94</v>
      </c>
      <c r="E20">
        <v>1762.4</v>
      </c>
      <c r="F20">
        <v>1</v>
      </c>
      <c r="G20">
        <v>2</v>
      </c>
      <c r="H20">
        <v>3524.8</v>
      </c>
      <c r="I20" t="s">
        <v>4987</v>
      </c>
    </row>
    <row r="21" spans="1:9" x14ac:dyDescent="0.25">
      <c r="A21" t="s">
        <v>3124</v>
      </c>
      <c r="B21" t="s">
        <v>25</v>
      </c>
      <c r="C21">
        <v>277.33</v>
      </c>
      <c r="D21">
        <v>8.34</v>
      </c>
      <c r="E21">
        <v>268.99</v>
      </c>
      <c r="F21">
        <v>1</v>
      </c>
      <c r="G21">
        <v>2</v>
      </c>
      <c r="H21">
        <v>537.98</v>
      </c>
      <c r="I21" t="s">
        <v>4987</v>
      </c>
    </row>
    <row r="22" spans="1:9" x14ac:dyDescent="0.25">
      <c r="A22" t="s">
        <v>3293</v>
      </c>
      <c r="B22" t="s">
        <v>25</v>
      </c>
      <c r="C22">
        <v>842.57</v>
      </c>
      <c r="D22">
        <v>24.73</v>
      </c>
      <c r="E22">
        <v>817.84</v>
      </c>
      <c r="F22">
        <v>1</v>
      </c>
      <c r="G22">
        <v>2</v>
      </c>
      <c r="H22">
        <v>1635.68</v>
      </c>
      <c r="I22" t="s">
        <v>4987</v>
      </c>
    </row>
    <row r="23" spans="1:9" x14ac:dyDescent="0.25">
      <c r="A23" t="s">
        <v>3443</v>
      </c>
      <c r="B23" t="s">
        <v>19</v>
      </c>
      <c r="C23">
        <v>2439.62</v>
      </c>
      <c r="D23">
        <v>71.05</v>
      </c>
      <c r="E23">
        <v>2368.5700000000002</v>
      </c>
      <c r="F23">
        <v>1</v>
      </c>
      <c r="G23">
        <v>2</v>
      </c>
      <c r="H23">
        <v>4737.1400000000003</v>
      </c>
      <c r="I23" t="s">
        <v>4987</v>
      </c>
    </row>
    <row r="24" spans="1:9" x14ac:dyDescent="0.25">
      <c r="A24" t="s">
        <v>3453</v>
      </c>
      <c r="B24" t="s">
        <v>19</v>
      </c>
      <c r="C24">
        <v>100.91</v>
      </c>
      <c r="D24">
        <v>3.23</v>
      </c>
      <c r="E24">
        <v>97.68</v>
      </c>
      <c r="F24">
        <v>1</v>
      </c>
      <c r="G24">
        <v>2</v>
      </c>
      <c r="H24">
        <v>195.36</v>
      </c>
      <c r="I24" t="s">
        <v>4987</v>
      </c>
    </row>
    <row r="25" spans="1:9" x14ac:dyDescent="0.25">
      <c r="A25" t="s">
        <v>3730</v>
      </c>
      <c r="B25" t="s">
        <v>25</v>
      </c>
      <c r="C25">
        <v>1397.38</v>
      </c>
      <c r="D25">
        <v>40.82</v>
      </c>
      <c r="E25">
        <v>1356.56</v>
      </c>
      <c r="F25">
        <v>1</v>
      </c>
      <c r="G25">
        <v>2</v>
      </c>
      <c r="H25">
        <v>2713.12</v>
      </c>
      <c r="I25" t="s">
        <v>4987</v>
      </c>
    </row>
    <row r="26" spans="1:9" x14ac:dyDescent="0.25">
      <c r="A26" t="s">
        <v>4086</v>
      </c>
      <c r="B26" t="s">
        <v>25</v>
      </c>
      <c r="C26">
        <v>265.27999999999997</v>
      </c>
      <c r="D26">
        <v>7.99</v>
      </c>
      <c r="E26">
        <v>257.29000000000002</v>
      </c>
      <c r="F26">
        <v>1</v>
      </c>
      <c r="G26">
        <v>2</v>
      </c>
      <c r="H26">
        <v>514.58000000000004</v>
      </c>
      <c r="I26" t="s">
        <v>4987</v>
      </c>
    </row>
    <row r="27" spans="1:9" x14ac:dyDescent="0.25">
      <c r="A27" t="s">
        <v>4118</v>
      </c>
      <c r="B27" t="s">
        <v>25</v>
      </c>
      <c r="C27">
        <v>1605.02</v>
      </c>
      <c r="D27">
        <v>46.85</v>
      </c>
      <c r="E27">
        <v>1558.17</v>
      </c>
      <c r="F27">
        <v>1</v>
      </c>
      <c r="G27">
        <v>2</v>
      </c>
      <c r="H27">
        <v>3116.34</v>
      </c>
      <c r="I27" t="s">
        <v>4987</v>
      </c>
    </row>
    <row r="28" spans="1:9" x14ac:dyDescent="0.25">
      <c r="A28" t="s">
        <v>4178</v>
      </c>
      <c r="B28" t="s">
        <v>25</v>
      </c>
      <c r="C28">
        <v>1743.14</v>
      </c>
      <c r="D28">
        <v>50.85</v>
      </c>
      <c r="E28">
        <v>1692.29</v>
      </c>
      <c r="F28">
        <v>1</v>
      </c>
      <c r="G28">
        <v>2</v>
      </c>
      <c r="H28">
        <v>3384.58</v>
      </c>
      <c r="I28" t="s">
        <v>4987</v>
      </c>
    </row>
    <row r="29" spans="1:9" x14ac:dyDescent="0.25">
      <c r="A29" t="s">
        <v>3184</v>
      </c>
      <c r="B29" t="s">
        <v>52</v>
      </c>
      <c r="C29">
        <v>790.35</v>
      </c>
      <c r="D29">
        <v>23.22</v>
      </c>
      <c r="E29">
        <v>767.13</v>
      </c>
      <c r="F29">
        <v>1</v>
      </c>
      <c r="I29" t="s">
        <v>4988</v>
      </c>
    </row>
    <row r="30" spans="1:9" x14ac:dyDescent="0.25">
      <c r="A30" t="s">
        <v>4249</v>
      </c>
      <c r="B30" t="s">
        <v>19</v>
      </c>
      <c r="C30">
        <v>977.86</v>
      </c>
      <c r="D30">
        <v>28.66</v>
      </c>
      <c r="E30">
        <v>949.2</v>
      </c>
      <c r="F30">
        <v>1</v>
      </c>
      <c r="G30">
        <v>2</v>
      </c>
      <c r="H30">
        <v>1898.4</v>
      </c>
      <c r="I30" t="s">
        <v>4987</v>
      </c>
    </row>
    <row r="31" spans="1:9" x14ac:dyDescent="0.25">
      <c r="A31" t="s">
        <v>3267</v>
      </c>
      <c r="B31" t="s">
        <v>25</v>
      </c>
      <c r="C31">
        <v>1360.99</v>
      </c>
      <c r="D31">
        <v>39.770000000000003</v>
      </c>
      <c r="E31">
        <v>1321.22</v>
      </c>
      <c r="F31">
        <v>1</v>
      </c>
      <c r="I31" t="s">
        <v>4988</v>
      </c>
    </row>
    <row r="32" spans="1:9" x14ac:dyDescent="0.25">
      <c r="A32" t="s">
        <v>3282</v>
      </c>
      <c r="B32" t="s">
        <v>25</v>
      </c>
      <c r="C32">
        <v>534.15</v>
      </c>
      <c r="D32">
        <v>15.79</v>
      </c>
      <c r="E32">
        <v>518.36</v>
      </c>
      <c r="F32">
        <v>1</v>
      </c>
      <c r="I32" t="s">
        <v>4988</v>
      </c>
    </row>
    <row r="33" spans="1:9" x14ac:dyDescent="0.25">
      <c r="A33" t="s">
        <v>3290</v>
      </c>
      <c r="B33" t="s">
        <v>52</v>
      </c>
      <c r="C33">
        <v>2394.61</v>
      </c>
      <c r="D33">
        <v>69.739999999999995</v>
      </c>
      <c r="E33">
        <v>2324.87</v>
      </c>
      <c r="F33">
        <v>1</v>
      </c>
      <c r="I33" t="s">
        <v>4988</v>
      </c>
    </row>
    <row r="34" spans="1:9" x14ac:dyDescent="0.25">
      <c r="A34" t="s">
        <v>3484</v>
      </c>
      <c r="B34" t="s">
        <v>52</v>
      </c>
      <c r="C34">
        <v>11002.08</v>
      </c>
      <c r="D34">
        <v>320.86</v>
      </c>
      <c r="E34">
        <v>10681.220000000001</v>
      </c>
      <c r="F34">
        <v>6</v>
      </c>
      <c r="G34">
        <v>1</v>
      </c>
      <c r="H34">
        <v>8584.7099999999991</v>
      </c>
      <c r="I34" t="s">
        <v>4987</v>
      </c>
    </row>
    <row r="35" spans="1:9" x14ac:dyDescent="0.25">
      <c r="A35" t="s">
        <v>3388</v>
      </c>
      <c r="B35" t="s">
        <v>25</v>
      </c>
      <c r="C35">
        <v>1372.7</v>
      </c>
      <c r="D35">
        <v>40.11</v>
      </c>
      <c r="E35">
        <v>1332.59</v>
      </c>
      <c r="F35">
        <v>1</v>
      </c>
      <c r="I35" t="s">
        <v>4988</v>
      </c>
    </row>
    <row r="36" spans="1:9" x14ac:dyDescent="0.25">
      <c r="A36" t="s">
        <v>3427</v>
      </c>
      <c r="B36" t="s">
        <v>25</v>
      </c>
      <c r="C36">
        <v>546.1</v>
      </c>
      <c r="D36">
        <v>16.14</v>
      </c>
      <c r="E36">
        <v>529.96</v>
      </c>
      <c r="F36">
        <v>1</v>
      </c>
      <c r="I36" t="s">
        <v>4988</v>
      </c>
    </row>
    <row r="37" spans="1:9" x14ac:dyDescent="0.25">
      <c r="A37" t="s">
        <v>3470</v>
      </c>
      <c r="B37" t="s">
        <v>25</v>
      </c>
      <c r="C37">
        <v>25030.41</v>
      </c>
      <c r="D37">
        <v>731.94</v>
      </c>
      <c r="E37">
        <v>24298.469999999998</v>
      </c>
      <c r="F37">
        <v>19</v>
      </c>
      <c r="G37">
        <v>1</v>
      </c>
      <c r="H37">
        <v>22917.55</v>
      </c>
      <c r="I37" t="s">
        <v>4987</v>
      </c>
    </row>
    <row r="38" spans="1:9" x14ac:dyDescent="0.25">
      <c r="A38" t="s">
        <v>3474</v>
      </c>
      <c r="B38" t="s">
        <v>25</v>
      </c>
      <c r="C38">
        <v>22606.210000000006</v>
      </c>
      <c r="D38">
        <v>661.58</v>
      </c>
      <c r="E38">
        <v>21944.63</v>
      </c>
      <c r="F38">
        <v>20</v>
      </c>
      <c r="G38">
        <v>1</v>
      </c>
      <c r="H38">
        <v>20963.7</v>
      </c>
      <c r="I38" t="s">
        <v>4987</v>
      </c>
    </row>
    <row r="39" spans="1:9" x14ac:dyDescent="0.25">
      <c r="A39" t="s">
        <v>3478</v>
      </c>
      <c r="B39" t="s">
        <v>25</v>
      </c>
      <c r="C39">
        <v>28421.059999999994</v>
      </c>
      <c r="D39">
        <v>830.22000000000014</v>
      </c>
      <c r="E39">
        <v>27590.839999999993</v>
      </c>
      <c r="F39">
        <v>20</v>
      </c>
      <c r="G39">
        <v>1</v>
      </c>
      <c r="H39">
        <v>23397.599999999999</v>
      </c>
      <c r="I39" t="s">
        <v>4987</v>
      </c>
    </row>
    <row r="40" spans="1:9" x14ac:dyDescent="0.25">
      <c r="A40" t="s">
        <v>3927</v>
      </c>
      <c r="B40" t="s">
        <v>19</v>
      </c>
      <c r="C40">
        <v>4803.4100000000008</v>
      </c>
      <c r="D40">
        <v>140.81</v>
      </c>
      <c r="E40">
        <v>4662.6000000000004</v>
      </c>
      <c r="F40">
        <v>5</v>
      </c>
      <c r="G40">
        <v>1</v>
      </c>
      <c r="H40">
        <v>4248.8</v>
      </c>
      <c r="I40" t="s">
        <v>4987</v>
      </c>
    </row>
    <row r="41" spans="1:9" x14ac:dyDescent="0.25">
      <c r="A41" t="s">
        <v>3488</v>
      </c>
      <c r="B41" t="s">
        <v>25</v>
      </c>
      <c r="C41">
        <v>1046.23</v>
      </c>
      <c r="D41">
        <v>30.64</v>
      </c>
      <c r="E41">
        <v>1015.59</v>
      </c>
      <c r="F41">
        <v>1</v>
      </c>
      <c r="I41" t="s">
        <v>4988</v>
      </c>
    </row>
    <row r="42" spans="1:9" x14ac:dyDescent="0.25">
      <c r="A42" t="s">
        <v>3490</v>
      </c>
      <c r="B42" t="s">
        <v>25</v>
      </c>
      <c r="C42">
        <v>23432.94</v>
      </c>
      <c r="D42">
        <v>685.99999999999989</v>
      </c>
      <c r="E42">
        <v>22746.940000000002</v>
      </c>
      <c r="F42">
        <v>19</v>
      </c>
      <c r="G42">
        <v>1</v>
      </c>
      <c r="H42">
        <v>21554.71</v>
      </c>
      <c r="I42" t="s">
        <v>4987</v>
      </c>
    </row>
    <row r="43" spans="1:9" x14ac:dyDescent="0.25">
      <c r="A43" t="s">
        <v>3557</v>
      </c>
      <c r="B43" t="s">
        <v>25</v>
      </c>
      <c r="C43">
        <v>1830.48</v>
      </c>
      <c r="D43">
        <v>53.38</v>
      </c>
      <c r="E43">
        <v>1777.1</v>
      </c>
      <c r="F43">
        <v>1</v>
      </c>
      <c r="I43" t="s">
        <v>4988</v>
      </c>
    </row>
    <row r="44" spans="1:9" x14ac:dyDescent="0.25">
      <c r="A44" t="s">
        <v>3637</v>
      </c>
      <c r="B44" t="s">
        <v>25</v>
      </c>
      <c r="C44">
        <v>1134.32</v>
      </c>
      <c r="D44">
        <v>33.200000000000003</v>
      </c>
      <c r="E44">
        <v>1101.1199999999999</v>
      </c>
      <c r="F44">
        <v>1</v>
      </c>
      <c r="I44" t="s">
        <v>4988</v>
      </c>
    </row>
    <row r="45" spans="1:9" x14ac:dyDescent="0.25">
      <c r="A45" t="s">
        <v>3661</v>
      </c>
      <c r="B45" t="s">
        <v>19</v>
      </c>
      <c r="C45">
        <v>2096.2600000000002</v>
      </c>
      <c r="D45">
        <v>61.09</v>
      </c>
      <c r="E45">
        <v>2035.17</v>
      </c>
      <c r="F45">
        <v>1</v>
      </c>
      <c r="I45" t="s">
        <v>4988</v>
      </c>
    </row>
    <row r="46" spans="1:9" x14ac:dyDescent="0.25">
      <c r="A46" t="s">
        <v>3688</v>
      </c>
      <c r="B46" t="s">
        <v>25</v>
      </c>
      <c r="C46">
        <v>409.76</v>
      </c>
      <c r="D46">
        <v>12.18</v>
      </c>
      <c r="E46">
        <v>397.58</v>
      </c>
      <c r="F46">
        <v>1</v>
      </c>
      <c r="I46" t="s">
        <v>4988</v>
      </c>
    </row>
    <row r="47" spans="1:9" x14ac:dyDescent="0.25">
      <c r="A47" t="s">
        <v>3719</v>
      </c>
      <c r="B47" t="s">
        <v>25</v>
      </c>
      <c r="C47">
        <v>2441.1799999999998</v>
      </c>
      <c r="D47">
        <v>71.09</v>
      </c>
      <c r="E47">
        <v>2370.09</v>
      </c>
      <c r="F47">
        <v>1</v>
      </c>
      <c r="I47" t="s">
        <v>4988</v>
      </c>
    </row>
    <row r="48" spans="1:9" x14ac:dyDescent="0.25">
      <c r="A48" t="s">
        <v>3722</v>
      </c>
      <c r="B48" t="s">
        <v>25</v>
      </c>
      <c r="C48">
        <v>1358.04</v>
      </c>
      <c r="D48">
        <v>39.68</v>
      </c>
      <c r="E48">
        <v>1318.36</v>
      </c>
      <c r="F48">
        <v>1</v>
      </c>
      <c r="I48" t="s">
        <v>4988</v>
      </c>
    </row>
    <row r="49" spans="1:9" x14ac:dyDescent="0.25">
      <c r="A49" t="s">
        <v>3736</v>
      </c>
      <c r="B49" t="s">
        <v>25</v>
      </c>
      <c r="C49">
        <v>2332.38</v>
      </c>
      <c r="D49">
        <v>67.94</v>
      </c>
      <c r="E49">
        <v>2264.44</v>
      </c>
      <c r="F49">
        <v>1</v>
      </c>
      <c r="I49" t="s">
        <v>4988</v>
      </c>
    </row>
    <row r="50" spans="1:9" x14ac:dyDescent="0.25">
      <c r="A50" t="s">
        <v>3743</v>
      </c>
      <c r="B50" t="s">
        <v>25</v>
      </c>
      <c r="C50">
        <v>1494.4</v>
      </c>
      <c r="D50">
        <v>43.64</v>
      </c>
      <c r="E50">
        <v>1450.76</v>
      </c>
      <c r="F50">
        <v>1</v>
      </c>
      <c r="I50" t="s">
        <v>4988</v>
      </c>
    </row>
    <row r="51" spans="1:9" x14ac:dyDescent="0.25">
      <c r="A51" t="s">
        <v>3765</v>
      </c>
      <c r="B51" t="s">
        <v>25</v>
      </c>
      <c r="C51">
        <v>1821.7</v>
      </c>
      <c r="D51">
        <v>53.13</v>
      </c>
      <c r="E51">
        <v>1768.57</v>
      </c>
      <c r="F51">
        <v>1</v>
      </c>
      <c r="I51" t="s">
        <v>4988</v>
      </c>
    </row>
    <row r="52" spans="1:9" x14ac:dyDescent="0.25">
      <c r="A52" t="s">
        <v>3851</v>
      </c>
      <c r="B52" t="s">
        <v>25</v>
      </c>
      <c r="C52">
        <v>2210.02</v>
      </c>
      <c r="D52">
        <v>64.39</v>
      </c>
      <c r="E52">
        <v>2145.63</v>
      </c>
      <c r="F52">
        <v>1</v>
      </c>
      <c r="I52" t="s">
        <v>4988</v>
      </c>
    </row>
    <row r="53" spans="1:9" x14ac:dyDescent="0.25">
      <c r="A53" t="s">
        <v>3900</v>
      </c>
      <c r="B53" t="s">
        <v>25</v>
      </c>
      <c r="C53">
        <v>22164.210000000003</v>
      </c>
      <c r="D53">
        <v>647.87</v>
      </c>
      <c r="E53">
        <v>21516.339999999997</v>
      </c>
      <c r="F53">
        <v>17</v>
      </c>
      <c r="G53">
        <v>1</v>
      </c>
      <c r="H53">
        <v>20837.25</v>
      </c>
      <c r="I53" t="s">
        <v>4987</v>
      </c>
    </row>
    <row r="54" spans="1:9" x14ac:dyDescent="0.25">
      <c r="A54" t="s">
        <v>3912</v>
      </c>
      <c r="B54" t="s">
        <v>25</v>
      </c>
      <c r="C54">
        <v>24532.650000000005</v>
      </c>
      <c r="D54">
        <v>716.55000000000007</v>
      </c>
      <c r="E54">
        <v>23816.1</v>
      </c>
      <c r="F54">
        <v>17</v>
      </c>
      <c r="G54">
        <v>1</v>
      </c>
      <c r="H54">
        <v>23755.119999999999</v>
      </c>
      <c r="I54" t="s">
        <v>4987</v>
      </c>
    </row>
    <row r="55" spans="1:9" x14ac:dyDescent="0.25">
      <c r="A55" t="s">
        <v>3930</v>
      </c>
      <c r="B55" t="s">
        <v>25</v>
      </c>
      <c r="C55">
        <v>16454.8</v>
      </c>
      <c r="D55">
        <v>482.00000000000006</v>
      </c>
      <c r="E55">
        <v>15972.800000000001</v>
      </c>
      <c r="F55">
        <v>16</v>
      </c>
      <c r="G55">
        <v>1</v>
      </c>
      <c r="H55">
        <v>15932.9</v>
      </c>
      <c r="I55" t="s">
        <v>4987</v>
      </c>
    </row>
    <row r="56" spans="1:9" x14ac:dyDescent="0.25">
      <c r="A56" t="s">
        <v>4022</v>
      </c>
      <c r="B56" t="s">
        <v>25</v>
      </c>
      <c r="C56">
        <v>744.72</v>
      </c>
      <c r="D56">
        <v>21.9</v>
      </c>
      <c r="E56">
        <v>722.82</v>
      </c>
      <c r="F56">
        <v>1</v>
      </c>
      <c r="I56" t="s">
        <v>4988</v>
      </c>
    </row>
    <row r="57" spans="1:9" x14ac:dyDescent="0.25">
      <c r="A57" t="s">
        <v>4075</v>
      </c>
      <c r="B57" t="s">
        <v>25</v>
      </c>
      <c r="C57">
        <v>1252.46</v>
      </c>
      <c r="D57">
        <v>36.619999999999997</v>
      </c>
      <c r="E57">
        <v>1215.8399999999999</v>
      </c>
      <c r="F57">
        <v>1</v>
      </c>
      <c r="I57" t="s">
        <v>4988</v>
      </c>
    </row>
    <row r="58" spans="1:9" x14ac:dyDescent="0.25">
      <c r="A58" t="s">
        <v>4139</v>
      </c>
      <c r="B58" t="s">
        <v>25</v>
      </c>
      <c r="C58">
        <v>1808.05</v>
      </c>
      <c r="D58">
        <v>52.73</v>
      </c>
      <c r="E58">
        <v>1755.32</v>
      </c>
      <c r="F58">
        <v>1</v>
      </c>
      <c r="I58" t="s">
        <v>4988</v>
      </c>
    </row>
    <row r="59" spans="1:9" x14ac:dyDescent="0.25">
      <c r="A59" t="s">
        <v>4322</v>
      </c>
      <c r="B59" t="s">
        <v>25</v>
      </c>
      <c r="D59">
        <v>0.3</v>
      </c>
      <c r="E59">
        <v>0</v>
      </c>
      <c r="F59">
        <v>1</v>
      </c>
      <c r="I59" t="s">
        <v>4988</v>
      </c>
    </row>
    <row r="60" spans="1:9" x14ac:dyDescent="0.25">
      <c r="A60" t="s">
        <v>4325</v>
      </c>
      <c r="B60" t="s">
        <v>25</v>
      </c>
      <c r="D60">
        <v>0.3</v>
      </c>
      <c r="E60">
        <v>0</v>
      </c>
      <c r="F60">
        <v>1</v>
      </c>
      <c r="I60" t="s">
        <v>4988</v>
      </c>
    </row>
    <row r="61" spans="1:9" x14ac:dyDescent="0.25">
      <c r="A61" t="s">
        <v>4328</v>
      </c>
      <c r="B61" t="s">
        <v>25</v>
      </c>
      <c r="D61">
        <v>0.3</v>
      </c>
      <c r="E61">
        <v>0</v>
      </c>
      <c r="F61">
        <v>1</v>
      </c>
      <c r="I61" t="s">
        <v>4988</v>
      </c>
    </row>
    <row r="62" spans="1:9" x14ac:dyDescent="0.25">
      <c r="A62" t="s">
        <v>4331</v>
      </c>
      <c r="B62" t="s">
        <v>25</v>
      </c>
      <c r="D62">
        <v>0.3</v>
      </c>
      <c r="E62">
        <v>0</v>
      </c>
      <c r="F62">
        <v>1</v>
      </c>
      <c r="I62" t="s">
        <v>4988</v>
      </c>
    </row>
    <row r="63" spans="1:9" x14ac:dyDescent="0.25">
      <c r="A63" t="s">
        <v>4334</v>
      </c>
      <c r="B63" t="s">
        <v>25</v>
      </c>
      <c r="D63">
        <v>0.3</v>
      </c>
      <c r="E63">
        <v>0</v>
      </c>
      <c r="F63">
        <v>1</v>
      </c>
      <c r="I63" t="s">
        <v>4988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E8AA-DF89-486B-9067-8849A1EA6184}">
  <dimension ref="A1:I220"/>
  <sheetViews>
    <sheetView topLeftCell="X212" workbookViewId="0">
      <selection activeCell="A4" sqref="A4"/>
    </sheetView>
  </sheetViews>
  <sheetFormatPr defaultRowHeight="15" x14ac:dyDescent="0.25"/>
  <cols>
    <col min="1" max="1" width="38.5703125" bestFit="1" customWidth="1"/>
    <col min="2" max="2" width="11.140625" bestFit="1" customWidth="1"/>
    <col min="3" max="3" width="24.140625" bestFit="1" customWidth="1"/>
    <col min="4" max="5" width="22" bestFit="1" customWidth="1"/>
    <col min="6" max="6" width="25.140625" bestFit="1" customWidth="1"/>
    <col min="7" max="7" width="19.85546875" bestFit="1" customWidth="1"/>
    <col min="8" max="8" width="22" bestFit="1" customWidth="1"/>
    <col min="9" max="9" width="27.140625" bestFit="1" customWidth="1"/>
  </cols>
  <sheetData>
    <row r="1" spans="1:9" x14ac:dyDescent="0.25">
      <c r="A1" t="s">
        <v>3031</v>
      </c>
      <c r="B1" t="s">
        <v>13</v>
      </c>
      <c r="C1" t="s">
        <v>4980</v>
      </c>
      <c r="D1" t="s">
        <v>4981</v>
      </c>
      <c r="E1" t="s">
        <v>4982</v>
      </c>
      <c r="F1" t="s">
        <v>4983</v>
      </c>
      <c r="G1" t="s">
        <v>4984</v>
      </c>
      <c r="H1" t="s">
        <v>4985</v>
      </c>
      <c r="I1" t="s">
        <v>4986</v>
      </c>
    </row>
    <row r="2" spans="1:9" x14ac:dyDescent="0.25">
      <c r="A2" t="s">
        <v>3035</v>
      </c>
      <c r="B2" t="s">
        <v>19</v>
      </c>
      <c r="C2">
        <v>3011.0200000000004</v>
      </c>
      <c r="D2">
        <v>89.19</v>
      </c>
      <c r="E2">
        <v>2921.83</v>
      </c>
      <c r="F2">
        <v>5</v>
      </c>
      <c r="G2">
        <v>1</v>
      </c>
      <c r="H2">
        <v>2921.83</v>
      </c>
      <c r="I2" t="s">
        <v>4977</v>
      </c>
    </row>
    <row r="3" spans="1:9" x14ac:dyDescent="0.25">
      <c r="A3" t="s">
        <v>3369</v>
      </c>
      <c r="B3" t="s">
        <v>25</v>
      </c>
      <c r="C3">
        <v>1916.51</v>
      </c>
      <c r="D3">
        <v>55.88</v>
      </c>
      <c r="E3">
        <v>1860.63</v>
      </c>
      <c r="F3">
        <v>1</v>
      </c>
      <c r="G3">
        <v>1</v>
      </c>
      <c r="H3">
        <v>1862.63</v>
      </c>
      <c r="I3" t="s">
        <v>4987</v>
      </c>
    </row>
    <row r="4" spans="1:9" x14ac:dyDescent="0.25">
      <c r="A4" t="s">
        <v>3038</v>
      </c>
      <c r="B4" t="s">
        <v>25</v>
      </c>
      <c r="C4">
        <v>21797.73</v>
      </c>
      <c r="D4">
        <v>637.2299999999999</v>
      </c>
      <c r="E4">
        <v>21160.5</v>
      </c>
      <c r="F4">
        <v>17</v>
      </c>
      <c r="G4">
        <v>1</v>
      </c>
      <c r="H4">
        <v>21160.5</v>
      </c>
      <c r="I4" t="s">
        <v>4977</v>
      </c>
    </row>
    <row r="5" spans="1:9" x14ac:dyDescent="0.25">
      <c r="A5" t="s">
        <v>3385</v>
      </c>
      <c r="B5" t="s">
        <v>52</v>
      </c>
      <c r="C5">
        <v>959.99</v>
      </c>
      <c r="D5">
        <v>28.14</v>
      </c>
      <c r="E5">
        <v>931.85</v>
      </c>
      <c r="F5">
        <v>1</v>
      </c>
      <c r="G5">
        <v>1</v>
      </c>
      <c r="H5">
        <v>933.85</v>
      </c>
      <c r="I5" t="s">
        <v>4987</v>
      </c>
    </row>
    <row r="6" spans="1:9" x14ac:dyDescent="0.25">
      <c r="A6" t="s">
        <v>3040</v>
      </c>
      <c r="B6" t="s">
        <v>25</v>
      </c>
      <c r="C6">
        <v>17802.439999999999</v>
      </c>
      <c r="D6">
        <v>521.67999999999995</v>
      </c>
      <c r="E6">
        <v>17280.759999999998</v>
      </c>
      <c r="F6">
        <v>18</v>
      </c>
      <c r="G6">
        <v>1</v>
      </c>
      <c r="H6">
        <v>17280.759999999998</v>
      </c>
      <c r="I6" t="s">
        <v>4977</v>
      </c>
    </row>
    <row r="7" spans="1:9" x14ac:dyDescent="0.25">
      <c r="A7" t="s">
        <v>3414</v>
      </c>
      <c r="B7" t="s">
        <v>25</v>
      </c>
      <c r="C7">
        <v>7.53</v>
      </c>
      <c r="D7">
        <v>0.52</v>
      </c>
      <c r="E7">
        <v>7.01</v>
      </c>
      <c r="F7">
        <v>1</v>
      </c>
      <c r="G7">
        <v>1</v>
      </c>
      <c r="H7">
        <v>9.01</v>
      </c>
      <c r="I7" t="s">
        <v>4987</v>
      </c>
    </row>
    <row r="8" spans="1:9" x14ac:dyDescent="0.25">
      <c r="A8" t="s">
        <v>3042</v>
      </c>
      <c r="B8" t="s">
        <v>25</v>
      </c>
      <c r="C8">
        <v>21514.560000000001</v>
      </c>
      <c r="D8">
        <v>629.99</v>
      </c>
      <c r="E8">
        <v>20884.569999999996</v>
      </c>
      <c r="F8">
        <v>19</v>
      </c>
      <c r="G8">
        <v>1</v>
      </c>
      <c r="H8">
        <v>20884.57</v>
      </c>
      <c r="I8" t="s">
        <v>4977</v>
      </c>
    </row>
    <row r="9" spans="1:9" x14ac:dyDescent="0.25">
      <c r="A9" t="s">
        <v>3508</v>
      </c>
      <c r="B9" t="s">
        <v>25</v>
      </c>
      <c r="C9">
        <v>1852.64</v>
      </c>
      <c r="D9">
        <v>54.03</v>
      </c>
      <c r="E9">
        <v>1798.61</v>
      </c>
      <c r="F9">
        <v>1</v>
      </c>
      <c r="G9">
        <v>1</v>
      </c>
      <c r="H9">
        <v>1800.61</v>
      </c>
      <c r="I9" t="s">
        <v>4987</v>
      </c>
    </row>
    <row r="10" spans="1:9" x14ac:dyDescent="0.25">
      <c r="A10" t="s">
        <v>3044</v>
      </c>
      <c r="B10" t="s">
        <v>25</v>
      </c>
      <c r="C10">
        <v>2052.98</v>
      </c>
      <c r="D10">
        <v>59.84</v>
      </c>
      <c r="E10">
        <v>1993.14</v>
      </c>
      <c r="F10">
        <v>1</v>
      </c>
      <c r="G10">
        <v>1</v>
      </c>
      <c r="H10">
        <v>1993.14</v>
      </c>
      <c r="I10" t="s">
        <v>4977</v>
      </c>
    </row>
    <row r="11" spans="1:9" x14ac:dyDescent="0.25">
      <c r="A11" t="s">
        <v>3614</v>
      </c>
      <c r="B11" t="s">
        <v>25</v>
      </c>
      <c r="C11">
        <v>1858.89</v>
      </c>
      <c r="D11">
        <v>54.21</v>
      </c>
      <c r="E11">
        <v>1804.68</v>
      </c>
      <c r="F11">
        <v>1</v>
      </c>
      <c r="G11">
        <v>1</v>
      </c>
      <c r="H11">
        <v>1806.68</v>
      </c>
      <c r="I11" t="s">
        <v>4987</v>
      </c>
    </row>
    <row r="12" spans="1:9" x14ac:dyDescent="0.25">
      <c r="A12" t="s">
        <v>3046</v>
      </c>
      <c r="B12" t="s">
        <v>25</v>
      </c>
      <c r="C12">
        <v>26260.92</v>
      </c>
      <c r="D12">
        <v>767.57000000000016</v>
      </c>
      <c r="E12">
        <v>25493.35</v>
      </c>
      <c r="F12">
        <v>20</v>
      </c>
      <c r="G12">
        <v>1</v>
      </c>
      <c r="H12">
        <v>23126.11</v>
      </c>
      <c r="I12" t="s">
        <v>4987</v>
      </c>
    </row>
    <row r="13" spans="1:9" x14ac:dyDescent="0.25">
      <c r="A13" t="s">
        <v>3679</v>
      </c>
      <c r="B13" t="s">
        <v>25</v>
      </c>
      <c r="C13">
        <v>1694.06</v>
      </c>
      <c r="D13">
        <v>49.43</v>
      </c>
      <c r="E13">
        <v>1644.63</v>
      </c>
      <c r="F13">
        <v>1</v>
      </c>
      <c r="G13">
        <v>1</v>
      </c>
      <c r="H13">
        <v>1646.63</v>
      </c>
      <c r="I13" t="s">
        <v>4987</v>
      </c>
    </row>
    <row r="14" spans="1:9" x14ac:dyDescent="0.25">
      <c r="A14" t="s">
        <v>3048</v>
      </c>
      <c r="B14" t="s">
        <v>25</v>
      </c>
      <c r="C14">
        <v>23129.34</v>
      </c>
      <c r="D14">
        <v>677.07</v>
      </c>
      <c r="E14">
        <v>22452.27</v>
      </c>
      <c r="F14">
        <v>21</v>
      </c>
      <c r="G14">
        <v>1</v>
      </c>
      <c r="H14">
        <v>22230.26</v>
      </c>
      <c r="I14" t="s">
        <v>4987</v>
      </c>
    </row>
    <row r="15" spans="1:9" x14ac:dyDescent="0.25">
      <c r="A15" t="s">
        <v>3838</v>
      </c>
      <c r="B15" t="s">
        <v>25</v>
      </c>
      <c r="C15">
        <v>2393.37</v>
      </c>
      <c r="D15">
        <v>69.709999999999994</v>
      </c>
      <c r="E15">
        <v>2323.66</v>
      </c>
      <c r="F15">
        <v>1</v>
      </c>
      <c r="G15">
        <v>1</v>
      </c>
      <c r="H15">
        <v>2325.66</v>
      </c>
      <c r="I15" t="s">
        <v>4987</v>
      </c>
    </row>
    <row r="16" spans="1:9" x14ac:dyDescent="0.25">
      <c r="A16" t="s">
        <v>3050</v>
      </c>
      <c r="B16" t="s">
        <v>25</v>
      </c>
      <c r="C16">
        <v>23876.820000000003</v>
      </c>
      <c r="D16">
        <v>698.4899999999999</v>
      </c>
      <c r="E16">
        <v>23178.329999999998</v>
      </c>
      <c r="F16">
        <v>19</v>
      </c>
      <c r="G16">
        <v>1</v>
      </c>
      <c r="H16">
        <v>23178.33</v>
      </c>
      <c r="I16" t="s">
        <v>4977</v>
      </c>
    </row>
    <row r="17" spans="1:9" x14ac:dyDescent="0.25">
      <c r="A17" t="s">
        <v>3956</v>
      </c>
      <c r="B17" t="s">
        <v>19</v>
      </c>
      <c r="C17">
        <v>1922.81</v>
      </c>
      <c r="D17">
        <v>56.06</v>
      </c>
      <c r="E17">
        <v>1866.75</v>
      </c>
      <c r="F17">
        <v>1</v>
      </c>
      <c r="G17">
        <v>1</v>
      </c>
      <c r="H17">
        <v>1868.75</v>
      </c>
      <c r="I17" t="s">
        <v>4987</v>
      </c>
    </row>
    <row r="18" spans="1:9" x14ac:dyDescent="0.25">
      <c r="A18" t="s">
        <v>3052</v>
      </c>
      <c r="B18" t="s">
        <v>25</v>
      </c>
      <c r="C18">
        <v>30568.15</v>
      </c>
      <c r="D18">
        <v>892.76</v>
      </c>
      <c r="E18">
        <v>29675.390000000003</v>
      </c>
      <c r="F18">
        <v>21</v>
      </c>
      <c r="G18">
        <v>1</v>
      </c>
      <c r="H18">
        <v>27109.53</v>
      </c>
      <c r="I18" t="s">
        <v>4987</v>
      </c>
    </row>
    <row r="19" spans="1:9" x14ac:dyDescent="0.25">
      <c r="A19" t="s">
        <v>4132</v>
      </c>
      <c r="B19" t="s">
        <v>25</v>
      </c>
      <c r="C19">
        <v>1843.92</v>
      </c>
      <c r="D19">
        <v>53.77</v>
      </c>
      <c r="E19">
        <v>1790.15</v>
      </c>
      <c r="F19">
        <v>1</v>
      </c>
      <c r="G19">
        <v>1</v>
      </c>
      <c r="H19">
        <v>1792.15</v>
      </c>
      <c r="I19" t="s">
        <v>4987</v>
      </c>
    </row>
    <row r="20" spans="1:9" x14ac:dyDescent="0.25">
      <c r="A20" t="s">
        <v>3054</v>
      </c>
      <c r="B20" t="s">
        <v>52</v>
      </c>
      <c r="C20">
        <v>5144.13</v>
      </c>
      <c r="D20">
        <v>150.68</v>
      </c>
      <c r="E20">
        <v>4993.45</v>
      </c>
      <c r="F20">
        <v>5</v>
      </c>
      <c r="G20">
        <v>1</v>
      </c>
      <c r="H20">
        <v>4993.45</v>
      </c>
      <c r="I20" t="s">
        <v>4977</v>
      </c>
    </row>
    <row r="21" spans="1:9" x14ac:dyDescent="0.25">
      <c r="A21" t="s">
        <v>4218</v>
      </c>
      <c r="B21" t="s">
        <v>25</v>
      </c>
      <c r="C21">
        <v>30.89</v>
      </c>
      <c r="D21">
        <v>1.2</v>
      </c>
      <c r="E21">
        <v>29.69</v>
      </c>
      <c r="F21">
        <v>1</v>
      </c>
      <c r="G21">
        <v>1</v>
      </c>
      <c r="H21">
        <v>31.69</v>
      </c>
      <c r="I21" t="s">
        <v>4987</v>
      </c>
    </row>
    <row r="22" spans="1:9" x14ac:dyDescent="0.25">
      <c r="A22" t="s">
        <v>3056</v>
      </c>
      <c r="B22" t="s">
        <v>19</v>
      </c>
      <c r="C22">
        <v>7635.4600000000009</v>
      </c>
      <c r="D22">
        <v>222.92999999999998</v>
      </c>
      <c r="E22">
        <v>7412.53</v>
      </c>
      <c r="F22">
        <v>5</v>
      </c>
      <c r="G22">
        <v>1</v>
      </c>
      <c r="H22">
        <v>7412.53</v>
      </c>
      <c r="I22" t="s">
        <v>4977</v>
      </c>
    </row>
    <row r="23" spans="1:9" x14ac:dyDescent="0.25">
      <c r="A23" t="s">
        <v>3058</v>
      </c>
      <c r="B23" t="s">
        <v>25</v>
      </c>
      <c r="C23">
        <v>26667.920000000002</v>
      </c>
      <c r="D23">
        <v>779.80000000000007</v>
      </c>
      <c r="E23">
        <v>25888.120000000006</v>
      </c>
      <c r="F23">
        <v>19</v>
      </c>
      <c r="G23">
        <v>1</v>
      </c>
      <c r="H23">
        <v>25888.12</v>
      </c>
      <c r="I23" t="s">
        <v>4977</v>
      </c>
    </row>
    <row r="24" spans="1:9" x14ac:dyDescent="0.25">
      <c r="A24" t="s">
        <v>3060</v>
      </c>
      <c r="B24" t="s">
        <v>25</v>
      </c>
      <c r="C24">
        <v>25879.63</v>
      </c>
      <c r="D24">
        <v>756.49</v>
      </c>
      <c r="E24">
        <v>25123.140000000003</v>
      </c>
      <c r="F24">
        <v>20</v>
      </c>
      <c r="G24">
        <v>1</v>
      </c>
      <c r="H24">
        <v>25123.14</v>
      </c>
      <c r="I24" t="s">
        <v>4977</v>
      </c>
    </row>
    <row r="25" spans="1:9" x14ac:dyDescent="0.25">
      <c r="A25" t="s">
        <v>3062</v>
      </c>
      <c r="B25" t="s">
        <v>25</v>
      </c>
      <c r="C25">
        <v>21970.850000000002</v>
      </c>
      <c r="D25">
        <v>643.17000000000007</v>
      </c>
      <c r="E25">
        <v>21327.68</v>
      </c>
      <c r="F25">
        <v>20</v>
      </c>
      <c r="G25">
        <v>1</v>
      </c>
      <c r="H25">
        <v>19268.55</v>
      </c>
      <c r="I25" t="s">
        <v>4987</v>
      </c>
    </row>
    <row r="26" spans="1:9" x14ac:dyDescent="0.25">
      <c r="A26" t="s">
        <v>3064</v>
      </c>
      <c r="B26" t="s">
        <v>25</v>
      </c>
      <c r="C26">
        <v>25152.429999999997</v>
      </c>
      <c r="D26">
        <v>735.49999999999977</v>
      </c>
      <c r="E26">
        <v>24416.929999999997</v>
      </c>
      <c r="F26">
        <v>19</v>
      </c>
      <c r="G26">
        <v>1</v>
      </c>
      <c r="H26">
        <v>24148.25</v>
      </c>
      <c r="I26" t="s">
        <v>4987</v>
      </c>
    </row>
    <row r="27" spans="1:9" x14ac:dyDescent="0.25">
      <c r="A27" t="s">
        <v>3068</v>
      </c>
      <c r="B27" t="s">
        <v>25</v>
      </c>
      <c r="C27">
        <v>25351.549999999996</v>
      </c>
      <c r="D27">
        <v>741.18999999999994</v>
      </c>
      <c r="E27">
        <v>24610.359999999997</v>
      </c>
      <c r="F27">
        <v>20</v>
      </c>
      <c r="G27">
        <v>1</v>
      </c>
      <c r="H27">
        <v>24610.36</v>
      </c>
      <c r="I27" t="s">
        <v>4977</v>
      </c>
    </row>
    <row r="28" spans="1:9" x14ac:dyDescent="0.25">
      <c r="A28" t="s">
        <v>3070</v>
      </c>
      <c r="B28" t="s">
        <v>52</v>
      </c>
      <c r="C28">
        <v>7750.4</v>
      </c>
      <c r="D28">
        <v>226.25</v>
      </c>
      <c r="E28">
        <v>7524.15</v>
      </c>
      <c r="F28">
        <v>5</v>
      </c>
      <c r="G28">
        <v>1</v>
      </c>
      <c r="H28">
        <v>7524.15</v>
      </c>
      <c r="I28" t="s">
        <v>4977</v>
      </c>
    </row>
    <row r="29" spans="1:9" x14ac:dyDescent="0.25">
      <c r="A29" t="s">
        <v>3072</v>
      </c>
      <c r="B29" t="s">
        <v>19</v>
      </c>
      <c r="C29">
        <v>7226.05</v>
      </c>
      <c r="D29">
        <v>211.35</v>
      </c>
      <c r="E29">
        <v>7014.7</v>
      </c>
      <c r="F29">
        <v>6</v>
      </c>
      <c r="G29">
        <v>1</v>
      </c>
      <c r="H29">
        <v>5792.42</v>
      </c>
      <c r="I29" t="s">
        <v>4987</v>
      </c>
    </row>
    <row r="30" spans="1:9" x14ac:dyDescent="0.25">
      <c r="A30" t="s">
        <v>3077</v>
      </c>
      <c r="B30" t="s">
        <v>25</v>
      </c>
      <c r="C30">
        <v>-718.58</v>
      </c>
      <c r="D30">
        <v>0</v>
      </c>
      <c r="E30">
        <v>-718.58</v>
      </c>
      <c r="F30">
        <v>1</v>
      </c>
      <c r="G30">
        <v>1</v>
      </c>
      <c r="H30">
        <v>-718.58</v>
      </c>
      <c r="I30" t="s">
        <v>4977</v>
      </c>
    </row>
    <row r="31" spans="1:9" x14ac:dyDescent="0.25">
      <c r="A31" t="s">
        <v>3079</v>
      </c>
      <c r="B31" t="s">
        <v>25</v>
      </c>
      <c r="C31">
        <v>24271.800000000003</v>
      </c>
      <c r="D31">
        <v>709.58</v>
      </c>
      <c r="E31">
        <v>23562.219999999998</v>
      </c>
      <c r="F31">
        <v>19</v>
      </c>
      <c r="G31">
        <v>1</v>
      </c>
      <c r="H31">
        <v>21810.22</v>
      </c>
      <c r="I31" t="s">
        <v>4987</v>
      </c>
    </row>
    <row r="32" spans="1:9" x14ac:dyDescent="0.25">
      <c r="A32" t="s">
        <v>3081</v>
      </c>
      <c r="B32" t="s">
        <v>25</v>
      </c>
      <c r="C32">
        <v>20090.330000000005</v>
      </c>
      <c r="D32">
        <v>588.61999999999989</v>
      </c>
      <c r="E32">
        <v>19501.71</v>
      </c>
      <c r="F32">
        <v>20</v>
      </c>
      <c r="G32">
        <v>1</v>
      </c>
      <c r="H32">
        <v>19175.91</v>
      </c>
      <c r="I32" t="s">
        <v>4987</v>
      </c>
    </row>
    <row r="33" spans="1:9" x14ac:dyDescent="0.25">
      <c r="A33" t="s">
        <v>3091</v>
      </c>
      <c r="B33" t="s">
        <v>25</v>
      </c>
      <c r="C33">
        <v>571.97</v>
      </c>
      <c r="D33">
        <v>16.89</v>
      </c>
      <c r="E33">
        <v>555.08000000000004</v>
      </c>
      <c r="F33">
        <v>1</v>
      </c>
      <c r="G33">
        <v>1</v>
      </c>
      <c r="H33">
        <v>555.08000000000004</v>
      </c>
      <c r="I33" t="s">
        <v>4977</v>
      </c>
    </row>
    <row r="34" spans="1:9" x14ac:dyDescent="0.25">
      <c r="A34" t="s">
        <v>3086</v>
      </c>
      <c r="B34" t="s">
        <v>25</v>
      </c>
      <c r="C34">
        <v>-607.80999999999995</v>
      </c>
      <c r="D34">
        <v>0</v>
      </c>
      <c r="E34">
        <v>-607.80999999999995</v>
      </c>
      <c r="F34">
        <v>1</v>
      </c>
      <c r="G34">
        <v>1</v>
      </c>
      <c r="H34">
        <v>-607.80999999999995</v>
      </c>
      <c r="I34" t="s">
        <v>4977</v>
      </c>
    </row>
    <row r="35" spans="1:9" x14ac:dyDescent="0.25">
      <c r="A35" t="s">
        <v>3104</v>
      </c>
      <c r="B35" t="s">
        <v>25</v>
      </c>
      <c r="C35">
        <v>2333.15</v>
      </c>
      <c r="D35">
        <v>67.959999999999994</v>
      </c>
      <c r="E35">
        <v>2265.19</v>
      </c>
      <c r="F35">
        <v>1</v>
      </c>
      <c r="G35">
        <v>1</v>
      </c>
      <c r="H35">
        <v>2265.19</v>
      </c>
      <c r="I35" t="s">
        <v>4977</v>
      </c>
    </row>
    <row r="36" spans="1:9" x14ac:dyDescent="0.25">
      <c r="A36" t="s">
        <v>3089</v>
      </c>
      <c r="B36" t="s">
        <v>52</v>
      </c>
      <c r="C36">
        <v>1815.34</v>
      </c>
      <c r="D36">
        <v>52.94</v>
      </c>
      <c r="E36">
        <v>1762.4</v>
      </c>
      <c r="F36">
        <v>1</v>
      </c>
      <c r="G36">
        <v>2</v>
      </c>
      <c r="H36">
        <v>3524.8</v>
      </c>
      <c r="I36" t="s">
        <v>4987</v>
      </c>
    </row>
    <row r="37" spans="1:9" x14ac:dyDescent="0.25">
      <c r="A37" t="s">
        <v>3110</v>
      </c>
      <c r="B37" t="s">
        <v>52</v>
      </c>
      <c r="C37">
        <v>1365.15</v>
      </c>
      <c r="D37">
        <v>39.89</v>
      </c>
      <c r="E37">
        <v>1325.26</v>
      </c>
      <c r="F37">
        <v>1</v>
      </c>
      <c r="G37">
        <v>1</v>
      </c>
      <c r="H37">
        <v>1325.26</v>
      </c>
      <c r="I37" t="s">
        <v>4977</v>
      </c>
    </row>
    <row r="38" spans="1:9" x14ac:dyDescent="0.25">
      <c r="A38" t="s">
        <v>3143</v>
      </c>
      <c r="B38" t="s">
        <v>52</v>
      </c>
      <c r="C38">
        <v>625.41999999999996</v>
      </c>
      <c r="D38">
        <v>18.440000000000001</v>
      </c>
      <c r="E38">
        <v>606.98</v>
      </c>
      <c r="F38">
        <v>1</v>
      </c>
      <c r="G38">
        <v>1</v>
      </c>
      <c r="H38">
        <v>606.98</v>
      </c>
      <c r="I38" t="s">
        <v>4977</v>
      </c>
    </row>
    <row r="39" spans="1:9" x14ac:dyDescent="0.25">
      <c r="A39" t="s">
        <v>3096</v>
      </c>
      <c r="B39" t="s">
        <v>25</v>
      </c>
      <c r="C39">
        <v>440.56</v>
      </c>
      <c r="D39">
        <v>13.08</v>
      </c>
      <c r="E39">
        <v>427.48</v>
      </c>
      <c r="F39">
        <v>1</v>
      </c>
      <c r="G39">
        <v>1</v>
      </c>
      <c r="H39">
        <v>427.48</v>
      </c>
      <c r="I39" t="s">
        <v>4977</v>
      </c>
    </row>
    <row r="40" spans="1:9" x14ac:dyDescent="0.25">
      <c r="A40" t="s">
        <v>3515</v>
      </c>
      <c r="B40" t="s">
        <v>52</v>
      </c>
      <c r="C40">
        <v>2300.46</v>
      </c>
      <c r="D40">
        <v>67.010000000000005</v>
      </c>
      <c r="E40">
        <v>2233.4499999999998</v>
      </c>
      <c r="F40">
        <v>1</v>
      </c>
      <c r="G40">
        <v>1</v>
      </c>
      <c r="H40">
        <v>2233.4499999999998</v>
      </c>
      <c r="I40" t="s">
        <v>4977</v>
      </c>
    </row>
    <row r="41" spans="1:9" x14ac:dyDescent="0.25">
      <c r="A41" t="s">
        <v>3102</v>
      </c>
      <c r="B41" t="s">
        <v>52</v>
      </c>
      <c r="C41">
        <v>4807.29</v>
      </c>
      <c r="D41">
        <v>140.62</v>
      </c>
      <c r="E41">
        <v>4666.67</v>
      </c>
      <c r="F41">
        <v>4</v>
      </c>
      <c r="G41">
        <v>1</v>
      </c>
      <c r="H41">
        <v>4666.67</v>
      </c>
      <c r="I41" t="s">
        <v>4977</v>
      </c>
    </row>
    <row r="42" spans="1:9" x14ac:dyDescent="0.25">
      <c r="A42" t="s">
        <v>3569</v>
      </c>
      <c r="B42" t="s">
        <v>52</v>
      </c>
      <c r="C42">
        <v>1572.78</v>
      </c>
      <c r="D42">
        <v>45.91</v>
      </c>
      <c r="E42">
        <v>1526.87</v>
      </c>
      <c r="F42">
        <v>1</v>
      </c>
      <c r="G42">
        <v>1</v>
      </c>
      <c r="H42">
        <v>1526.87</v>
      </c>
      <c r="I42" t="s">
        <v>4977</v>
      </c>
    </row>
    <row r="43" spans="1:9" x14ac:dyDescent="0.25">
      <c r="A43" t="s">
        <v>3571</v>
      </c>
      <c r="B43" t="s">
        <v>52</v>
      </c>
      <c r="C43">
        <v>157.30000000000001</v>
      </c>
      <c r="D43">
        <v>4.8600000000000003</v>
      </c>
      <c r="E43">
        <v>152.44</v>
      </c>
      <c r="F43">
        <v>1</v>
      </c>
      <c r="G43">
        <v>1</v>
      </c>
      <c r="H43">
        <v>152.44</v>
      </c>
      <c r="I43" t="s">
        <v>4977</v>
      </c>
    </row>
    <row r="44" spans="1:9" x14ac:dyDescent="0.25">
      <c r="A44" t="s">
        <v>3584</v>
      </c>
      <c r="B44" t="s">
        <v>52</v>
      </c>
      <c r="C44">
        <v>1717.99</v>
      </c>
      <c r="D44">
        <v>50.12</v>
      </c>
      <c r="E44">
        <v>1667.87</v>
      </c>
      <c r="F44">
        <v>1</v>
      </c>
      <c r="G44">
        <v>1</v>
      </c>
      <c r="H44">
        <v>1667.87</v>
      </c>
      <c r="I44" t="s">
        <v>4977</v>
      </c>
    </row>
    <row r="45" spans="1:9" x14ac:dyDescent="0.25">
      <c r="A45" t="s">
        <v>3115</v>
      </c>
      <c r="B45" t="s">
        <v>52</v>
      </c>
      <c r="C45">
        <v>4859.8899999999994</v>
      </c>
      <c r="D45">
        <v>142.44</v>
      </c>
      <c r="E45">
        <v>4717.45</v>
      </c>
      <c r="F45">
        <v>5</v>
      </c>
      <c r="G45">
        <v>1</v>
      </c>
      <c r="H45">
        <v>4717.45</v>
      </c>
      <c r="I45" t="s">
        <v>4977</v>
      </c>
    </row>
    <row r="46" spans="1:9" x14ac:dyDescent="0.25">
      <c r="A46" t="s">
        <v>3898</v>
      </c>
      <c r="B46" t="s">
        <v>52</v>
      </c>
      <c r="C46">
        <v>2243.4699999999998</v>
      </c>
      <c r="D46">
        <v>65.36</v>
      </c>
      <c r="E46">
        <v>2178.11</v>
      </c>
      <c r="F46">
        <v>1</v>
      </c>
      <c r="G46">
        <v>1</v>
      </c>
      <c r="H46">
        <v>2178.11</v>
      </c>
      <c r="I46" t="s">
        <v>4977</v>
      </c>
    </row>
    <row r="47" spans="1:9" x14ac:dyDescent="0.25">
      <c r="A47" t="s">
        <v>3117</v>
      </c>
      <c r="B47" t="s">
        <v>19</v>
      </c>
      <c r="C47">
        <v>5252.24</v>
      </c>
      <c r="D47">
        <v>153.51999999999998</v>
      </c>
      <c r="E47">
        <v>5098.7199999999993</v>
      </c>
      <c r="F47">
        <v>4</v>
      </c>
      <c r="G47">
        <v>1</v>
      </c>
      <c r="H47">
        <v>5098.72</v>
      </c>
      <c r="I47" t="s">
        <v>4977</v>
      </c>
    </row>
    <row r="48" spans="1:9" x14ac:dyDescent="0.25">
      <c r="A48" t="s">
        <v>3992</v>
      </c>
      <c r="B48" t="s">
        <v>52</v>
      </c>
      <c r="C48">
        <v>1933.98</v>
      </c>
      <c r="D48">
        <v>56.39</v>
      </c>
      <c r="E48">
        <v>1877.59</v>
      </c>
      <c r="F48">
        <v>1</v>
      </c>
      <c r="G48">
        <v>1</v>
      </c>
      <c r="H48">
        <v>1877.59</v>
      </c>
      <c r="I48" t="s">
        <v>4977</v>
      </c>
    </row>
    <row r="49" spans="1:9" x14ac:dyDescent="0.25">
      <c r="A49" t="s">
        <v>3124</v>
      </c>
      <c r="B49" t="s">
        <v>25</v>
      </c>
      <c r="C49">
        <v>277.33</v>
      </c>
      <c r="D49">
        <v>8.34</v>
      </c>
      <c r="E49">
        <v>268.99</v>
      </c>
      <c r="F49">
        <v>1</v>
      </c>
      <c r="G49">
        <v>2</v>
      </c>
      <c r="H49">
        <v>537.98</v>
      </c>
      <c r="I49" t="s">
        <v>4987</v>
      </c>
    </row>
    <row r="50" spans="1:9" x14ac:dyDescent="0.25">
      <c r="A50" t="s">
        <v>3128</v>
      </c>
      <c r="B50" t="s">
        <v>52</v>
      </c>
      <c r="C50">
        <v>4204.26</v>
      </c>
      <c r="D50">
        <v>123.11000000000001</v>
      </c>
      <c r="E50">
        <v>4081.1500000000005</v>
      </c>
      <c r="F50">
        <v>4</v>
      </c>
      <c r="G50">
        <v>1</v>
      </c>
      <c r="H50">
        <v>4081.15</v>
      </c>
      <c r="I50" t="s">
        <v>4977</v>
      </c>
    </row>
    <row r="51" spans="1:9" x14ac:dyDescent="0.25">
      <c r="A51" t="s">
        <v>3130</v>
      </c>
      <c r="B51" t="s">
        <v>19</v>
      </c>
      <c r="C51">
        <v>3641.9300000000003</v>
      </c>
      <c r="D51">
        <v>106.82</v>
      </c>
      <c r="E51">
        <v>3535.11</v>
      </c>
      <c r="F51">
        <v>4</v>
      </c>
      <c r="G51">
        <v>1</v>
      </c>
      <c r="H51">
        <v>3535.11</v>
      </c>
      <c r="I51" t="s">
        <v>4977</v>
      </c>
    </row>
    <row r="52" spans="1:9" x14ac:dyDescent="0.25">
      <c r="A52" t="s">
        <v>3293</v>
      </c>
      <c r="B52" t="s">
        <v>25</v>
      </c>
      <c r="C52">
        <v>842.57</v>
      </c>
      <c r="D52">
        <v>24.73</v>
      </c>
      <c r="E52">
        <v>817.84</v>
      </c>
      <c r="F52">
        <v>1</v>
      </c>
      <c r="G52">
        <v>2</v>
      </c>
      <c r="H52">
        <v>1635.68</v>
      </c>
      <c r="I52" t="s">
        <v>4987</v>
      </c>
    </row>
    <row r="53" spans="1:9" x14ac:dyDescent="0.25">
      <c r="A53" t="s">
        <v>3140</v>
      </c>
      <c r="B53" t="s">
        <v>52</v>
      </c>
      <c r="C53">
        <v>5683.1</v>
      </c>
      <c r="D53">
        <v>166.01999999999998</v>
      </c>
      <c r="E53">
        <v>5517.08</v>
      </c>
      <c r="F53">
        <v>4</v>
      </c>
      <c r="G53">
        <v>1</v>
      </c>
      <c r="H53">
        <v>5517.08</v>
      </c>
      <c r="I53" t="s">
        <v>4977</v>
      </c>
    </row>
    <row r="54" spans="1:9" x14ac:dyDescent="0.25">
      <c r="A54" t="s">
        <v>3443</v>
      </c>
      <c r="B54" t="s">
        <v>19</v>
      </c>
      <c r="C54">
        <v>2439.62</v>
      </c>
      <c r="D54">
        <v>71.05</v>
      </c>
      <c r="E54">
        <v>2368.5700000000002</v>
      </c>
      <c r="F54">
        <v>1</v>
      </c>
      <c r="G54">
        <v>2</v>
      </c>
      <c r="H54">
        <v>4737.1400000000003</v>
      </c>
      <c r="I54" t="s">
        <v>4987</v>
      </c>
    </row>
    <row r="55" spans="1:9" x14ac:dyDescent="0.25">
      <c r="A55" t="s">
        <v>3453</v>
      </c>
      <c r="B55" t="s">
        <v>19</v>
      </c>
      <c r="C55">
        <v>100.91</v>
      </c>
      <c r="D55">
        <v>3.23</v>
      </c>
      <c r="E55">
        <v>97.68</v>
      </c>
      <c r="F55">
        <v>1</v>
      </c>
      <c r="G55">
        <v>2</v>
      </c>
      <c r="H55">
        <v>195.36</v>
      </c>
      <c r="I55" t="s">
        <v>4987</v>
      </c>
    </row>
    <row r="56" spans="1:9" x14ac:dyDescent="0.25">
      <c r="A56" t="s">
        <v>3164</v>
      </c>
      <c r="B56" t="s">
        <v>25</v>
      </c>
      <c r="C56">
        <v>219.41</v>
      </c>
      <c r="D56">
        <v>6.66</v>
      </c>
      <c r="E56">
        <v>212.75</v>
      </c>
      <c r="F56">
        <v>1</v>
      </c>
      <c r="G56">
        <v>1</v>
      </c>
      <c r="H56">
        <v>212.75</v>
      </c>
      <c r="I56" t="s">
        <v>4977</v>
      </c>
    </row>
    <row r="57" spans="1:9" x14ac:dyDescent="0.25">
      <c r="A57" t="s">
        <v>3730</v>
      </c>
      <c r="B57" t="s">
        <v>25</v>
      </c>
      <c r="C57">
        <v>1397.38</v>
      </c>
      <c r="D57">
        <v>40.82</v>
      </c>
      <c r="E57">
        <v>1356.56</v>
      </c>
      <c r="F57">
        <v>1</v>
      </c>
      <c r="G57">
        <v>2</v>
      </c>
      <c r="H57">
        <v>2713.12</v>
      </c>
      <c r="I57" t="s">
        <v>4987</v>
      </c>
    </row>
    <row r="58" spans="1:9" x14ac:dyDescent="0.25">
      <c r="A58" t="s">
        <v>3169</v>
      </c>
      <c r="B58" t="s">
        <v>25</v>
      </c>
      <c r="C58">
        <v>141.66999999999999</v>
      </c>
      <c r="D58">
        <v>4.41</v>
      </c>
      <c r="E58">
        <v>137.26</v>
      </c>
      <c r="F58">
        <v>1</v>
      </c>
      <c r="G58">
        <v>1</v>
      </c>
      <c r="H58">
        <v>137.26</v>
      </c>
      <c r="I58" t="s">
        <v>4977</v>
      </c>
    </row>
    <row r="59" spans="1:9" x14ac:dyDescent="0.25">
      <c r="A59" t="s">
        <v>4086</v>
      </c>
      <c r="B59" t="s">
        <v>25</v>
      </c>
      <c r="C59">
        <v>265.27999999999997</v>
      </c>
      <c r="D59">
        <v>7.99</v>
      </c>
      <c r="E59">
        <v>257.29000000000002</v>
      </c>
      <c r="F59">
        <v>1</v>
      </c>
      <c r="G59">
        <v>2</v>
      </c>
      <c r="H59">
        <v>514.58000000000004</v>
      </c>
      <c r="I59" t="s">
        <v>4987</v>
      </c>
    </row>
    <row r="60" spans="1:9" x14ac:dyDescent="0.25">
      <c r="A60" t="s">
        <v>3172</v>
      </c>
      <c r="B60" t="s">
        <v>52</v>
      </c>
      <c r="C60">
        <v>5442.58</v>
      </c>
      <c r="D60">
        <v>159.04000000000002</v>
      </c>
      <c r="E60">
        <v>5283.5400000000009</v>
      </c>
      <c r="F60">
        <v>4</v>
      </c>
      <c r="G60">
        <v>1</v>
      </c>
      <c r="H60">
        <v>5283.54</v>
      </c>
      <c r="I60" t="s">
        <v>4977</v>
      </c>
    </row>
    <row r="61" spans="1:9" x14ac:dyDescent="0.25">
      <c r="A61" t="s">
        <v>4118</v>
      </c>
      <c r="B61" t="s">
        <v>25</v>
      </c>
      <c r="C61">
        <v>1605.02</v>
      </c>
      <c r="D61">
        <v>46.85</v>
      </c>
      <c r="E61">
        <v>1558.17</v>
      </c>
      <c r="F61">
        <v>1</v>
      </c>
      <c r="G61">
        <v>2</v>
      </c>
      <c r="H61">
        <v>3116.34</v>
      </c>
      <c r="I61" t="s">
        <v>4987</v>
      </c>
    </row>
    <row r="62" spans="1:9" x14ac:dyDescent="0.25">
      <c r="A62" t="s">
        <v>3174</v>
      </c>
      <c r="B62" t="s">
        <v>19</v>
      </c>
      <c r="C62">
        <v>4840.08</v>
      </c>
      <c r="D62">
        <v>141.56</v>
      </c>
      <c r="E62">
        <v>4698.5200000000004</v>
      </c>
      <c r="F62">
        <v>4</v>
      </c>
      <c r="G62">
        <v>1</v>
      </c>
      <c r="H62">
        <v>4698.5200000000004</v>
      </c>
      <c r="I62" t="s">
        <v>4977</v>
      </c>
    </row>
    <row r="63" spans="1:9" x14ac:dyDescent="0.25">
      <c r="A63" t="s">
        <v>4178</v>
      </c>
      <c r="B63" t="s">
        <v>25</v>
      </c>
      <c r="C63">
        <v>1743.14</v>
      </c>
      <c r="D63">
        <v>50.85</v>
      </c>
      <c r="E63">
        <v>1692.29</v>
      </c>
      <c r="F63">
        <v>1</v>
      </c>
      <c r="G63">
        <v>2</v>
      </c>
      <c r="H63">
        <v>3384.58</v>
      </c>
      <c r="I63" t="s">
        <v>4987</v>
      </c>
    </row>
    <row r="64" spans="1:9" x14ac:dyDescent="0.25">
      <c r="A64" t="s">
        <v>3184</v>
      </c>
      <c r="B64" t="s">
        <v>52</v>
      </c>
      <c r="C64">
        <v>790.35</v>
      </c>
      <c r="D64">
        <v>23.22</v>
      </c>
      <c r="E64">
        <v>767.13</v>
      </c>
      <c r="F64">
        <v>1</v>
      </c>
      <c r="I64" t="s">
        <v>4988</v>
      </c>
    </row>
    <row r="65" spans="1:9" x14ac:dyDescent="0.25">
      <c r="A65" t="s">
        <v>4249</v>
      </c>
      <c r="B65" t="s">
        <v>19</v>
      </c>
      <c r="C65">
        <v>977.86</v>
      </c>
      <c r="D65">
        <v>28.66</v>
      </c>
      <c r="E65">
        <v>949.2</v>
      </c>
      <c r="F65">
        <v>1</v>
      </c>
      <c r="G65">
        <v>2</v>
      </c>
      <c r="H65">
        <v>1898.4</v>
      </c>
      <c r="I65" t="s">
        <v>4987</v>
      </c>
    </row>
    <row r="66" spans="1:9" x14ac:dyDescent="0.25">
      <c r="A66" t="s">
        <v>3186</v>
      </c>
      <c r="B66" t="s">
        <v>19</v>
      </c>
      <c r="C66">
        <v>4335.75</v>
      </c>
      <c r="D66">
        <v>126.93</v>
      </c>
      <c r="E66">
        <v>4208.8200000000006</v>
      </c>
      <c r="F66">
        <v>4</v>
      </c>
      <c r="G66">
        <v>1</v>
      </c>
      <c r="H66">
        <v>4208.82</v>
      </c>
      <c r="I66" t="s">
        <v>4977</v>
      </c>
    </row>
    <row r="67" spans="1:9" x14ac:dyDescent="0.25">
      <c r="A67" t="s">
        <v>3197</v>
      </c>
      <c r="B67" t="s">
        <v>52</v>
      </c>
      <c r="C67">
        <v>-774.42</v>
      </c>
      <c r="D67">
        <v>0</v>
      </c>
      <c r="E67">
        <v>-774.42</v>
      </c>
      <c r="F67">
        <v>1</v>
      </c>
      <c r="G67">
        <v>1</v>
      </c>
      <c r="H67">
        <v>-774.42</v>
      </c>
      <c r="I67" t="s">
        <v>4977</v>
      </c>
    </row>
    <row r="68" spans="1:9" x14ac:dyDescent="0.25">
      <c r="A68" t="s">
        <v>3518</v>
      </c>
      <c r="B68" t="s">
        <v>52</v>
      </c>
      <c r="C68">
        <v>3934.96</v>
      </c>
      <c r="D68">
        <v>115.99</v>
      </c>
      <c r="E68">
        <v>3818.97</v>
      </c>
      <c r="F68">
        <v>5</v>
      </c>
      <c r="G68">
        <v>1</v>
      </c>
      <c r="H68">
        <v>3818.97</v>
      </c>
      <c r="I68" t="s">
        <v>4977</v>
      </c>
    </row>
    <row r="69" spans="1:9" x14ac:dyDescent="0.25">
      <c r="A69" t="s">
        <v>3214</v>
      </c>
      <c r="B69" t="s">
        <v>25</v>
      </c>
      <c r="C69">
        <v>-631.87</v>
      </c>
      <c r="D69">
        <v>0</v>
      </c>
      <c r="E69">
        <v>-631.87</v>
      </c>
      <c r="F69">
        <v>1</v>
      </c>
      <c r="G69">
        <v>1</v>
      </c>
      <c r="H69">
        <v>-631.87</v>
      </c>
      <c r="I69" t="s">
        <v>4977</v>
      </c>
    </row>
    <row r="70" spans="1:9" x14ac:dyDescent="0.25">
      <c r="A70" t="s">
        <v>3941</v>
      </c>
      <c r="B70" t="s">
        <v>52</v>
      </c>
      <c r="C70">
        <v>5390.76</v>
      </c>
      <c r="D70">
        <v>157.82</v>
      </c>
      <c r="E70">
        <v>5232.9400000000005</v>
      </c>
      <c r="F70">
        <v>5</v>
      </c>
      <c r="G70">
        <v>1</v>
      </c>
      <c r="H70">
        <v>5232.9399999999996</v>
      </c>
      <c r="I70" t="s">
        <v>4977</v>
      </c>
    </row>
    <row r="71" spans="1:9" x14ac:dyDescent="0.25">
      <c r="A71" t="s">
        <v>3227</v>
      </c>
      <c r="B71" t="s">
        <v>25</v>
      </c>
      <c r="C71">
        <v>-1472.02</v>
      </c>
      <c r="D71">
        <v>0</v>
      </c>
      <c r="E71">
        <v>-1472.02</v>
      </c>
      <c r="F71">
        <v>1</v>
      </c>
      <c r="G71">
        <v>1</v>
      </c>
      <c r="H71">
        <v>-1472.02</v>
      </c>
      <c r="I71" t="s">
        <v>4977</v>
      </c>
    </row>
    <row r="72" spans="1:9" x14ac:dyDescent="0.25">
      <c r="A72" t="s">
        <v>3253</v>
      </c>
      <c r="B72" t="s">
        <v>52</v>
      </c>
      <c r="C72">
        <v>-293.02</v>
      </c>
      <c r="D72">
        <v>0</v>
      </c>
      <c r="E72">
        <v>-293.02</v>
      </c>
      <c r="F72">
        <v>1</v>
      </c>
      <c r="G72">
        <v>1</v>
      </c>
      <c r="H72">
        <v>-293.02</v>
      </c>
      <c r="I72" t="s">
        <v>4977</v>
      </c>
    </row>
    <row r="73" spans="1:9" x14ac:dyDescent="0.25">
      <c r="A73" t="s">
        <v>3561</v>
      </c>
      <c r="B73" t="s">
        <v>52</v>
      </c>
      <c r="C73">
        <v>3668.0099999999998</v>
      </c>
      <c r="D73">
        <v>107.86999999999999</v>
      </c>
      <c r="E73">
        <v>3560.1400000000003</v>
      </c>
      <c r="F73">
        <v>5</v>
      </c>
      <c r="G73">
        <v>1</v>
      </c>
      <c r="H73">
        <v>3560.14</v>
      </c>
      <c r="I73" t="s">
        <v>4977</v>
      </c>
    </row>
    <row r="74" spans="1:9" x14ac:dyDescent="0.25">
      <c r="A74" t="s">
        <v>3267</v>
      </c>
      <c r="B74" t="s">
        <v>25</v>
      </c>
      <c r="C74">
        <v>1360.99</v>
      </c>
      <c r="D74">
        <v>39.770000000000003</v>
      </c>
      <c r="E74">
        <v>1321.22</v>
      </c>
      <c r="F74">
        <v>1</v>
      </c>
      <c r="I74" t="s">
        <v>4988</v>
      </c>
    </row>
    <row r="75" spans="1:9" x14ac:dyDescent="0.25">
      <c r="A75" t="s">
        <v>3984</v>
      </c>
      <c r="B75" t="s">
        <v>52</v>
      </c>
      <c r="C75">
        <v>3805.0299999999997</v>
      </c>
      <c r="D75">
        <v>111.53999999999999</v>
      </c>
      <c r="E75">
        <v>3693.49</v>
      </c>
      <c r="F75">
        <v>4</v>
      </c>
      <c r="G75">
        <v>1</v>
      </c>
      <c r="H75">
        <v>3693.49</v>
      </c>
      <c r="I75" t="s">
        <v>4977</v>
      </c>
    </row>
    <row r="76" spans="1:9" x14ac:dyDescent="0.25">
      <c r="A76" t="s">
        <v>3271</v>
      </c>
      <c r="B76" t="s">
        <v>25</v>
      </c>
      <c r="C76">
        <v>-518.08000000000004</v>
      </c>
      <c r="D76">
        <v>0</v>
      </c>
      <c r="E76">
        <v>-518.08000000000004</v>
      </c>
      <c r="F76">
        <v>1</v>
      </c>
      <c r="G76">
        <v>1</v>
      </c>
      <c r="H76">
        <v>-518.08000000000004</v>
      </c>
      <c r="I76" t="s">
        <v>4977</v>
      </c>
    </row>
    <row r="77" spans="1:9" x14ac:dyDescent="0.25">
      <c r="A77" t="s">
        <v>3278</v>
      </c>
      <c r="B77" t="s">
        <v>52</v>
      </c>
      <c r="C77">
        <v>-439.33</v>
      </c>
      <c r="D77">
        <v>0</v>
      </c>
      <c r="E77">
        <v>-439.33</v>
      </c>
      <c r="F77">
        <v>1</v>
      </c>
      <c r="G77">
        <v>1</v>
      </c>
      <c r="H77">
        <v>-439.33</v>
      </c>
      <c r="I77" t="s">
        <v>4977</v>
      </c>
    </row>
    <row r="78" spans="1:9" x14ac:dyDescent="0.25">
      <c r="A78" t="s">
        <v>3502</v>
      </c>
      <c r="B78" t="s">
        <v>52</v>
      </c>
      <c r="C78">
        <v>3465.82</v>
      </c>
      <c r="D78">
        <v>102.01</v>
      </c>
      <c r="E78">
        <v>3363.81</v>
      </c>
      <c r="F78">
        <v>5</v>
      </c>
      <c r="G78">
        <v>1</v>
      </c>
      <c r="H78">
        <v>3363.81</v>
      </c>
      <c r="I78" t="s">
        <v>4977</v>
      </c>
    </row>
    <row r="79" spans="1:9" x14ac:dyDescent="0.25">
      <c r="A79" t="s">
        <v>3282</v>
      </c>
      <c r="B79" t="s">
        <v>25</v>
      </c>
      <c r="C79">
        <v>534.15</v>
      </c>
      <c r="D79">
        <v>15.79</v>
      </c>
      <c r="E79">
        <v>518.36</v>
      </c>
      <c r="F79">
        <v>1</v>
      </c>
      <c r="I79" t="s">
        <v>4988</v>
      </c>
    </row>
    <row r="80" spans="1:9" x14ac:dyDescent="0.25">
      <c r="A80" t="s">
        <v>3925</v>
      </c>
      <c r="B80" t="s">
        <v>52</v>
      </c>
      <c r="C80">
        <v>9949.93</v>
      </c>
      <c r="D80">
        <v>290.05</v>
      </c>
      <c r="E80">
        <v>9659.880000000001</v>
      </c>
      <c r="F80">
        <v>5</v>
      </c>
      <c r="G80">
        <v>1</v>
      </c>
      <c r="H80">
        <v>9659.8799999999992</v>
      </c>
      <c r="I80" t="s">
        <v>4977</v>
      </c>
    </row>
    <row r="81" spans="1:9" x14ac:dyDescent="0.25">
      <c r="A81" t="s">
        <v>3290</v>
      </c>
      <c r="B81" t="s">
        <v>52</v>
      </c>
      <c r="C81">
        <v>2394.61</v>
      </c>
      <c r="D81">
        <v>69.739999999999995</v>
      </c>
      <c r="E81">
        <v>2324.87</v>
      </c>
      <c r="F81">
        <v>1</v>
      </c>
      <c r="I81" t="s">
        <v>4988</v>
      </c>
    </row>
    <row r="82" spans="1:9" x14ac:dyDescent="0.25">
      <c r="A82" t="s">
        <v>3545</v>
      </c>
      <c r="B82" t="s">
        <v>52</v>
      </c>
      <c r="C82">
        <v>6159.78</v>
      </c>
      <c r="D82">
        <v>180.13</v>
      </c>
      <c r="E82">
        <v>5979.65</v>
      </c>
      <c r="F82">
        <v>5</v>
      </c>
      <c r="G82">
        <v>1</v>
      </c>
      <c r="H82">
        <v>5979.65</v>
      </c>
      <c r="I82" t="s">
        <v>4977</v>
      </c>
    </row>
    <row r="83" spans="1:9" x14ac:dyDescent="0.25">
      <c r="A83" t="s">
        <v>3298</v>
      </c>
      <c r="B83" t="s">
        <v>25</v>
      </c>
      <c r="C83">
        <v>-16.93</v>
      </c>
      <c r="D83">
        <v>0</v>
      </c>
      <c r="E83">
        <v>-16.93</v>
      </c>
      <c r="F83">
        <v>1</v>
      </c>
      <c r="G83">
        <v>1</v>
      </c>
      <c r="H83">
        <v>-16.93</v>
      </c>
      <c r="I83" t="s">
        <v>4977</v>
      </c>
    </row>
    <row r="84" spans="1:9" x14ac:dyDescent="0.25">
      <c r="A84" t="s">
        <v>3968</v>
      </c>
      <c r="B84" t="s">
        <v>52</v>
      </c>
      <c r="C84">
        <v>1119.1300000000001</v>
      </c>
      <c r="D84">
        <v>33.659999999999997</v>
      </c>
      <c r="E84">
        <v>1085.4699999999998</v>
      </c>
      <c r="F84">
        <v>4</v>
      </c>
      <c r="G84">
        <v>1</v>
      </c>
      <c r="H84">
        <v>1085.47</v>
      </c>
      <c r="I84" t="s">
        <v>4977</v>
      </c>
    </row>
    <row r="85" spans="1:9" x14ac:dyDescent="0.25">
      <c r="A85" t="s">
        <v>3308</v>
      </c>
      <c r="B85" t="s">
        <v>25</v>
      </c>
      <c r="C85">
        <v>-1351.31</v>
      </c>
      <c r="D85">
        <v>0</v>
      </c>
      <c r="E85">
        <v>-1351.31</v>
      </c>
      <c r="F85">
        <v>1</v>
      </c>
      <c r="G85">
        <v>1</v>
      </c>
      <c r="H85">
        <v>-1351.31</v>
      </c>
      <c r="I85" t="s">
        <v>4977</v>
      </c>
    </row>
    <row r="86" spans="1:9" x14ac:dyDescent="0.25">
      <c r="A86" t="s">
        <v>3321</v>
      </c>
      <c r="B86" t="s">
        <v>25</v>
      </c>
      <c r="C86">
        <v>-127.66</v>
      </c>
      <c r="D86">
        <v>0</v>
      </c>
      <c r="E86">
        <v>-127.66</v>
      </c>
      <c r="F86">
        <v>1</v>
      </c>
      <c r="G86">
        <v>1</v>
      </c>
      <c r="H86">
        <v>-127.66</v>
      </c>
      <c r="I86" t="s">
        <v>4977</v>
      </c>
    </row>
    <row r="87" spans="1:9" x14ac:dyDescent="0.25">
      <c r="A87" t="s">
        <v>3484</v>
      </c>
      <c r="B87" t="s">
        <v>52</v>
      </c>
      <c r="C87">
        <v>11002.08</v>
      </c>
      <c r="D87">
        <v>320.86</v>
      </c>
      <c r="E87">
        <v>10681.220000000001</v>
      </c>
      <c r="F87">
        <v>6</v>
      </c>
      <c r="G87">
        <v>1</v>
      </c>
      <c r="H87">
        <v>8584.7099999999991</v>
      </c>
      <c r="I87" t="s">
        <v>4987</v>
      </c>
    </row>
    <row r="88" spans="1:9" x14ac:dyDescent="0.25">
      <c r="A88" t="s">
        <v>3328</v>
      </c>
      <c r="B88" t="s">
        <v>52</v>
      </c>
      <c r="C88">
        <v>-714.93</v>
      </c>
      <c r="D88">
        <v>0</v>
      </c>
      <c r="E88">
        <v>-714.93</v>
      </c>
      <c r="F88">
        <v>1</v>
      </c>
      <c r="G88">
        <v>1</v>
      </c>
      <c r="H88">
        <v>-714.93</v>
      </c>
      <c r="I88" t="s">
        <v>4977</v>
      </c>
    </row>
    <row r="89" spans="1:9" x14ac:dyDescent="0.25">
      <c r="A89" t="s">
        <v>3908</v>
      </c>
      <c r="B89" t="s">
        <v>52</v>
      </c>
      <c r="C89">
        <v>4554.22</v>
      </c>
      <c r="D89">
        <v>133.26</v>
      </c>
      <c r="E89">
        <v>4420.96</v>
      </c>
      <c r="F89">
        <v>4</v>
      </c>
      <c r="G89">
        <v>1</v>
      </c>
      <c r="H89">
        <v>4420.96</v>
      </c>
      <c r="I89" t="s">
        <v>4977</v>
      </c>
    </row>
    <row r="90" spans="1:9" x14ac:dyDescent="0.25">
      <c r="A90" t="s">
        <v>3361</v>
      </c>
      <c r="B90" t="s">
        <v>19</v>
      </c>
      <c r="C90">
        <v>-1149.1600000000001</v>
      </c>
      <c r="D90">
        <v>0</v>
      </c>
      <c r="E90">
        <v>-1149.1600000000001</v>
      </c>
      <c r="F90">
        <v>1</v>
      </c>
      <c r="G90">
        <v>1</v>
      </c>
      <c r="H90">
        <v>-1149.1600000000001</v>
      </c>
      <c r="I90" t="s">
        <v>4977</v>
      </c>
    </row>
    <row r="91" spans="1:9" x14ac:dyDescent="0.25">
      <c r="A91" t="s">
        <v>3366</v>
      </c>
      <c r="B91" t="s">
        <v>25</v>
      </c>
      <c r="C91">
        <v>-474.78</v>
      </c>
      <c r="D91">
        <v>0</v>
      </c>
      <c r="E91">
        <v>-474.78</v>
      </c>
      <c r="F91">
        <v>1</v>
      </c>
      <c r="G91">
        <v>1</v>
      </c>
      <c r="H91">
        <v>-474.78</v>
      </c>
      <c r="I91" t="s">
        <v>4977</v>
      </c>
    </row>
    <row r="92" spans="1:9" x14ac:dyDescent="0.25">
      <c r="A92" t="s">
        <v>3533</v>
      </c>
      <c r="B92" t="s">
        <v>52</v>
      </c>
      <c r="C92">
        <v>5977.9699999999993</v>
      </c>
      <c r="D92">
        <v>174.86</v>
      </c>
      <c r="E92">
        <v>5803.1100000000006</v>
      </c>
      <c r="F92">
        <v>5</v>
      </c>
      <c r="G92">
        <v>1</v>
      </c>
      <c r="H92">
        <v>5803.11</v>
      </c>
      <c r="I92" t="s">
        <v>4977</v>
      </c>
    </row>
    <row r="93" spans="1:9" x14ac:dyDescent="0.25">
      <c r="A93" t="s">
        <v>3954</v>
      </c>
      <c r="B93" t="s">
        <v>52</v>
      </c>
      <c r="C93">
        <v>5295.65</v>
      </c>
      <c r="D93">
        <v>154.77000000000001</v>
      </c>
      <c r="E93">
        <v>5140.88</v>
      </c>
      <c r="F93">
        <v>4</v>
      </c>
      <c r="G93">
        <v>1</v>
      </c>
      <c r="H93">
        <v>5140.88</v>
      </c>
      <c r="I93" t="s">
        <v>4977</v>
      </c>
    </row>
    <row r="94" spans="1:9" x14ac:dyDescent="0.25">
      <c r="A94" t="s">
        <v>3388</v>
      </c>
      <c r="B94" t="s">
        <v>25</v>
      </c>
      <c r="C94">
        <v>1372.7</v>
      </c>
      <c r="D94">
        <v>40.11</v>
      </c>
      <c r="E94">
        <v>1332.59</v>
      </c>
      <c r="F94">
        <v>1</v>
      </c>
      <c r="I94" t="s">
        <v>4988</v>
      </c>
    </row>
    <row r="95" spans="1:9" x14ac:dyDescent="0.25">
      <c r="A95" t="s">
        <v>3576</v>
      </c>
      <c r="B95" t="s">
        <v>52</v>
      </c>
      <c r="C95">
        <v>2558.09</v>
      </c>
      <c r="D95">
        <v>75.38</v>
      </c>
      <c r="E95">
        <v>2482.71</v>
      </c>
      <c r="F95">
        <v>4</v>
      </c>
      <c r="G95">
        <v>1</v>
      </c>
      <c r="H95">
        <v>2482.71</v>
      </c>
      <c r="I95" t="s">
        <v>4977</v>
      </c>
    </row>
    <row r="96" spans="1:9" x14ac:dyDescent="0.25">
      <c r="A96" t="s">
        <v>3404</v>
      </c>
      <c r="B96" t="s">
        <v>25</v>
      </c>
      <c r="C96">
        <v>-2282.7800000000002</v>
      </c>
      <c r="D96">
        <v>0</v>
      </c>
      <c r="E96">
        <v>-2282.7800000000002</v>
      </c>
      <c r="F96">
        <v>1</v>
      </c>
      <c r="G96">
        <v>1</v>
      </c>
      <c r="H96">
        <v>-2282.7800000000002</v>
      </c>
      <c r="I96" t="s">
        <v>4977</v>
      </c>
    </row>
    <row r="97" spans="1:9" x14ac:dyDescent="0.25">
      <c r="A97" t="s">
        <v>3998</v>
      </c>
      <c r="B97" t="s">
        <v>52</v>
      </c>
      <c r="C97">
        <v>4021.15</v>
      </c>
      <c r="D97">
        <v>117.50999999999999</v>
      </c>
      <c r="E97">
        <v>3903.6400000000003</v>
      </c>
      <c r="F97">
        <v>3</v>
      </c>
      <c r="G97">
        <v>1</v>
      </c>
      <c r="H97">
        <v>3903.64</v>
      </c>
      <c r="I97" t="s">
        <v>4977</v>
      </c>
    </row>
    <row r="98" spans="1:9" x14ac:dyDescent="0.25">
      <c r="A98" t="s">
        <v>3427</v>
      </c>
      <c r="B98" t="s">
        <v>25</v>
      </c>
      <c r="C98">
        <v>546.1</v>
      </c>
      <c r="D98">
        <v>16.14</v>
      </c>
      <c r="E98">
        <v>529.96</v>
      </c>
      <c r="F98">
        <v>1</v>
      </c>
      <c r="I98" t="s">
        <v>4988</v>
      </c>
    </row>
    <row r="99" spans="1:9" x14ac:dyDescent="0.25">
      <c r="A99" t="s">
        <v>3466</v>
      </c>
      <c r="B99" t="s">
        <v>19</v>
      </c>
      <c r="C99">
        <v>6198.65</v>
      </c>
      <c r="D99">
        <v>180.96</v>
      </c>
      <c r="E99">
        <v>6017.69</v>
      </c>
      <c r="F99">
        <v>4</v>
      </c>
      <c r="G99">
        <v>1</v>
      </c>
      <c r="H99">
        <v>6017.69</v>
      </c>
      <c r="I99" t="s">
        <v>4977</v>
      </c>
    </row>
    <row r="100" spans="1:9" x14ac:dyDescent="0.25">
      <c r="A100" t="s">
        <v>3888</v>
      </c>
      <c r="B100" t="s">
        <v>19</v>
      </c>
      <c r="C100">
        <v>6139.7400000000007</v>
      </c>
      <c r="D100">
        <v>179.25</v>
      </c>
      <c r="E100">
        <v>5960.49</v>
      </c>
      <c r="F100">
        <v>4</v>
      </c>
      <c r="G100">
        <v>1</v>
      </c>
      <c r="H100">
        <v>5960.49</v>
      </c>
      <c r="I100" t="s">
        <v>4977</v>
      </c>
    </row>
    <row r="101" spans="1:9" x14ac:dyDescent="0.25">
      <c r="A101" t="s">
        <v>3464</v>
      </c>
      <c r="B101" t="s">
        <v>52</v>
      </c>
      <c r="C101">
        <v>-2107.5100000000002</v>
      </c>
      <c r="D101">
        <v>0</v>
      </c>
      <c r="E101">
        <v>-2107.5100000000002</v>
      </c>
      <c r="F101">
        <v>1</v>
      </c>
      <c r="G101">
        <v>1</v>
      </c>
      <c r="H101">
        <v>-2107.5100000000002</v>
      </c>
      <c r="I101" t="s">
        <v>4977</v>
      </c>
    </row>
    <row r="102" spans="1:9" x14ac:dyDescent="0.25">
      <c r="A102" t="s">
        <v>3520</v>
      </c>
      <c r="B102" t="s">
        <v>19</v>
      </c>
      <c r="C102">
        <v>6894.7599999999993</v>
      </c>
      <c r="D102">
        <v>201.81</v>
      </c>
      <c r="E102">
        <v>6692.95</v>
      </c>
      <c r="F102">
        <v>5</v>
      </c>
      <c r="G102">
        <v>1</v>
      </c>
      <c r="H102">
        <v>6692.95</v>
      </c>
      <c r="I102" t="s">
        <v>4977</v>
      </c>
    </row>
    <row r="103" spans="1:9" x14ac:dyDescent="0.25">
      <c r="A103" t="s">
        <v>3943</v>
      </c>
      <c r="B103" t="s">
        <v>19</v>
      </c>
      <c r="C103">
        <v>3955.5199999999995</v>
      </c>
      <c r="D103">
        <v>115.91000000000001</v>
      </c>
      <c r="E103">
        <v>3839.61</v>
      </c>
      <c r="F103">
        <v>4</v>
      </c>
      <c r="G103">
        <v>1</v>
      </c>
      <c r="H103">
        <v>3839.61</v>
      </c>
      <c r="I103" t="s">
        <v>4977</v>
      </c>
    </row>
    <row r="104" spans="1:9" x14ac:dyDescent="0.25">
      <c r="A104" t="s">
        <v>3468</v>
      </c>
      <c r="B104" t="s">
        <v>25</v>
      </c>
      <c r="C104">
        <v>23203.410000000007</v>
      </c>
      <c r="D104">
        <v>678.91000000000008</v>
      </c>
      <c r="E104">
        <v>22524.5</v>
      </c>
      <c r="F104">
        <v>20</v>
      </c>
      <c r="G104">
        <v>1</v>
      </c>
      <c r="H104">
        <v>22524.5</v>
      </c>
      <c r="I104" t="s">
        <v>4977</v>
      </c>
    </row>
    <row r="105" spans="1:9" x14ac:dyDescent="0.25">
      <c r="A105" t="s">
        <v>3470</v>
      </c>
      <c r="B105" t="s">
        <v>25</v>
      </c>
      <c r="C105">
        <v>25030.41</v>
      </c>
      <c r="D105">
        <v>731.94</v>
      </c>
      <c r="E105">
        <v>24298.469999999998</v>
      </c>
      <c r="F105">
        <v>19</v>
      </c>
      <c r="G105">
        <v>1</v>
      </c>
      <c r="H105">
        <v>22917.55</v>
      </c>
      <c r="I105" t="s">
        <v>4987</v>
      </c>
    </row>
    <row r="106" spans="1:9" x14ac:dyDescent="0.25">
      <c r="A106" t="s">
        <v>3563</v>
      </c>
      <c r="B106" t="s">
        <v>19</v>
      </c>
      <c r="C106">
        <v>5309.48</v>
      </c>
      <c r="D106">
        <v>155.47</v>
      </c>
      <c r="E106">
        <v>5154.01</v>
      </c>
      <c r="F106">
        <v>5</v>
      </c>
      <c r="G106">
        <v>1</v>
      </c>
      <c r="H106">
        <v>5154.01</v>
      </c>
      <c r="I106" t="s">
        <v>4977</v>
      </c>
    </row>
    <row r="107" spans="1:9" x14ac:dyDescent="0.25">
      <c r="A107" t="s">
        <v>3472</v>
      </c>
      <c r="B107" t="s">
        <v>25</v>
      </c>
      <c r="C107">
        <v>21172.370000000006</v>
      </c>
      <c r="D107">
        <v>619.38999999999987</v>
      </c>
      <c r="E107">
        <v>20552.98</v>
      </c>
      <c r="F107">
        <v>18</v>
      </c>
      <c r="G107">
        <v>1</v>
      </c>
      <c r="H107">
        <v>20552.98</v>
      </c>
      <c r="I107" t="s">
        <v>4977</v>
      </c>
    </row>
    <row r="108" spans="1:9" x14ac:dyDescent="0.25">
      <c r="A108" t="s">
        <v>3986</v>
      </c>
      <c r="B108" t="s">
        <v>19</v>
      </c>
      <c r="C108">
        <v>7592.3099999999995</v>
      </c>
      <c r="D108">
        <v>221.69</v>
      </c>
      <c r="E108">
        <v>7370.6200000000008</v>
      </c>
      <c r="F108">
        <v>5</v>
      </c>
      <c r="G108">
        <v>1</v>
      </c>
      <c r="H108">
        <v>7370.62</v>
      </c>
      <c r="I108" t="s">
        <v>4977</v>
      </c>
    </row>
    <row r="109" spans="1:9" x14ac:dyDescent="0.25">
      <c r="A109" t="s">
        <v>3474</v>
      </c>
      <c r="B109" t="s">
        <v>25</v>
      </c>
      <c r="C109">
        <v>22606.210000000006</v>
      </c>
      <c r="D109">
        <v>661.58</v>
      </c>
      <c r="E109">
        <v>21944.63</v>
      </c>
      <c r="F109">
        <v>20</v>
      </c>
      <c r="G109">
        <v>1</v>
      </c>
      <c r="H109">
        <v>20963.7</v>
      </c>
      <c r="I109" t="s">
        <v>4987</v>
      </c>
    </row>
    <row r="110" spans="1:9" x14ac:dyDescent="0.25">
      <c r="A110" t="s">
        <v>3476</v>
      </c>
      <c r="B110" t="s">
        <v>25</v>
      </c>
      <c r="C110">
        <v>20997.86</v>
      </c>
      <c r="D110">
        <v>614.05000000000007</v>
      </c>
      <c r="E110">
        <v>20383.809999999998</v>
      </c>
      <c r="F110">
        <v>17</v>
      </c>
      <c r="G110">
        <v>1</v>
      </c>
      <c r="H110">
        <v>20383.810000000001</v>
      </c>
      <c r="I110" t="s">
        <v>4977</v>
      </c>
    </row>
    <row r="111" spans="1:9" x14ac:dyDescent="0.25">
      <c r="A111" t="s">
        <v>3504</v>
      </c>
      <c r="B111" t="s">
        <v>19</v>
      </c>
      <c r="C111">
        <v>4002.77</v>
      </c>
      <c r="D111">
        <v>117.28</v>
      </c>
      <c r="E111">
        <v>3885.4900000000002</v>
      </c>
      <c r="F111">
        <v>4</v>
      </c>
      <c r="G111">
        <v>1</v>
      </c>
      <c r="H111">
        <v>3885.49</v>
      </c>
      <c r="I111" t="s">
        <v>4977</v>
      </c>
    </row>
    <row r="112" spans="1:9" x14ac:dyDescent="0.25">
      <c r="A112" t="s">
        <v>3478</v>
      </c>
      <c r="B112" t="s">
        <v>25</v>
      </c>
      <c r="C112">
        <v>28421.059999999994</v>
      </c>
      <c r="D112">
        <v>830.22000000000014</v>
      </c>
      <c r="E112">
        <v>27590.839999999993</v>
      </c>
      <c r="F112">
        <v>20</v>
      </c>
      <c r="G112">
        <v>1</v>
      </c>
      <c r="H112">
        <v>23397.599999999999</v>
      </c>
      <c r="I112" t="s">
        <v>4987</v>
      </c>
    </row>
    <row r="113" spans="1:9" x14ac:dyDescent="0.25">
      <c r="A113" t="s">
        <v>3927</v>
      </c>
      <c r="B113" t="s">
        <v>19</v>
      </c>
      <c r="C113">
        <v>4803.4100000000008</v>
      </c>
      <c r="D113">
        <v>140.81</v>
      </c>
      <c r="E113">
        <v>4662.6000000000004</v>
      </c>
      <c r="F113">
        <v>5</v>
      </c>
      <c r="G113">
        <v>1</v>
      </c>
      <c r="H113">
        <v>4248.8</v>
      </c>
      <c r="I113" t="s">
        <v>4987</v>
      </c>
    </row>
    <row r="114" spans="1:9" x14ac:dyDescent="0.25">
      <c r="A114" t="s">
        <v>3480</v>
      </c>
      <c r="B114" t="s">
        <v>25</v>
      </c>
      <c r="C114">
        <v>28143.09</v>
      </c>
      <c r="D114">
        <v>822.81999999999994</v>
      </c>
      <c r="E114">
        <v>27320.270000000004</v>
      </c>
      <c r="F114">
        <v>21</v>
      </c>
      <c r="G114">
        <v>1</v>
      </c>
      <c r="H114">
        <v>27320.27</v>
      </c>
      <c r="I114" t="s">
        <v>4977</v>
      </c>
    </row>
    <row r="115" spans="1:9" x14ac:dyDescent="0.25">
      <c r="A115" t="s">
        <v>3482</v>
      </c>
      <c r="B115" t="s">
        <v>25</v>
      </c>
      <c r="C115">
        <v>24721.089999999997</v>
      </c>
      <c r="D115">
        <v>721.7</v>
      </c>
      <c r="E115">
        <v>23999.390000000007</v>
      </c>
      <c r="F115">
        <v>16</v>
      </c>
      <c r="G115">
        <v>1</v>
      </c>
      <c r="H115">
        <v>23999.39</v>
      </c>
      <c r="I115" t="s">
        <v>4977</v>
      </c>
    </row>
    <row r="116" spans="1:9" x14ac:dyDescent="0.25">
      <c r="A116" t="s">
        <v>3549</v>
      </c>
      <c r="B116" t="s">
        <v>19</v>
      </c>
      <c r="C116">
        <v>5838.45</v>
      </c>
      <c r="D116">
        <v>170.80999999999997</v>
      </c>
      <c r="E116">
        <v>5667.6399999999994</v>
      </c>
      <c r="F116">
        <v>5</v>
      </c>
      <c r="G116">
        <v>1</v>
      </c>
      <c r="H116">
        <v>5667.64</v>
      </c>
      <c r="I116" t="s">
        <v>4977</v>
      </c>
    </row>
    <row r="117" spans="1:9" x14ac:dyDescent="0.25">
      <c r="A117" t="s">
        <v>3970</v>
      </c>
      <c r="B117" t="s">
        <v>19</v>
      </c>
      <c r="C117">
        <v>4343.91</v>
      </c>
      <c r="D117">
        <v>127.17</v>
      </c>
      <c r="E117">
        <v>4216.74</v>
      </c>
      <c r="F117">
        <v>4</v>
      </c>
      <c r="G117">
        <v>1</v>
      </c>
      <c r="H117">
        <v>4216.74</v>
      </c>
      <c r="I117" t="s">
        <v>4977</v>
      </c>
    </row>
    <row r="118" spans="1:9" x14ac:dyDescent="0.25">
      <c r="A118" t="s">
        <v>3486</v>
      </c>
      <c r="B118" t="s">
        <v>19</v>
      </c>
      <c r="C118">
        <v>7245.85</v>
      </c>
      <c r="D118">
        <v>211.62</v>
      </c>
      <c r="E118">
        <v>7034.2300000000005</v>
      </c>
      <c r="F118">
        <v>5</v>
      </c>
      <c r="G118">
        <v>1</v>
      </c>
      <c r="H118">
        <v>7034.23</v>
      </c>
      <c r="I118" t="s">
        <v>4977</v>
      </c>
    </row>
    <row r="119" spans="1:9" x14ac:dyDescent="0.25">
      <c r="A119" t="s">
        <v>3488</v>
      </c>
      <c r="B119" t="s">
        <v>25</v>
      </c>
      <c r="C119">
        <v>1046.23</v>
      </c>
      <c r="D119">
        <v>30.64</v>
      </c>
      <c r="E119">
        <v>1015.59</v>
      </c>
      <c r="F119">
        <v>1</v>
      </c>
      <c r="I119" t="s">
        <v>4988</v>
      </c>
    </row>
    <row r="120" spans="1:9" x14ac:dyDescent="0.25">
      <c r="A120" t="s">
        <v>3490</v>
      </c>
      <c r="B120" t="s">
        <v>25</v>
      </c>
      <c r="C120">
        <v>23432.94</v>
      </c>
      <c r="D120">
        <v>685.99999999999989</v>
      </c>
      <c r="E120">
        <v>22746.940000000002</v>
      </c>
      <c r="F120">
        <v>19</v>
      </c>
      <c r="G120">
        <v>1</v>
      </c>
      <c r="H120">
        <v>21554.71</v>
      </c>
      <c r="I120" t="s">
        <v>4987</v>
      </c>
    </row>
    <row r="121" spans="1:9" x14ac:dyDescent="0.25">
      <c r="A121" t="s">
        <v>3910</v>
      </c>
      <c r="B121" t="s">
        <v>19</v>
      </c>
      <c r="C121">
        <v>2608.17</v>
      </c>
      <c r="D121">
        <v>76.83</v>
      </c>
      <c r="E121">
        <v>2531.34</v>
      </c>
      <c r="F121">
        <v>4</v>
      </c>
      <c r="G121">
        <v>1</v>
      </c>
      <c r="H121">
        <v>2531.34</v>
      </c>
      <c r="I121" t="s">
        <v>4977</v>
      </c>
    </row>
    <row r="122" spans="1:9" x14ac:dyDescent="0.25">
      <c r="A122" t="s">
        <v>3492</v>
      </c>
      <c r="B122" t="s">
        <v>25</v>
      </c>
      <c r="C122">
        <v>24438.680000000004</v>
      </c>
      <c r="D122">
        <v>714.42000000000007</v>
      </c>
      <c r="E122">
        <v>23724.260000000002</v>
      </c>
      <c r="F122">
        <v>19</v>
      </c>
      <c r="G122">
        <v>1</v>
      </c>
      <c r="H122">
        <v>23724.26</v>
      </c>
      <c r="I122" t="s">
        <v>4977</v>
      </c>
    </row>
    <row r="123" spans="1:9" x14ac:dyDescent="0.25">
      <c r="A123" t="s">
        <v>3494</v>
      </c>
      <c r="B123" t="s">
        <v>25</v>
      </c>
      <c r="C123">
        <v>17762.770000000004</v>
      </c>
      <c r="D123">
        <v>520.22000000000014</v>
      </c>
      <c r="E123">
        <v>17242.55</v>
      </c>
      <c r="F123">
        <v>17</v>
      </c>
      <c r="G123">
        <v>1</v>
      </c>
      <c r="H123">
        <v>17242.55</v>
      </c>
      <c r="I123" t="s">
        <v>4977</v>
      </c>
    </row>
    <row r="124" spans="1:9" x14ac:dyDescent="0.25">
      <c r="A124" t="s">
        <v>3535</v>
      </c>
      <c r="B124" t="s">
        <v>19</v>
      </c>
      <c r="C124">
        <v>4573.05</v>
      </c>
      <c r="D124">
        <v>134.5</v>
      </c>
      <c r="E124">
        <v>4438.55</v>
      </c>
      <c r="F124">
        <v>5</v>
      </c>
      <c r="G124">
        <v>1</v>
      </c>
      <c r="H124">
        <v>4438.55</v>
      </c>
      <c r="I124" t="s">
        <v>4977</v>
      </c>
    </row>
    <row r="125" spans="1:9" x14ac:dyDescent="0.25">
      <c r="A125" t="s">
        <v>3498</v>
      </c>
      <c r="B125" t="s">
        <v>25</v>
      </c>
      <c r="C125">
        <v>-639.99</v>
      </c>
      <c r="D125">
        <v>0</v>
      </c>
      <c r="E125">
        <v>-639.99</v>
      </c>
      <c r="F125">
        <v>1</v>
      </c>
      <c r="G125">
        <v>1</v>
      </c>
      <c r="H125">
        <v>-639.99</v>
      </c>
      <c r="I125" t="s">
        <v>4977</v>
      </c>
    </row>
    <row r="126" spans="1:9" x14ac:dyDescent="0.25">
      <c r="A126" t="s">
        <v>4125</v>
      </c>
      <c r="B126" t="s">
        <v>19</v>
      </c>
      <c r="C126">
        <v>3059.84</v>
      </c>
      <c r="D126">
        <v>89.33</v>
      </c>
      <c r="E126">
        <v>2970.51</v>
      </c>
      <c r="F126">
        <v>2</v>
      </c>
      <c r="G126">
        <v>1</v>
      </c>
      <c r="H126">
        <v>2970.51</v>
      </c>
      <c r="I126" t="s">
        <v>4977</v>
      </c>
    </row>
    <row r="127" spans="1:9" x14ac:dyDescent="0.25">
      <c r="A127" t="s">
        <v>3510</v>
      </c>
      <c r="B127" t="s">
        <v>25</v>
      </c>
      <c r="C127">
        <v>23816.07</v>
      </c>
      <c r="D127">
        <v>697.39</v>
      </c>
      <c r="E127">
        <v>23118.68</v>
      </c>
      <c r="F127">
        <v>20</v>
      </c>
      <c r="G127">
        <v>1</v>
      </c>
      <c r="H127">
        <v>23118.68</v>
      </c>
      <c r="I127" t="s">
        <v>4977</v>
      </c>
    </row>
    <row r="128" spans="1:9" x14ac:dyDescent="0.25">
      <c r="A128" t="s">
        <v>3512</v>
      </c>
      <c r="B128" t="s">
        <v>25</v>
      </c>
      <c r="C128">
        <v>1197.72</v>
      </c>
      <c r="D128">
        <v>35.03</v>
      </c>
      <c r="E128">
        <v>1162.69</v>
      </c>
      <c r="F128">
        <v>1</v>
      </c>
      <c r="G128">
        <v>1</v>
      </c>
      <c r="H128">
        <v>1162.69</v>
      </c>
      <c r="I128" t="s">
        <v>4977</v>
      </c>
    </row>
    <row r="129" spans="1:9" x14ac:dyDescent="0.25">
      <c r="A129" t="s">
        <v>3582</v>
      </c>
      <c r="B129" t="s">
        <v>25</v>
      </c>
      <c r="C129">
        <v>2033.45</v>
      </c>
      <c r="D129">
        <v>59.27</v>
      </c>
      <c r="E129">
        <v>1974.18</v>
      </c>
      <c r="F129">
        <v>1</v>
      </c>
      <c r="G129">
        <v>1</v>
      </c>
      <c r="H129">
        <v>1974.18</v>
      </c>
      <c r="I129" t="s">
        <v>4977</v>
      </c>
    </row>
    <row r="130" spans="1:9" x14ac:dyDescent="0.25">
      <c r="A130" t="s">
        <v>3653</v>
      </c>
      <c r="B130" t="s">
        <v>25</v>
      </c>
      <c r="C130">
        <v>1227.3499999999999</v>
      </c>
      <c r="D130">
        <v>35.89</v>
      </c>
      <c r="E130">
        <v>1191.46</v>
      </c>
      <c r="F130">
        <v>1</v>
      </c>
      <c r="G130">
        <v>1</v>
      </c>
      <c r="H130">
        <v>1191.46</v>
      </c>
      <c r="I130" t="s">
        <v>4977</v>
      </c>
    </row>
    <row r="131" spans="1:9" x14ac:dyDescent="0.25">
      <c r="A131" t="s">
        <v>3759</v>
      </c>
      <c r="B131" t="s">
        <v>19</v>
      </c>
      <c r="C131">
        <v>310.01</v>
      </c>
      <c r="D131">
        <v>9.2899999999999991</v>
      </c>
      <c r="E131">
        <v>300.72000000000003</v>
      </c>
      <c r="F131">
        <v>1</v>
      </c>
      <c r="G131">
        <v>1</v>
      </c>
      <c r="H131">
        <v>300.72000000000003</v>
      </c>
      <c r="I131" t="s">
        <v>4977</v>
      </c>
    </row>
    <row r="132" spans="1:9" x14ac:dyDescent="0.25">
      <c r="A132" t="s">
        <v>3523</v>
      </c>
      <c r="B132" t="s">
        <v>25</v>
      </c>
      <c r="C132">
        <v>-847.58</v>
      </c>
      <c r="D132">
        <v>0</v>
      </c>
      <c r="E132">
        <v>-847.58</v>
      </c>
      <c r="F132">
        <v>1</v>
      </c>
      <c r="G132">
        <v>1</v>
      </c>
      <c r="H132">
        <v>-847.58</v>
      </c>
      <c r="I132" t="s">
        <v>4977</v>
      </c>
    </row>
    <row r="133" spans="1:9" x14ac:dyDescent="0.25">
      <c r="A133" t="s">
        <v>3863</v>
      </c>
      <c r="B133" t="s">
        <v>25</v>
      </c>
      <c r="C133">
        <v>789.77</v>
      </c>
      <c r="D133">
        <v>23.2</v>
      </c>
      <c r="E133">
        <v>766.57</v>
      </c>
      <c r="F133">
        <v>1</v>
      </c>
      <c r="G133">
        <v>1</v>
      </c>
      <c r="H133">
        <v>766.57</v>
      </c>
      <c r="I133" t="s">
        <v>4977</v>
      </c>
    </row>
    <row r="134" spans="1:9" x14ac:dyDescent="0.25">
      <c r="A134" t="s">
        <v>3530</v>
      </c>
      <c r="B134" t="s">
        <v>25</v>
      </c>
      <c r="C134">
        <v>21172.52</v>
      </c>
      <c r="D134">
        <v>619.48</v>
      </c>
      <c r="E134">
        <v>20553.04</v>
      </c>
      <c r="F134">
        <v>17</v>
      </c>
      <c r="G134">
        <v>1</v>
      </c>
      <c r="H134">
        <v>20553.04</v>
      </c>
      <c r="I134" t="s">
        <v>4977</v>
      </c>
    </row>
    <row r="135" spans="1:9" x14ac:dyDescent="0.25">
      <c r="A135" t="s">
        <v>3906</v>
      </c>
      <c r="B135" t="s">
        <v>25</v>
      </c>
      <c r="C135">
        <v>330.75</v>
      </c>
      <c r="D135">
        <v>9.89</v>
      </c>
      <c r="E135">
        <v>320.86</v>
      </c>
      <c r="F135">
        <v>1</v>
      </c>
      <c r="G135">
        <v>1</v>
      </c>
      <c r="H135">
        <v>320.86</v>
      </c>
      <c r="I135" t="s">
        <v>4977</v>
      </c>
    </row>
    <row r="136" spans="1:9" x14ac:dyDescent="0.25">
      <c r="A136" t="s">
        <v>3939</v>
      </c>
      <c r="B136" t="s">
        <v>25</v>
      </c>
      <c r="C136">
        <v>2263.9499999999998</v>
      </c>
      <c r="D136">
        <v>65.95</v>
      </c>
      <c r="E136">
        <v>2198</v>
      </c>
      <c r="F136">
        <v>1</v>
      </c>
      <c r="G136">
        <v>1</v>
      </c>
      <c r="H136">
        <v>2198</v>
      </c>
      <c r="I136" t="s">
        <v>4977</v>
      </c>
    </row>
    <row r="137" spans="1:9" x14ac:dyDescent="0.25">
      <c r="A137" t="s">
        <v>3952</v>
      </c>
      <c r="B137" t="s">
        <v>25</v>
      </c>
      <c r="C137">
        <v>1733</v>
      </c>
      <c r="D137">
        <v>50.56</v>
      </c>
      <c r="E137">
        <v>1682.44</v>
      </c>
      <c r="F137">
        <v>1</v>
      </c>
      <c r="G137">
        <v>1</v>
      </c>
      <c r="H137">
        <v>1682.44</v>
      </c>
      <c r="I137" t="s">
        <v>4977</v>
      </c>
    </row>
    <row r="138" spans="1:9" x14ac:dyDescent="0.25">
      <c r="A138" t="s">
        <v>3974</v>
      </c>
      <c r="B138" t="s">
        <v>25</v>
      </c>
      <c r="C138">
        <v>693.13</v>
      </c>
      <c r="D138">
        <v>20.399999999999999</v>
      </c>
      <c r="E138">
        <v>672.73</v>
      </c>
      <c r="F138">
        <v>1</v>
      </c>
      <c r="G138">
        <v>1</v>
      </c>
      <c r="H138">
        <v>672.73</v>
      </c>
      <c r="I138" t="s">
        <v>4977</v>
      </c>
    </row>
    <row r="139" spans="1:9" x14ac:dyDescent="0.25">
      <c r="A139" t="s">
        <v>3547</v>
      </c>
      <c r="B139" t="s">
        <v>52</v>
      </c>
      <c r="C139">
        <v>-42.49</v>
      </c>
      <c r="D139">
        <v>0</v>
      </c>
      <c r="E139">
        <v>-42.49</v>
      </c>
      <c r="F139">
        <v>1</v>
      </c>
      <c r="G139">
        <v>1</v>
      </c>
      <c r="H139">
        <v>-42.49</v>
      </c>
      <c r="I139" t="s">
        <v>4977</v>
      </c>
    </row>
    <row r="140" spans="1:9" x14ac:dyDescent="0.25">
      <c r="A140" t="s">
        <v>3981</v>
      </c>
      <c r="B140" t="s">
        <v>25</v>
      </c>
      <c r="C140">
        <v>993.75</v>
      </c>
      <c r="D140">
        <v>29.12</v>
      </c>
      <c r="E140">
        <v>964.63</v>
      </c>
      <c r="F140">
        <v>1</v>
      </c>
      <c r="G140">
        <v>1</v>
      </c>
      <c r="H140">
        <v>964.63</v>
      </c>
      <c r="I140" t="s">
        <v>4977</v>
      </c>
    </row>
    <row r="141" spans="1:9" x14ac:dyDescent="0.25">
      <c r="A141" t="s">
        <v>3990</v>
      </c>
      <c r="B141" t="s">
        <v>25</v>
      </c>
      <c r="C141">
        <v>1484.46</v>
      </c>
      <c r="D141">
        <v>43.35</v>
      </c>
      <c r="E141">
        <v>1441.11</v>
      </c>
      <c r="F141">
        <v>1</v>
      </c>
      <c r="G141">
        <v>1</v>
      </c>
      <c r="H141">
        <v>1441.11</v>
      </c>
      <c r="I141" t="s">
        <v>4977</v>
      </c>
    </row>
    <row r="142" spans="1:9" x14ac:dyDescent="0.25">
      <c r="A142" t="s">
        <v>3553</v>
      </c>
      <c r="B142" t="s">
        <v>25</v>
      </c>
      <c r="C142">
        <v>21417.67</v>
      </c>
      <c r="D142">
        <v>626</v>
      </c>
      <c r="E142">
        <v>20791.669999999998</v>
      </c>
      <c r="F142">
        <v>15</v>
      </c>
      <c r="G142">
        <v>1</v>
      </c>
      <c r="H142">
        <v>20791.669999999998</v>
      </c>
      <c r="I142" t="s">
        <v>4977</v>
      </c>
    </row>
    <row r="143" spans="1:9" x14ac:dyDescent="0.25">
      <c r="A143" t="s">
        <v>4037</v>
      </c>
      <c r="B143" t="s">
        <v>25</v>
      </c>
      <c r="C143">
        <v>45.69</v>
      </c>
      <c r="D143">
        <v>1.63</v>
      </c>
      <c r="E143">
        <v>44.06</v>
      </c>
      <c r="F143">
        <v>1</v>
      </c>
      <c r="G143">
        <v>1</v>
      </c>
      <c r="H143">
        <v>44.06</v>
      </c>
      <c r="I143" t="s">
        <v>4977</v>
      </c>
    </row>
    <row r="144" spans="1:9" x14ac:dyDescent="0.25">
      <c r="A144" t="s">
        <v>3557</v>
      </c>
      <c r="B144" t="s">
        <v>25</v>
      </c>
      <c r="C144">
        <v>1830.48</v>
      </c>
      <c r="D144">
        <v>53.38</v>
      </c>
      <c r="E144">
        <v>1777.1</v>
      </c>
      <c r="F144">
        <v>1</v>
      </c>
      <c r="I144" t="s">
        <v>4988</v>
      </c>
    </row>
    <row r="145" spans="1:9" x14ac:dyDescent="0.25">
      <c r="A145" t="s">
        <v>4045</v>
      </c>
      <c r="B145" t="s">
        <v>19</v>
      </c>
      <c r="C145">
        <v>1384.95</v>
      </c>
      <c r="D145">
        <v>40.46</v>
      </c>
      <c r="E145">
        <v>1344.49</v>
      </c>
      <c r="F145">
        <v>1</v>
      </c>
      <c r="G145">
        <v>1</v>
      </c>
      <c r="H145">
        <v>1344.49</v>
      </c>
      <c r="I145" t="s">
        <v>4977</v>
      </c>
    </row>
    <row r="146" spans="1:9" x14ac:dyDescent="0.25">
      <c r="A146" t="s">
        <v>4171</v>
      </c>
      <c r="B146" t="s">
        <v>52</v>
      </c>
      <c r="C146">
        <v>1344.26</v>
      </c>
      <c r="D146">
        <v>39.28</v>
      </c>
      <c r="E146">
        <v>1304.98</v>
      </c>
      <c r="F146">
        <v>1</v>
      </c>
      <c r="G146">
        <v>1</v>
      </c>
      <c r="H146">
        <v>1304.98</v>
      </c>
      <c r="I146" t="s">
        <v>4977</v>
      </c>
    </row>
    <row r="147" spans="1:9" x14ac:dyDescent="0.25">
      <c r="A147" t="s">
        <v>4222</v>
      </c>
      <c r="B147" t="s">
        <v>25</v>
      </c>
      <c r="C147">
        <v>1501.12</v>
      </c>
      <c r="D147">
        <v>43.83</v>
      </c>
      <c r="E147">
        <v>1457.29</v>
      </c>
      <c r="F147">
        <v>1</v>
      </c>
      <c r="G147">
        <v>1</v>
      </c>
      <c r="H147">
        <v>1457.29</v>
      </c>
      <c r="I147" t="s">
        <v>4977</v>
      </c>
    </row>
    <row r="148" spans="1:9" x14ac:dyDescent="0.25">
      <c r="A148" t="s">
        <v>4241</v>
      </c>
      <c r="B148" t="s">
        <v>25</v>
      </c>
      <c r="C148">
        <v>303.45999999999998</v>
      </c>
      <c r="D148">
        <v>9.1</v>
      </c>
      <c r="E148">
        <v>294.36</v>
      </c>
      <c r="F148">
        <v>1</v>
      </c>
      <c r="G148">
        <v>1</v>
      </c>
      <c r="H148">
        <v>294.36</v>
      </c>
      <c r="I148" t="s">
        <v>4977</v>
      </c>
    </row>
    <row r="149" spans="1:9" x14ac:dyDescent="0.25">
      <c r="A149" t="s">
        <v>4262</v>
      </c>
      <c r="B149" t="s">
        <v>25</v>
      </c>
      <c r="C149">
        <v>413.16</v>
      </c>
      <c r="D149">
        <v>12.28</v>
      </c>
      <c r="E149">
        <v>400.88</v>
      </c>
      <c r="F149">
        <v>1</v>
      </c>
      <c r="G149">
        <v>1</v>
      </c>
      <c r="H149">
        <v>400.88</v>
      </c>
      <c r="I149" t="s">
        <v>4977</v>
      </c>
    </row>
    <row r="150" spans="1:9" x14ac:dyDescent="0.25">
      <c r="A150" t="s">
        <v>4265</v>
      </c>
      <c r="B150" t="s">
        <v>25</v>
      </c>
      <c r="C150">
        <v>443.08</v>
      </c>
      <c r="D150">
        <v>13.15</v>
      </c>
      <c r="E150">
        <v>429.93</v>
      </c>
      <c r="F150">
        <v>1</v>
      </c>
      <c r="G150">
        <v>1</v>
      </c>
      <c r="H150">
        <v>429.93</v>
      </c>
      <c r="I150" t="s">
        <v>4977</v>
      </c>
    </row>
    <row r="151" spans="1:9" x14ac:dyDescent="0.25">
      <c r="A151" t="s">
        <v>4268</v>
      </c>
      <c r="B151" t="s">
        <v>25</v>
      </c>
      <c r="C151">
        <v>388.7</v>
      </c>
      <c r="D151">
        <v>11.57</v>
      </c>
      <c r="E151">
        <v>377.13</v>
      </c>
      <c r="F151">
        <v>1</v>
      </c>
      <c r="G151">
        <v>1</v>
      </c>
      <c r="H151">
        <v>377.13</v>
      </c>
      <c r="I151" t="s">
        <v>4977</v>
      </c>
    </row>
    <row r="152" spans="1:9" x14ac:dyDescent="0.25">
      <c r="A152" t="s">
        <v>4271</v>
      </c>
      <c r="B152" t="s">
        <v>25</v>
      </c>
      <c r="C152">
        <v>77.61</v>
      </c>
      <c r="D152">
        <v>2.5499999999999998</v>
      </c>
      <c r="E152">
        <v>75.06</v>
      </c>
      <c r="F152">
        <v>1</v>
      </c>
      <c r="G152">
        <v>1</v>
      </c>
      <c r="H152">
        <v>75.06</v>
      </c>
      <c r="I152" t="s">
        <v>4977</v>
      </c>
    </row>
    <row r="153" spans="1:9" x14ac:dyDescent="0.25">
      <c r="A153" t="s">
        <v>3591</v>
      </c>
      <c r="B153" t="s">
        <v>19</v>
      </c>
      <c r="C153">
        <v>-609.04</v>
      </c>
      <c r="D153">
        <v>0</v>
      </c>
      <c r="E153">
        <v>-609.04</v>
      </c>
      <c r="F153">
        <v>1</v>
      </c>
      <c r="G153">
        <v>1</v>
      </c>
      <c r="H153">
        <v>-609.04</v>
      </c>
      <c r="I153" t="s">
        <v>4977</v>
      </c>
    </row>
    <row r="154" spans="1:9" x14ac:dyDescent="0.25">
      <c r="A154" t="s">
        <v>4274</v>
      </c>
      <c r="B154" t="s">
        <v>25</v>
      </c>
      <c r="C154">
        <v>861.34</v>
      </c>
      <c r="D154">
        <v>25.28</v>
      </c>
      <c r="E154">
        <v>836.06</v>
      </c>
      <c r="F154">
        <v>1</v>
      </c>
      <c r="G154">
        <v>1</v>
      </c>
      <c r="H154">
        <v>836.06</v>
      </c>
      <c r="I154" t="s">
        <v>4977</v>
      </c>
    </row>
    <row r="155" spans="1:9" x14ac:dyDescent="0.25">
      <c r="A155" t="s">
        <v>3601</v>
      </c>
      <c r="B155" t="s">
        <v>25</v>
      </c>
      <c r="C155">
        <v>-822.81</v>
      </c>
      <c r="D155">
        <v>0</v>
      </c>
      <c r="E155">
        <v>-822.81</v>
      </c>
      <c r="F155">
        <v>1</v>
      </c>
      <c r="G155">
        <v>1</v>
      </c>
      <c r="H155">
        <v>-822.81</v>
      </c>
      <c r="I155" t="s">
        <v>4977</v>
      </c>
    </row>
    <row r="156" spans="1:9" x14ac:dyDescent="0.25">
      <c r="A156" t="s">
        <v>4277</v>
      </c>
      <c r="B156" t="s">
        <v>25</v>
      </c>
      <c r="C156">
        <v>724.92</v>
      </c>
      <c r="D156">
        <v>21.32</v>
      </c>
      <c r="E156">
        <v>703.6</v>
      </c>
      <c r="F156">
        <v>1</v>
      </c>
      <c r="G156">
        <v>1</v>
      </c>
      <c r="H156">
        <v>703.6</v>
      </c>
      <c r="I156" t="s">
        <v>4977</v>
      </c>
    </row>
    <row r="157" spans="1:9" x14ac:dyDescent="0.25">
      <c r="A157" t="s">
        <v>3609</v>
      </c>
      <c r="B157" t="s">
        <v>25</v>
      </c>
      <c r="C157">
        <v>-442.42</v>
      </c>
      <c r="D157">
        <v>0</v>
      </c>
      <c r="E157">
        <v>-442.42</v>
      </c>
      <c r="F157">
        <v>1</v>
      </c>
      <c r="G157">
        <v>1</v>
      </c>
      <c r="H157">
        <v>-442.42</v>
      </c>
      <c r="I157" t="s">
        <v>4977</v>
      </c>
    </row>
    <row r="158" spans="1:9" x14ac:dyDescent="0.25">
      <c r="A158" t="s">
        <v>4280</v>
      </c>
      <c r="B158" t="s">
        <v>25</v>
      </c>
      <c r="C158">
        <v>720.78</v>
      </c>
      <c r="D158">
        <v>21.2</v>
      </c>
      <c r="E158">
        <v>699.58</v>
      </c>
      <c r="F158">
        <v>1</v>
      </c>
      <c r="G158">
        <v>1</v>
      </c>
      <c r="H158">
        <v>699.58</v>
      </c>
      <c r="I158" t="s">
        <v>4977</v>
      </c>
    </row>
    <row r="159" spans="1:9" x14ac:dyDescent="0.25">
      <c r="A159" t="s">
        <v>4283</v>
      </c>
      <c r="B159" t="s">
        <v>25</v>
      </c>
      <c r="C159">
        <v>282.49</v>
      </c>
      <c r="D159">
        <v>8.49</v>
      </c>
      <c r="E159">
        <v>274</v>
      </c>
      <c r="F159">
        <v>1</v>
      </c>
      <c r="G159">
        <v>1</v>
      </c>
      <c r="H159">
        <v>274</v>
      </c>
      <c r="I159" t="s">
        <v>4977</v>
      </c>
    </row>
    <row r="160" spans="1:9" x14ac:dyDescent="0.25">
      <c r="A160" t="s">
        <v>3633</v>
      </c>
      <c r="B160" t="s">
        <v>25</v>
      </c>
      <c r="C160">
        <v>-722.27</v>
      </c>
      <c r="D160">
        <v>0</v>
      </c>
      <c r="E160">
        <v>-722.27</v>
      </c>
      <c r="F160">
        <v>1</v>
      </c>
      <c r="G160">
        <v>1</v>
      </c>
      <c r="H160">
        <v>-722.27</v>
      </c>
      <c r="I160" t="s">
        <v>4977</v>
      </c>
    </row>
    <row r="161" spans="1:9" x14ac:dyDescent="0.25">
      <c r="A161" t="s">
        <v>4286</v>
      </c>
      <c r="B161" t="s">
        <v>25</v>
      </c>
      <c r="C161">
        <v>370.03</v>
      </c>
      <c r="D161">
        <v>11.03</v>
      </c>
      <c r="E161">
        <v>359</v>
      </c>
      <c r="F161">
        <v>1</v>
      </c>
      <c r="G161">
        <v>1</v>
      </c>
      <c r="H161">
        <v>359</v>
      </c>
      <c r="I161" t="s">
        <v>4977</v>
      </c>
    </row>
    <row r="162" spans="1:9" x14ac:dyDescent="0.25">
      <c r="A162" t="s">
        <v>3637</v>
      </c>
      <c r="B162" t="s">
        <v>25</v>
      </c>
      <c r="C162">
        <v>1134.32</v>
      </c>
      <c r="D162">
        <v>33.200000000000003</v>
      </c>
      <c r="E162">
        <v>1101.1199999999999</v>
      </c>
      <c r="F162">
        <v>1</v>
      </c>
      <c r="I162" t="s">
        <v>4988</v>
      </c>
    </row>
    <row r="163" spans="1:9" x14ac:dyDescent="0.25">
      <c r="A163" t="s">
        <v>4289</v>
      </c>
      <c r="B163" t="s">
        <v>25</v>
      </c>
      <c r="C163">
        <v>636.76</v>
      </c>
      <c r="D163">
        <v>18.77</v>
      </c>
      <c r="E163">
        <v>617.99</v>
      </c>
      <c r="F163">
        <v>1</v>
      </c>
      <c r="G163">
        <v>1</v>
      </c>
      <c r="H163">
        <v>617.99</v>
      </c>
      <c r="I163" t="s">
        <v>4977</v>
      </c>
    </row>
    <row r="164" spans="1:9" x14ac:dyDescent="0.25">
      <c r="A164" t="s">
        <v>3643</v>
      </c>
      <c r="B164" t="s">
        <v>25</v>
      </c>
      <c r="C164">
        <v>-952.14</v>
      </c>
      <c r="D164">
        <v>0</v>
      </c>
      <c r="E164">
        <v>-952.14</v>
      </c>
      <c r="F164">
        <v>1</v>
      </c>
      <c r="G164">
        <v>1</v>
      </c>
      <c r="H164">
        <v>-952.14</v>
      </c>
      <c r="I164" t="s">
        <v>4977</v>
      </c>
    </row>
    <row r="165" spans="1:9" x14ac:dyDescent="0.25">
      <c r="A165" t="s">
        <v>4292</v>
      </c>
      <c r="B165" t="s">
        <v>25</v>
      </c>
      <c r="C165">
        <v>608.98</v>
      </c>
      <c r="D165">
        <v>17.96</v>
      </c>
      <c r="E165">
        <v>591.02</v>
      </c>
      <c r="F165">
        <v>1</v>
      </c>
      <c r="G165">
        <v>1</v>
      </c>
      <c r="H165">
        <v>591.02</v>
      </c>
      <c r="I165" t="s">
        <v>4977</v>
      </c>
    </row>
    <row r="166" spans="1:9" x14ac:dyDescent="0.25">
      <c r="A166" t="s">
        <v>4295</v>
      </c>
      <c r="B166" t="s">
        <v>25</v>
      </c>
      <c r="C166">
        <v>655.01</v>
      </c>
      <c r="D166">
        <v>19.3</v>
      </c>
      <c r="E166">
        <v>635.71</v>
      </c>
      <c r="F166">
        <v>1</v>
      </c>
      <c r="G166">
        <v>1</v>
      </c>
      <c r="H166">
        <v>635.71</v>
      </c>
      <c r="I166" t="s">
        <v>4977</v>
      </c>
    </row>
    <row r="167" spans="1:9" x14ac:dyDescent="0.25">
      <c r="A167" t="s">
        <v>3657</v>
      </c>
      <c r="B167" t="s">
        <v>25</v>
      </c>
      <c r="C167">
        <v>-533.28</v>
      </c>
      <c r="D167">
        <v>0</v>
      </c>
      <c r="E167">
        <v>-533.28</v>
      </c>
      <c r="F167">
        <v>1</v>
      </c>
      <c r="G167">
        <v>1</v>
      </c>
      <c r="H167">
        <v>-533.28</v>
      </c>
      <c r="I167" t="s">
        <v>4977</v>
      </c>
    </row>
    <row r="168" spans="1:9" x14ac:dyDescent="0.25">
      <c r="A168" t="s">
        <v>4298</v>
      </c>
      <c r="B168" t="s">
        <v>25</v>
      </c>
      <c r="C168">
        <v>648.86</v>
      </c>
      <c r="D168">
        <v>19.12</v>
      </c>
      <c r="E168">
        <v>629.74</v>
      </c>
      <c r="F168">
        <v>1</v>
      </c>
      <c r="G168">
        <v>1</v>
      </c>
      <c r="H168">
        <v>629.74</v>
      </c>
      <c r="I168" t="s">
        <v>4977</v>
      </c>
    </row>
    <row r="169" spans="1:9" x14ac:dyDescent="0.25">
      <c r="A169" t="s">
        <v>3661</v>
      </c>
      <c r="B169" t="s">
        <v>19</v>
      </c>
      <c r="C169">
        <v>2096.2600000000002</v>
      </c>
      <c r="D169">
        <v>61.09</v>
      </c>
      <c r="E169">
        <v>2035.17</v>
      </c>
      <c r="F169">
        <v>1</v>
      </c>
      <c r="I169" t="s">
        <v>4988</v>
      </c>
    </row>
    <row r="170" spans="1:9" x14ac:dyDescent="0.25">
      <c r="A170" t="s">
        <v>4301</v>
      </c>
      <c r="B170" t="s">
        <v>25</v>
      </c>
      <c r="C170">
        <v>8.09</v>
      </c>
      <c r="D170">
        <v>0.53</v>
      </c>
      <c r="E170">
        <v>7.56</v>
      </c>
      <c r="F170">
        <v>1</v>
      </c>
      <c r="G170">
        <v>1</v>
      </c>
      <c r="H170">
        <v>7.56</v>
      </c>
      <c r="I170" t="s">
        <v>4977</v>
      </c>
    </row>
    <row r="171" spans="1:9" x14ac:dyDescent="0.25">
      <c r="A171" t="s">
        <v>4304</v>
      </c>
      <c r="B171" t="s">
        <v>25</v>
      </c>
      <c r="C171">
        <v>557.17999999999995</v>
      </c>
      <c r="D171">
        <v>16.46</v>
      </c>
      <c r="E171">
        <v>540.72</v>
      </c>
      <c r="F171">
        <v>1</v>
      </c>
      <c r="G171">
        <v>1</v>
      </c>
      <c r="H171">
        <v>540.72</v>
      </c>
      <c r="I171" t="s">
        <v>4977</v>
      </c>
    </row>
    <row r="172" spans="1:9" x14ac:dyDescent="0.25">
      <c r="A172" t="s">
        <v>3688</v>
      </c>
      <c r="B172" t="s">
        <v>25</v>
      </c>
      <c r="C172">
        <v>409.76</v>
      </c>
      <c r="D172">
        <v>12.18</v>
      </c>
      <c r="E172">
        <v>397.58</v>
      </c>
      <c r="F172">
        <v>1</v>
      </c>
      <c r="I172" t="s">
        <v>4988</v>
      </c>
    </row>
    <row r="173" spans="1:9" x14ac:dyDescent="0.25">
      <c r="A173" t="s">
        <v>4307</v>
      </c>
      <c r="B173" t="s">
        <v>25</v>
      </c>
      <c r="C173">
        <v>841.29</v>
      </c>
      <c r="D173">
        <v>24.7</v>
      </c>
      <c r="E173">
        <v>816.59</v>
      </c>
      <c r="F173">
        <v>1</v>
      </c>
      <c r="G173">
        <v>1</v>
      </c>
      <c r="H173">
        <v>816.59</v>
      </c>
      <c r="I173" t="s">
        <v>4977</v>
      </c>
    </row>
    <row r="174" spans="1:9" x14ac:dyDescent="0.25">
      <c r="A174" t="s">
        <v>3692</v>
      </c>
      <c r="B174" t="s">
        <v>25</v>
      </c>
      <c r="C174">
        <v>-1175.8499999999999</v>
      </c>
      <c r="D174">
        <v>0</v>
      </c>
      <c r="E174">
        <v>-1175.8499999999999</v>
      </c>
      <c r="F174">
        <v>1</v>
      </c>
      <c r="G174">
        <v>1</v>
      </c>
      <c r="H174">
        <v>-1175.8499999999999</v>
      </c>
      <c r="I174" t="s">
        <v>4977</v>
      </c>
    </row>
    <row r="175" spans="1:9" x14ac:dyDescent="0.25">
      <c r="A175" t="s">
        <v>3719</v>
      </c>
      <c r="B175" t="s">
        <v>25</v>
      </c>
      <c r="C175">
        <v>2441.1799999999998</v>
      </c>
      <c r="D175">
        <v>71.09</v>
      </c>
      <c r="E175">
        <v>2370.09</v>
      </c>
      <c r="F175">
        <v>1</v>
      </c>
      <c r="I175" t="s">
        <v>4988</v>
      </c>
    </row>
    <row r="176" spans="1:9" x14ac:dyDescent="0.25">
      <c r="A176" t="s">
        <v>3722</v>
      </c>
      <c r="B176" t="s">
        <v>25</v>
      </c>
      <c r="C176">
        <v>1358.04</v>
      </c>
      <c r="D176">
        <v>39.68</v>
      </c>
      <c r="E176">
        <v>1318.36</v>
      </c>
      <c r="F176">
        <v>1</v>
      </c>
      <c r="I176" t="s">
        <v>4988</v>
      </c>
    </row>
    <row r="177" spans="1:9" x14ac:dyDescent="0.25">
      <c r="A177" t="s">
        <v>3736</v>
      </c>
      <c r="B177" t="s">
        <v>25</v>
      </c>
      <c r="C177">
        <v>2332.38</v>
      </c>
      <c r="D177">
        <v>67.94</v>
      </c>
      <c r="E177">
        <v>2264.44</v>
      </c>
      <c r="F177">
        <v>1</v>
      </c>
      <c r="I177" t="s">
        <v>4988</v>
      </c>
    </row>
    <row r="178" spans="1:9" x14ac:dyDescent="0.25">
      <c r="A178" t="s">
        <v>3743</v>
      </c>
      <c r="B178" t="s">
        <v>25</v>
      </c>
      <c r="C178">
        <v>1494.4</v>
      </c>
      <c r="D178">
        <v>43.64</v>
      </c>
      <c r="E178">
        <v>1450.76</v>
      </c>
      <c r="F178">
        <v>1</v>
      </c>
      <c r="I178" t="s">
        <v>4988</v>
      </c>
    </row>
    <row r="179" spans="1:9" x14ac:dyDescent="0.25">
      <c r="A179" t="s">
        <v>3765</v>
      </c>
      <c r="B179" t="s">
        <v>25</v>
      </c>
      <c r="C179">
        <v>1821.7</v>
      </c>
      <c r="D179">
        <v>53.13</v>
      </c>
      <c r="E179">
        <v>1768.57</v>
      </c>
      <c r="F179">
        <v>1</v>
      </c>
      <c r="I179" t="s">
        <v>4988</v>
      </c>
    </row>
    <row r="180" spans="1:9" x14ac:dyDescent="0.25">
      <c r="A180" t="s">
        <v>3789</v>
      </c>
      <c r="B180" t="s">
        <v>25</v>
      </c>
      <c r="C180">
        <v>-551.57000000000005</v>
      </c>
      <c r="D180">
        <v>0</v>
      </c>
      <c r="E180">
        <v>-551.57000000000005</v>
      </c>
      <c r="F180">
        <v>1</v>
      </c>
      <c r="G180">
        <v>1</v>
      </c>
      <c r="H180">
        <v>-551.57000000000005</v>
      </c>
      <c r="I180" t="s">
        <v>4977</v>
      </c>
    </row>
    <row r="181" spans="1:9" x14ac:dyDescent="0.25">
      <c r="A181" t="s">
        <v>3851</v>
      </c>
      <c r="B181" t="s">
        <v>25</v>
      </c>
      <c r="C181">
        <v>2210.02</v>
      </c>
      <c r="D181">
        <v>64.39</v>
      </c>
      <c r="E181">
        <v>2145.63</v>
      </c>
      <c r="F181">
        <v>1</v>
      </c>
      <c r="I181" t="s">
        <v>4988</v>
      </c>
    </row>
    <row r="182" spans="1:9" x14ac:dyDescent="0.25">
      <c r="A182" t="s">
        <v>3875</v>
      </c>
      <c r="B182" t="s">
        <v>25</v>
      </c>
      <c r="C182">
        <v>-713.36</v>
      </c>
      <c r="D182">
        <v>0</v>
      </c>
      <c r="E182">
        <v>-713.36</v>
      </c>
      <c r="F182">
        <v>1</v>
      </c>
      <c r="G182">
        <v>1</v>
      </c>
      <c r="H182">
        <v>-713.36</v>
      </c>
      <c r="I182" t="s">
        <v>4977</v>
      </c>
    </row>
    <row r="183" spans="1:9" x14ac:dyDescent="0.25">
      <c r="A183" t="s">
        <v>3890</v>
      </c>
      <c r="B183" t="s">
        <v>25</v>
      </c>
      <c r="C183">
        <v>20058.160000000003</v>
      </c>
      <c r="D183">
        <v>586.20000000000005</v>
      </c>
      <c r="E183">
        <v>19471.96</v>
      </c>
      <c r="F183">
        <v>15</v>
      </c>
      <c r="G183">
        <v>1</v>
      </c>
      <c r="H183">
        <v>19471.96</v>
      </c>
      <c r="I183" t="s">
        <v>4977</v>
      </c>
    </row>
    <row r="184" spans="1:9" x14ac:dyDescent="0.25">
      <c r="A184" t="s">
        <v>3892</v>
      </c>
      <c r="B184" t="s">
        <v>25</v>
      </c>
      <c r="C184">
        <v>-1058.8800000000001</v>
      </c>
      <c r="D184">
        <v>0</v>
      </c>
      <c r="E184">
        <v>-1058.8800000000001</v>
      </c>
      <c r="F184">
        <v>1</v>
      </c>
      <c r="G184">
        <v>1</v>
      </c>
      <c r="H184">
        <v>-1058.8800000000001</v>
      </c>
      <c r="I184" t="s">
        <v>4977</v>
      </c>
    </row>
    <row r="185" spans="1:9" x14ac:dyDescent="0.25">
      <c r="A185" t="s">
        <v>3894</v>
      </c>
      <c r="B185" t="s">
        <v>25</v>
      </c>
      <c r="C185">
        <v>28730.57</v>
      </c>
      <c r="D185">
        <v>838.59</v>
      </c>
      <c r="E185">
        <v>27891.979999999996</v>
      </c>
      <c r="F185">
        <v>18</v>
      </c>
      <c r="G185">
        <v>1</v>
      </c>
      <c r="H185">
        <v>27891.98</v>
      </c>
      <c r="I185" t="s">
        <v>4977</v>
      </c>
    </row>
    <row r="186" spans="1:9" x14ac:dyDescent="0.25">
      <c r="A186" t="s">
        <v>3896</v>
      </c>
      <c r="B186" t="s">
        <v>25</v>
      </c>
      <c r="C186">
        <v>20755.600000000002</v>
      </c>
      <c r="D186">
        <v>607.47</v>
      </c>
      <c r="E186">
        <v>20148.129999999997</v>
      </c>
      <c r="F186">
        <v>16</v>
      </c>
      <c r="G186">
        <v>1</v>
      </c>
      <c r="H186">
        <v>20148.13</v>
      </c>
      <c r="I186" t="s">
        <v>4977</v>
      </c>
    </row>
    <row r="187" spans="1:9" x14ac:dyDescent="0.25">
      <c r="A187" t="s">
        <v>3900</v>
      </c>
      <c r="B187" t="s">
        <v>25</v>
      </c>
      <c r="C187">
        <v>22164.210000000003</v>
      </c>
      <c r="D187">
        <v>647.87</v>
      </c>
      <c r="E187">
        <v>21516.339999999997</v>
      </c>
      <c r="F187">
        <v>17</v>
      </c>
      <c r="G187">
        <v>1</v>
      </c>
      <c r="H187">
        <v>20837.25</v>
      </c>
      <c r="I187" t="s">
        <v>4987</v>
      </c>
    </row>
    <row r="188" spans="1:9" x14ac:dyDescent="0.25">
      <c r="A188" t="s">
        <v>3902</v>
      </c>
      <c r="B188" t="s">
        <v>25</v>
      </c>
      <c r="C188">
        <v>15744.230000000001</v>
      </c>
      <c r="D188">
        <v>461.09000000000009</v>
      </c>
      <c r="E188">
        <v>15283.140000000001</v>
      </c>
      <c r="F188">
        <v>15</v>
      </c>
      <c r="G188">
        <v>1</v>
      </c>
      <c r="H188">
        <v>15283.14</v>
      </c>
      <c r="I188" t="s">
        <v>4977</v>
      </c>
    </row>
    <row r="189" spans="1:9" x14ac:dyDescent="0.25">
      <c r="A189" t="s">
        <v>3904</v>
      </c>
      <c r="B189" t="s">
        <v>25</v>
      </c>
      <c r="C189">
        <v>18464.47</v>
      </c>
      <c r="D189">
        <v>540.26</v>
      </c>
      <c r="E189">
        <v>17924.210000000003</v>
      </c>
      <c r="F189">
        <v>16</v>
      </c>
      <c r="G189">
        <v>1</v>
      </c>
      <c r="H189">
        <v>17924.21</v>
      </c>
      <c r="I189" t="s">
        <v>4977</v>
      </c>
    </row>
    <row r="190" spans="1:9" x14ac:dyDescent="0.25">
      <c r="A190" t="s">
        <v>3912</v>
      </c>
      <c r="B190" t="s">
        <v>25</v>
      </c>
      <c r="C190">
        <v>24532.650000000005</v>
      </c>
      <c r="D190">
        <v>716.55000000000007</v>
      </c>
      <c r="E190">
        <v>23816.1</v>
      </c>
      <c r="F190">
        <v>17</v>
      </c>
      <c r="G190">
        <v>1</v>
      </c>
      <c r="H190">
        <v>23755.119999999999</v>
      </c>
      <c r="I190" t="s">
        <v>4987</v>
      </c>
    </row>
    <row r="191" spans="1:9" x14ac:dyDescent="0.25">
      <c r="A191" t="s">
        <v>3914</v>
      </c>
      <c r="B191" t="s">
        <v>25</v>
      </c>
      <c r="C191">
        <v>24749.879999999994</v>
      </c>
      <c r="D191">
        <v>722.84999999999991</v>
      </c>
      <c r="E191">
        <v>24027.03</v>
      </c>
      <c r="F191">
        <v>17</v>
      </c>
      <c r="G191">
        <v>1</v>
      </c>
      <c r="H191">
        <v>24027.03</v>
      </c>
      <c r="I191" t="s">
        <v>4977</v>
      </c>
    </row>
    <row r="192" spans="1:9" x14ac:dyDescent="0.25">
      <c r="A192" t="s">
        <v>3916</v>
      </c>
      <c r="B192" t="s">
        <v>25</v>
      </c>
      <c r="C192">
        <v>21104.070000000003</v>
      </c>
      <c r="D192">
        <v>616.89</v>
      </c>
      <c r="E192">
        <v>20487.179999999997</v>
      </c>
      <c r="F192">
        <v>15</v>
      </c>
      <c r="G192">
        <v>1</v>
      </c>
      <c r="H192">
        <v>20487.18</v>
      </c>
      <c r="I192" t="s">
        <v>4977</v>
      </c>
    </row>
    <row r="193" spans="1:9" x14ac:dyDescent="0.25">
      <c r="A193" t="s">
        <v>3918</v>
      </c>
      <c r="B193" t="s">
        <v>25</v>
      </c>
      <c r="C193">
        <v>17527.210000000003</v>
      </c>
      <c r="D193">
        <v>513.09999999999991</v>
      </c>
      <c r="E193">
        <v>17014.11</v>
      </c>
      <c r="F193">
        <v>16</v>
      </c>
      <c r="G193">
        <v>1</v>
      </c>
      <c r="H193">
        <v>17014.11</v>
      </c>
      <c r="I193" t="s">
        <v>4977</v>
      </c>
    </row>
    <row r="194" spans="1:9" x14ac:dyDescent="0.25">
      <c r="A194" t="s">
        <v>3923</v>
      </c>
      <c r="B194" t="s">
        <v>25</v>
      </c>
      <c r="C194">
        <v>17541.07</v>
      </c>
      <c r="D194">
        <v>513.5</v>
      </c>
      <c r="E194">
        <v>17027.57</v>
      </c>
      <c r="F194">
        <v>16</v>
      </c>
      <c r="G194">
        <v>1</v>
      </c>
      <c r="H194">
        <v>17027.57</v>
      </c>
      <c r="I194" t="s">
        <v>4977</v>
      </c>
    </row>
    <row r="195" spans="1:9" x14ac:dyDescent="0.25">
      <c r="A195" t="s">
        <v>3930</v>
      </c>
      <c r="B195" t="s">
        <v>25</v>
      </c>
      <c r="C195">
        <v>16454.8</v>
      </c>
      <c r="D195">
        <v>482.00000000000006</v>
      </c>
      <c r="E195">
        <v>15972.800000000001</v>
      </c>
      <c r="F195">
        <v>16</v>
      </c>
      <c r="G195">
        <v>1</v>
      </c>
      <c r="H195">
        <v>15932.9</v>
      </c>
      <c r="I195" t="s">
        <v>4987</v>
      </c>
    </row>
    <row r="196" spans="1:9" x14ac:dyDescent="0.25">
      <c r="A196" t="s">
        <v>3932</v>
      </c>
      <c r="B196" t="s">
        <v>25</v>
      </c>
      <c r="C196">
        <v>17608.830000000002</v>
      </c>
      <c r="D196">
        <v>515.16</v>
      </c>
      <c r="E196">
        <v>17093.670000000002</v>
      </c>
      <c r="F196">
        <v>15</v>
      </c>
      <c r="G196">
        <v>1</v>
      </c>
      <c r="H196">
        <v>17093.669999999998</v>
      </c>
      <c r="I196" t="s">
        <v>4977</v>
      </c>
    </row>
    <row r="197" spans="1:9" x14ac:dyDescent="0.25">
      <c r="A197" t="s">
        <v>3963</v>
      </c>
      <c r="B197" t="s">
        <v>25</v>
      </c>
      <c r="C197">
        <v>-764.09</v>
      </c>
      <c r="D197">
        <v>0</v>
      </c>
      <c r="E197">
        <v>-764.09</v>
      </c>
      <c r="F197">
        <v>1</v>
      </c>
      <c r="G197">
        <v>1</v>
      </c>
      <c r="H197">
        <v>-764.09</v>
      </c>
      <c r="I197" t="s">
        <v>4977</v>
      </c>
    </row>
    <row r="198" spans="1:9" x14ac:dyDescent="0.25">
      <c r="A198" t="s">
        <v>3934</v>
      </c>
      <c r="B198" t="s">
        <v>25</v>
      </c>
      <c r="C198">
        <v>16600.8</v>
      </c>
      <c r="D198">
        <v>485.34000000000003</v>
      </c>
      <c r="E198">
        <v>16115.459999999997</v>
      </c>
      <c r="F198">
        <v>13</v>
      </c>
      <c r="G198">
        <v>1</v>
      </c>
      <c r="H198">
        <v>16115.46</v>
      </c>
      <c r="I198" t="s">
        <v>4977</v>
      </c>
    </row>
    <row r="199" spans="1:9" x14ac:dyDescent="0.25">
      <c r="A199" t="s">
        <v>3972</v>
      </c>
      <c r="B199" t="s">
        <v>19</v>
      </c>
      <c r="C199">
        <v>-1070.48</v>
      </c>
      <c r="D199">
        <v>0</v>
      </c>
      <c r="E199">
        <v>-1070.48</v>
      </c>
      <c r="F199">
        <v>1</v>
      </c>
      <c r="G199">
        <v>1</v>
      </c>
      <c r="H199">
        <v>-1070.48</v>
      </c>
      <c r="I199" t="s">
        <v>4977</v>
      </c>
    </row>
    <row r="200" spans="1:9" x14ac:dyDescent="0.25">
      <c r="A200" t="s">
        <v>4026</v>
      </c>
      <c r="B200" t="s">
        <v>25</v>
      </c>
      <c r="C200">
        <v>-2092.8200000000002</v>
      </c>
      <c r="D200">
        <v>0</v>
      </c>
      <c r="E200">
        <v>-2092.8200000000002</v>
      </c>
      <c r="F200">
        <v>1</v>
      </c>
      <c r="G200">
        <v>1</v>
      </c>
      <c r="H200">
        <v>-2092.8200000000002</v>
      </c>
      <c r="I200" t="s">
        <v>4977</v>
      </c>
    </row>
    <row r="201" spans="1:9" x14ac:dyDescent="0.25">
      <c r="A201" t="s">
        <v>4090</v>
      </c>
      <c r="B201" t="s">
        <v>19</v>
      </c>
      <c r="C201">
        <v>-20.87</v>
      </c>
      <c r="D201">
        <v>0</v>
      </c>
      <c r="E201">
        <v>-20.87</v>
      </c>
      <c r="F201">
        <v>1</v>
      </c>
      <c r="G201">
        <v>1</v>
      </c>
      <c r="H201">
        <v>-20.87</v>
      </c>
      <c r="I201" t="s">
        <v>4977</v>
      </c>
    </row>
    <row r="202" spans="1:9" x14ac:dyDescent="0.25">
      <c r="A202" t="s">
        <v>4113</v>
      </c>
      <c r="B202" t="s">
        <v>19</v>
      </c>
      <c r="C202">
        <v>-1174.17</v>
      </c>
      <c r="D202">
        <v>0</v>
      </c>
      <c r="E202">
        <v>-1174.17</v>
      </c>
      <c r="F202">
        <v>1</v>
      </c>
      <c r="G202">
        <v>1</v>
      </c>
      <c r="H202">
        <v>-1174.17</v>
      </c>
      <c r="I202" t="s">
        <v>4977</v>
      </c>
    </row>
    <row r="203" spans="1:9" x14ac:dyDescent="0.25">
      <c r="A203" t="s">
        <v>4127</v>
      </c>
      <c r="B203" t="s">
        <v>19</v>
      </c>
      <c r="C203">
        <v>-500.56</v>
      </c>
      <c r="D203">
        <v>0</v>
      </c>
      <c r="E203">
        <v>-500.56</v>
      </c>
      <c r="F203">
        <v>1</v>
      </c>
      <c r="G203">
        <v>1</v>
      </c>
      <c r="H203">
        <v>-500.56</v>
      </c>
      <c r="I203" t="s">
        <v>4977</v>
      </c>
    </row>
    <row r="204" spans="1:9" x14ac:dyDescent="0.25">
      <c r="A204" t="s">
        <v>4146</v>
      </c>
      <c r="B204" t="s">
        <v>25</v>
      </c>
      <c r="C204">
        <v>-2370.52</v>
      </c>
      <c r="D204">
        <v>0</v>
      </c>
      <c r="E204">
        <v>-2370.52</v>
      </c>
      <c r="F204">
        <v>1</v>
      </c>
      <c r="G204">
        <v>1</v>
      </c>
      <c r="H204">
        <v>-2370.52</v>
      </c>
      <c r="I204" t="s">
        <v>4977</v>
      </c>
    </row>
    <row r="205" spans="1:9" x14ac:dyDescent="0.25">
      <c r="A205" t="s">
        <v>4162</v>
      </c>
      <c r="B205" t="s">
        <v>25</v>
      </c>
      <c r="C205">
        <v>-332.45</v>
      </c>
      <c r="D205">
        <v>0</v>
      </c>
      <c r="E205">
        <v>-332.45</v>
      </c>
      <c r="F205">
        <v>1</v>
      </c>
      <c r="G205">
        <v>1</v>
      </c>
      <c r="H205">
        <v>-332.45</v>
      </c>
      <c r="I205" t="s">
        <v>4977</v>
      </c>
    </row>
    <row r="206" spans="1:9" x14ac:dyDescent="0.25">
      <c r="A206" t="s">
        <v>4183</v>
      </c>
      <c r="B206" t="s">
        <v>25</v>
      </c>
      <c r="C206">
        <v>-701.47</v>
      </c>
      <c r="D206">
        <v>0</v>
      </c>
      <c r="E206">
        <v>-701.47</v>
      </c>
      <c r="F206">
        <v>1</v>
      </c>
      <c r="G206">
        <v>1</v>
      </c>
      <c r="H206">
        <v>-701.47</v>
      </c>
      <c r="I206" t="s">
        <v>4977</v>
      </c>
    </row>
    <row r="207" spans="1:9" x14ac:dyDescent="0.25">
      <c r="A207" t="s">
        <v>4246</v>
      </c>
      <c r="B207" t="s">
        <v>25</v>
      </c>
      <c r="C207">
        <v>-747.94</v>
      </c>
      <c r="D207">
        <v>0</v>
      </c>
      <c r="E207">
        <v>-747.94</v>
      </c>
      <c r="F207">
        <v>1</v>
      </c>
      <c r="G207">
        <v>1</v>
      </c>
      <c r="H207">
        <v>-747.94</v>
      </c>
      <c r="I207" t="s">
        <v>4977</v>
      </c>
    </row>
    <row r="208" spans="1:9" x14ac:dyDescent="0.25">
      <c r="A208" t="s">
        <v>4255</v>
      </c>
      <c r="B208" t="s">
        <v>25</v>
      </c>
      <c r="C208">
        <v>-1906.98</v>
      </c>
      <c r="D208">
        <v>0</v>
      </c>
      <c r="E208">
        <v>-1906.98</v>
      </c>
      <c r="F208">
        <v>1</v>
      </c>
      <c r="G208">
        <v>1</v>
      </c>
      <c r="H208">
        <v>-1906.98</v>
      </c>
      <c r="I208" t="s">
        <v>4977</v>
      </c>
    </row>
    <row r="209" spans="1:9" x14ac:dyDescent="0.25">
      <c r="A209" t="s">
        <v>4022</v>
      </c>
      <c r="B209" t="s">
        <v>25</v>
      </c>
      <c r="C209">
        <v>744.72</v>
      </c>
      <c r="D209">
        <v>21.9</v>
      </c>
      <c r="E209">
        <v>722.82</v>
      </c>
      <c r="F209">
        <v>1</v>
      </c>
      <c r="I209" t="s">
        <v>4988</v>
      </c>
    </row>
    <row r="210" spans="1:9" x14ac:dyDescent="0.25">
      <c r="A210" t="s">
        <v>4075</v>
      </c>
      <c r="B210" t="s">
        <v>25</v>
      </c>
      <c r="C210">
        <v>1252.46</v>
      </c>
      <c r="D210">
        <v>36.619999999999997</v>
      </c>
      <c r="E210">
        <v>1215.8399999999999</v>
      </c>
      <c r="F210">
        <v>1</v>
      </c>
      <c r="I210" t="s">
        <v>4988</v>
      </c>
    </row>
    <row r="211" spans="1:9" x14ac:dyDescent="0.25">
      <c r="A211" t="s">
        <v>4139</v>
      </c>
      <c r="B211" t="s">
        <v>25</v>
      </c>
      <c r="C211">
        <v>1808.05</v>
      </c>
      <c r="D211">
        <v>52.73</v>
      </c>
      <c r="E211">
        <v>1755.32</v>
      </c>
      <c r="F211">
        <v>1</v>
      </c>
      <c r="I211" t="s">
        <v>4988</v>
      </c>
    </row>
    <row r="212" spans="1:9" x14ac:dyDescent="0.25">
      <c r="A212" t="s">
        <v>4310</v>
      </c>
      <c r="B212" t="s">
        <v>25</v>
      </c>
      <c r="C212">
        <v>505.79</v>
      </c>
      <c r="D212">
        <v>14.97</v>
      </c>
      <c r="E212">
        <v>490.82</v>
      </c>
      <c r="F212">
        <v>1</v>
      </c>
      <c r="G212">
        <v>1</v>
      </c>
      <c r="H212">
        <v>490.82</v>
      </c>
      <c r="I212" t="s">
        <v>4977</v>
      </c>
    </row>
    <row r="213" spans="1:9" x14ac:dyDescent="0.25">
      <c r="A213" t="s">
        <v>4313</v>
      </c>
      <c r="B213" t="s">
        <v>25</v>
      </c>
      <c r="C213">
        <v>157.58000000000001</v>
      </c>
      <c r="D213">
        <v>4.87</v>
      </c>
      <c r="E213">
        <v>152.71</v>
      </c>
      <c r="F213">
        <v>1</v>
      </c>
      <c r="G213">
        <v>1</v>
      </c>
      <c r="H213">
        <v>152.71</v>
      </c>
      <c r="I213" t="s">
        <v>4977</v>
      </c>
    </row>
    <row r="214" spans="1:9" x14ac:dyDescent="0.25">
      <c r="A214" t="s">
        <v>4316</v>
      </c>
      <c r="B214" t="s">
        <v>25</v>
      </c>
      <c r="C214">
        <v>589.05999999999995</v>
      </c>
      <c r="D214">
        <v>17.38</v>
      </c>
      <c r="E214">
        <v>571.67999999999995</v>
      </c>
      <c r="F214">
        <v>1</v>
      </c>
      <c r="G214">
        <v>1</v>
      </c>
      <c r="H214">
        <v>571.67999999999995</v>
      </c>
      <c r="I214" t="s">
        <v>4977</v>
      </c>
    </row>
    <row r="215" spans="1:9" x14ac:dyDescent="0.25">
      <c r="A215" t="s">
        <v>4319</v>
      </c>
      <c r="B215" t="s">
        <v>25</v>
      </c>
      <c r="C215">
        <v>635.55999999999995</v>
      </c>
      <c r="D215">
        <v>18.73</v>
      </c>
      <c r="E215">
        <v>616.83000000000004</v>
      </c>
      <c r="F215">
        <v>1</v>
      </c>
      <c r="G215">
        <v>1</v>
      </c>
      <c r="H215">
        <v>616.83000000000004</v>
      </c>
      <c r="I215" t="s">
        <v>4977</v>
      </c>
    </row>
    <row r="216" spans="1:9" x14ac:dyDescent="0.25">
      <c r="A216" t="s">
        <v>4322</v>
      </c>
      <c r="B216" t="s">
        <v>25</v>
      </c>
      <c r="D216">
        <v>0.3</v>
      </c>
      <c r="E216">
        <v>0</v>
      </c>
      <c r="F216">
        <v>1</v>
      </c>
      <c r="I216" t="s">
        <v>4988</v>
      </c>
    </row>
    <row r="217" spans="1:9" x14ac:dyDescent="0.25">
      <c r="A217" t="s">
        <v>4325</v>
      </c>
      <c r="B217" t="s">
        <v>25</v>
      </c>
      <c r="D217">
        <v>0.3</v>
      </c>
      <c r="E217">
        <v>0</v>
      </c>
      <c r="F217">
        <v>1</v>
      </c>
      <c r="I217" t="s">
        <v>4988</v>
      </c>
    </row>
    <row r="218" spans="1:9" x14ac:dyDescent="0.25">
      <c r="A218" t="s">
        <v>4328</v>
      </c>
      <c r="B218" t="s">
        <v>25</v>
      </c>
      <c r="D218">
        <v>0.3</v>
      </c>
      <c r="E218">
        <v>0</v>
      </c>
      <c r="F218">
        <v>1</v>
      </c>
      <c r="I218" t="s">
        <v>4988</v>
      </c>
    </row>
    <row r="219" spans="1:9" x14ac:dyDescent="0.25">
      <c r="A219" t="s">
        <v>4331</v>
      </c>
      <c r="B219" t="s">
        <v>25</v>
      </c>
      <c r="D219">
        <v>0.3</v>
      </c>
      <c r="E219">
        <v>0</v>
      </c>
      <c r="F219">
        <v>1</v>
      </c>
      <c r="I219" t="s">
        <v>4988</v>
      </c>
    </row>
    <row r="220" spans="1:9" x14ac:dyDescent="0.25">
      <c r="A220" t="s">
        <v>4334</v>
      </c>
      <c r="B220" t="s">
        <v>25</v>
      </c>
      <c r="D220">
        <v>0.3</v>
      </c>
      <c r="E220">
        <v>0</v>
      </c>
      <c r="F220">
        <v>1</v>
      </c>
      <c r="I220" t="s">
        <v>4988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A46C-52DF-417D-A399-38DBEBA40E21}">
  <dimension ref="A1:D210"/>
  <sheetViews>
    <sheetView workbookViewId="0"/>
  </sheetViews>
  <sheetFormatPr defaultRowHeight="15" x14ac:dyDescent="0.25"/>
  <cols>
    <col min="1" max="1" width="36.28515625" bestFit="1" customWidth="1"/>
    <col min="2" max="2" width="11.140625" bestFit="1" customWidth="1"/>
    <col min="3" max="3" width="19.85546875" bestFit="1" customWidth="1"/>
    <col min="4" max="4" width="22" bestFit="1" customWidth="1"/>
  </cols>
  <sheetData>
    <row r="1" spans="1:4" x14ac:dyDescent="0.25">
      <c r="A1" t="s">
        <v>3031</v>
      </c>
      <c r="B1" t="s">
        <v>13</v>
      </c>
      <c r="C1" t="s">
        <v>4984</v>
      </c>
      <c r="D1" t="s">
        <v>4985</v>
      </c>
    </row>
    <row r="2" spans="1:4" x14ac:dyDescent="0.25">
      <c r="A2" t="s">
        <v>3369</v>
      </c>
      <c r="B2" t="s">
        <v>25</v>
      </c>
      <c r="C2">
        <v>1</v>
      </c>
      <c r="D2">
        <v>1862.63</v>
      </c>
    </row>
    <row r="3" spans="1:4" x14ac:dyDescent="0.25">
      <c r="A3" t="s">
        <v>3385</v>
      </c>
      <c r="B3" t="s">
        <v>52</v>
      </c>
      <c r="C3">
        <v>1</v>
      </c>
      <c r="D3">
        <v>933.85</v>
      </c>
    </row>
    <row r="4" spans="1:4" x14ac:dyDescent="0.25">
      <c r="A4" t="s">
        <v>3414</v>
      </c>
      <c r="B4" t="s">
        <v>25</v>
      </c>
      <c r="C4">
        <v>1</v>
      </c>
      <c r="D4">
        <v>9.01</v>
      </c>
    </row>
    <row r="5" spans="1:4" x14ac:dyDescent="0.25">
      <c r="A5" t="s">
        <v>3508</v>
      </c>
      <c r="B5" t="s">
        <v>25</v>
      </c>
      <c r="C5">
        <v>1</v>
      </c>
      <c r="D5">
        <v>1800.61</v>
      </c>
    </row>
    <row r="6" spans="1:4" x14ac:dyDescent="0.25">
      <c r="A6" t="s">
        <v>3614</v>
      </c>
      <c r="B6" t="s">
        <v>25</v>
      </c>
      <c r="C6">
        <v>1</v>
      </c>
      <c r="D6">
        <v>1806.68</v>
      </c>
    </row>
    <row r="7" spans="1:4" x14ac:dyDescent="0.25">
      <c r="A7" t="s">
        <v>3679</v>
      </c>
      <c r="B7" t="s">
        <v>25</v>
      </c>
      <c r="C7">
        <v>1</v>
      </c>
      <c r="D7">
        <v>1646.63</v>
      </c>
    </row>
    <row r="8" spans="1:4" x14ac:dyDescent="0.25">
      <c r="A8" t="s">
        <v>3838</v>
      </c>
      <c r="B8" t="s">
        <v>25</v>
      </c>
      <c r="C8">
        <v>1</v>
      </c>
      <c r="D8">
        <v>2325.66</v>
      </c>
    </row>
    <row r="9" spans="1:4" x14ac:dyDescent="0.25">
      <c r="A9" t="s">
        <v>3956</v>
      </c>
      <c r="B9" t="s">
        <v>19</v>
      </c>
      <c r="C9">
        <v>1</v>
      </c>
      <c r="D9">
        <v>1868.75</v>
      </c>
    </row>
    <row r="10" spans="1:4" x14ac:dyDescent="0.25">
      <c r="A10" t="s">
        <v>4132</v>
      </c>
      <c r="B10" t="s">
        <v>25</v>
      </c>
      <c r="C10">
        <v>1</v>
      </c>
      <c r="D10">
        <v>1792.15</v>
      </c>
    </row>
    <row r="11" spans="1:4" x14ac:dyDescent="0.25">
      <c r="A11" t="s">
        <v>4218</v>
      </c>
      <c r="B11" t="s">
        <v>25</v>
      </c>
      <c r="C11">
        <v>1</v>
      </c>
      <c r="D11">
        <v>31.69</v>
      </c>
    </row>
    <row r="12" spans="1:4" x14ac:dyDescent="0.25">
      <c r="A12" t="s">
        <v>3184</v>
      </c>
      <c r="B12" t="s">
        <v>25</v>
      </c>
      <c r="C12">
        <v>1</v>
      </c>
      <c r="D12">
        <v>767.13</v>
      </c>
    </row>
    <row r="13" spans="1:4" x14ac:dyDescent="0.25">
      <c r="A13" t="s">
        <v>3290</v>
      </c>
      <c r="B13" t="s">
        <v>25</v>
      </c>
      <c r="C13">
        <v>1</v>
      </c>
      <c r="D13">
        <v>2324.87</v>
      </c>
    </row>
    <row r="14" spans="1:4" x14ac:dyDescent="0.25">
      <c r="A14" t="s">
        <v>3388</v>
      </c>
      <c r="B14" t="s">
        <v>52</v>
      </c>
      <c r="C14">
        <v>1</v>
      </c>
      <c r="D14">
        <v>1332.59</v>
      </c>
    </row>
    <row r="15" spans="1:4" x14ac:dyDescent="0.25">
      <c r="A15" t="s">
        <v>3557</v>
      </c>
      <c r="B15" t="s">
        <v>52</v>
      </c>
      <c r="C15">
        <v>1</v>
      </c>
      <c r="D15">
        <v>1777.1</v>
      </c>
    </row>
    <row r="16" spans="1:4" x14ac:dyDescent="0.25">
      <c r="A16" t="s">
        <v>3637</v>
      </c>
      <c r="B16" t="s">
        <v>52</v>
      </c>
      <c r="C16">
        <v>1</v>
      </c>
      <c r="D16">
        <v>1101.1199999999999</v>
      </c>
    </row>
    <row r="17" spans="1:4" x14ac:dyDescent="0.25">
      <c r="A17" t="s">
        <v>3688</v>
      </c>
      <c r="B17" t="s">
        <v>52</v>
      </c>
      <c r="C17">
        <v>1</v>
      </c>
      <c r="D17">
        <v>397.58</v>
      </c>
    </row>
    <row r="18" spans="1:4" x14ac:dyDescent="0.25">
      <c r="A18" t="s">
        <v>3719</v>
      </c>
      <c r="B18" t="s">
        <v>52</v>
      </c>
      <c r="C18">
        <v>1</v>
      </c>
      <c r="D18">
        <v>2370.09</v>
      </c>
    </row>
    <row r="19" spans="1:4" x14ac:dyDescent="0.25">
      <c r="A19" t="s">
        <v>3722</v>
      </c>
      <c r="B19" t="s">
        <v>52</v>
      </c>
      <c r="C19">
        <v>1</v>
      </c>
      <c r="D19">
        <v>1318.36</v>
      </c>
    </row>
    <row r="20" spans="1:4" x14ac:dyDescent="0.25">
      <c r="A20" t="s">
        <v>3736</v>
      </c>
      <c r="B20" t="s">
        <v>52</v>
      </c>
      <c r="C20">
        <v>1</v>
      </c>
      <c r="D20">
        <v>2264.44</v>
      </c>
    </row>
    <row r="21" spans="1:4" x14ac:dyDescent="0.25">
      <c r="A21" t="s">
        <v>4022</v>
      </c>
      <c r="B21" t="s">
        <v>52</v>
      </c>
      <c r="C21">
        <v>1</v>
      </c>
      <c r="D21">
        <v>722.82</v>
      </c>
    </row>
    <row r="22" spans="1:4" x14ac:dyDescent="0.25">
      <c r="A22" t="s">
        <v>3091</v>
      </c>
      <c r="B22" t="s">
        <v>25</v>
      </c>
      <c r="C22">
        <v>1</v>
      </c>
      <c r="D22">
        <v>555.08000000000004</v>
      </c>
    </row>
    <row r="23" spans="1:4" x14ac:dyDescent="0.25">
      <c r="A23" t="s">
        <v>3104</v>
      </c>
      <c r="B23" t="s">
        <v>25</v>
      </c>
      <c r="C23">
        <v>1</v>
      </c>
      <c r="D23">
        <v>2265.19</v>
      </c>
    </row>
    <row r="24" spans="1:4" x14ac:dyDescent="0.25">
      <c r="A24" t="s">
        <v>3110</v>
      </c>
      <c r="B24" t="s">
        <v>52</v>
      </c>
      <c r="C24">
        <v>1</v>
      </c>
      <c r="D24">
        <v>1325.26</v>
      </c>
    </row>
    <row r="25" spans="1:4" x14ac:dyDescent="0.25">
      <c r="A25" t="s">
        <v>3143</v>
      </c>
      <c r="B25" t="s">
        <v>52</v>
      </c>
      <c r="C25">
        <v>1</v>
      </c>
      <c r="D25">
        <v>606.98</v>
      </c>
    </row>
    <row r="26" spans="1:4" x14ac:dyDescent="0.25">
      <c r="A26" t="s">
        <v>3515</v>
      </c>
      <c r="B26" t="s">
        <v>52</v>
      </c>
      <c r="C26">
        <v>1</v>
      </c>
      <c r="D26">
        <v>2233.4499999999998</v>
      </c>
    </row>
    <row r="27" spans="1:4" x14ac:dyDescent="0.25">
      <c r="A27" t="s">
        <v>3569</v>
      </c>
      <c r="B27" t="s">
        <v>52</v>
      </c>
      <c r="C27">
        <v>1</v>
      </c>
      <c r="D27">
        <v>1526.87</v>
      </c>
    </row>
    <row r="28" spans="1:4" x14ac:dyDescent="0.25">
      <c r="A28" t="s">
        <v>3571</v>
      </c>
      <c r="B28" t="s">
        <v>52</v>
      </c>
      <c r="C28">
        <v>1</v>
      </c>
      <c r="D28">
        <v>152.44</v>
      </c>
    </row>
    <row r="29" spans="1:4" x14ac:dyDescent="0.25">
      <c r="A29" t="s">
        <v>3584</v>
      </c>
      <c r="B29" t="s">
        <v>52</v>
      </c>
      <c r="C29">
        <v>1</v>
      </c>
      <c r="D29">
        <v>1667.87</v>
      </c>
    </row>
    <row r="30" spans="1:4" x14ac:dyDescent="0.25">
      <c r="A30" t="s">
        <v>3898</v>
      </c>
      <c r="B30" t="s">
        <v>52</v>
      </c>
      <c r="C30">
        <v>1</v>
      </c>
      <c r="D30">
        <v>2178.11</v>
      </c>
    </row>
    <row r="31" spans="1:4" x14ac:dyDescent="0.25">
      <c r="A31" t="s">
        <v>3992</v>
      </c>
      <c r="B31" t="s">
        <v>52</v>
      </c>
      <c r="C31">
        <v>1</v>
      </c>
      <c r="D31">
        <v>1877.59</v>
      </c>
    </row>
    <row r="32" spans="1:4" x14ac:dyDescent="0.25">
      <c r="A32" t="s">
        <v>3089</v>
      </c>
      <c r="B32" t="s">
        <v>52</v>
      </c>
      <c r="C32">
        <v>2</v>
      </c>
      <c r="D32">
        <v>3524.8</v>
      </c>
    </row>
    <row r="33" spans="1:4" x14ac:dyDescent="0.25">
      <c r="A33" t="s">
        <v>3124</v>
      </c>
      <c r="B33" t="s">
        <v>25</v>
      </c>
      <c r="C33">
        <v>2</v>
      </c>
      <c r="D33">
        <v>537.98</v>
      </c>
    </row>
    <row r="34" spans="1:4" x14ac:dyDescent="0.25">
      <c r="A34" t="s">
        <v>3293</v>
      </c>
      <c r="B34" t="s">
        <v>25</v>
      </c>
      <c r="C34">
        <v>2</v>
      </c>
      <c r="D34">
        <v>1635.68</v>
      </c>
    </row>
    <row r="35" spans="1:4" x14ac:dyDescent="0.25">
      <c r="A35" t="s">
        <v>3443</v>
      </c>
      <c r="B35" t="s">
        <v>19</v>
      </c>
      <c r="C35">
        <v>2</v>
      </c>
      <c r="D35">
        <v>4737.1400000000003</v>
      </c>
    </row>
    <row r="36" spans="1:4" x14ac:dyDescent="0.25">
      <c r="A36" t="s">
        <v>3453</v>
      </c>
      <c r="B36" t="s">
        <v>19</v>
      </c>
      <c r="C36">
        <v>2</v>
      </c>
      <c r="D36">
        <v>195.36</v>
      </c>
    </row>
    <row r="37" spans="1:4" x14ac:dyDescent="0.25">
      <c r="A37" t="s">
        <v>3730</v>
      </c>
      <c r="B37" t="s">
        <v>25</v>
      </c>
      <c r="C37">
        <v>2</v>
      </c>
      <c r="D37">
        <v>2713.12</v>
      </c>
    </row>
    <row r="38" spans="1:4" x14ac:dyDescent="0.25">
      <c r="A38" t="s">
        <v>4086</v>
      </c>
      <c r="B38" t="s">
        <v>25</v>
      </c>
      <c r="C38">
        <v>2</v>
      </c>
      <c r="D38">
        <v>514.58000000000004</v>
      </c>
    </row>
    <row r="39" spans="1:4" x14ac:dyDescent="0.25">
      <c r="A39" t="s">
        <v>4118</v>
      </c>
      <c r="B39" t="s">
        <v>25</v>
      </c>
      <c r="C39">
        <v>2</v>
      </c>
      <c r="D39">
        <v>3116.34</v>
      </c>
    </row>
    <row r="40" spans="1:4" x14ac:dyDescent="0.25">
      <c r="A40" t="s">
        <v>4178</v>
      </c>
      <c r="B40" t="s">
        <v>25</v>
      </c>
      <c r="C40">
        <v>2</v>
      </c>
      <c r="D40">
        <v>3384.58</v>
      </c>
    </row>
    <row r="41" spans="1:4" x14ac:dyDescent="0.25">
      <c r="A41" t="s">
        <v>4249</v>
      </c>
      <c r="B41" t="s">
        <v>19</v>
      </c>
      <c r="C41">
        <v>2</v>
      </c>
      <c r="D41">
        <v>1898.4</v>
      </c>
    </row>
    <row r="42" spans="1:4" x14ac:dyDescent="0.25">
      <c r="A42" t="s">
        <v>3172</v>
      </c>
      <c r="B42" t="s">
        <v>52</v>
      </c>
      <c r="C42">
        <v>1</v>
      </c>
      <c r="D42">
        <v>5283.54</v>
      </c>
    </row>
    <row r="43" spans="1:4" x14ac:dyDescent="0.25">
      <c r="A43" t="s">
        <v>3518</v>
      </c>
      <c r="B43" t="s">
        <v>52</v>
      </c>
      <c r="C43">
        <v>1</v>
      </c>
      <c r="D43">
        <v>3818.97</v>
      </c>
    </row>
    <row r="44" spans="1:4" x14ac:dyDescent="0.25">
      <c r="A44" t="s">
        <v>3941</v>
      </c>
      <c r="B44" t="s">
        <v>52</v>
      </c>
      <c r="C44">
        <v>1</v>
      </c>
      <c r="D44">
        <v>5232.9399999999996</v>
      </c>
    </row>
    <row r="45" spans="1:4" x14ac:dyDescent="0.25">
      <c r="A45" t="s">
        <v>3128</v>
      </c>
      <c r="B45" t="s">
        <v>52</v>
      </c>
      <c r="C45">
        <v>1</v>
      </c>
      <c r="D45">
        <v>4081.15</v>
      </c>
    </row>
    <row r="46" spans="1:4" x14ac:dyDescent="0.25">
      <c r="A46" t="s">
        <v>3561</v>
      </c>
      <c r="B46" t="s">
        <v>52</v>
      </c>
      <c r="C46">
        <v>1</v>
      </c>
      <c r="D46">
        <v>3560.14</v>
      </c>
    </row>
    <row r="47" spans="1:4" x14ac:dyDescent="0.25">
      <c r="A47" t="s">
        <v>3984</v>
      </c>
      <c r="B47" t="s">
        <v>52</v>
      </c>
      <c r="C47">
        <v>1</v>
      </c>
      <c r="D47">
        <v>3693.49</v>
      </c>
    </row>
    <row r="48" spans="1:4" x14ac:dyDescent="0.25">
      <c r="A48" t="s">
        <v>3070</v>
      </c>
      <c r="B48" t="s">
        <v>52</v>
      </c>
      <c r="C48">
        <v>1</v>
      </c>
      <c r="D48">
        <v>7524.15</v>
      </c>
    </row>
    <row r="49" spans="1:4" x14ac:dyDescent="0.25">
      <c r="A49" t="s">
        <v>3502</v>
      </c>
      <c r="B49" t="s">
        <v>52</v>
      </c>
      <c r="C49">
        <v>1</v>
      </c>
      <c r="D49">
        <v>3363.81</v>
      </c>
    </row>
    <row r="50" spans="1:4" x14ac:dyDescent="0.25">
      <c r="A50" t="s">
        <v>3925</v>
      </c>
      <c r="B50" t="s">
        <v>52</v>
      </c>
      <c r="C50">
        <v>1</v>
      </c>
      <c r="D50">
        <v>9659.8799999999992</v>
      </c>
    </row>
    <row r="51" spans="1:4" x14ac:dyDescent="0.25">
      <c r="A51" t="s">
        <v>3115</v>
      </c>
      <c r="B51" t="s">
        <v>52</v>
      </c>
      <c r="C51">
        <v>1</v>
      </c>
      <c r="D51">
        <v>4717.45</v>
      </c>
    </row>
    <row r="52" spans="1:4" x14ac:dyDescent="0.25">
      <c r="A52" t="s">
        <v>3545</v>
      </c>
      <c r="B52" t="s">
        <v>52</v>
      </c>
      <c r="C52">
        <v>1</v>
      </c>
      <c r="D52">
        <v>5979.65</v>
      </c>
    </row>
    <row r="53" spans="1:4" x14ac:dyDescent="0.25">
      <c r="A53" t="s">
        <v>3968</v>
      </c>
      <c r="B53" t="s">
        <v>52</v>
      </c>
      <c r="C53">
        <v>1</v>
      </c>
      <c r="D53">
        <v>1085.47</v>
      </c>
    </row>
    <row r="54" spans="1:4" x14ac:dyDescent="0.25">
      <c r="A54" t="s">
        <v>3054</v>
      </c>
      <c r="B54" t="s">
        <v>52</v>
      </c>
      <c r="C54">
        <v>1</v>
      </c>
      <c r="D54">
        <v>4993.45</v>
      </c>
    </row>
    <row r="55" spans="1:4" x14ac:dyDescent="0.25">
      <c r="A55" t="s">
        <v>3484</v>
      </c>
      <c r="B55" t="s">
        <v>52</v>
      </c>
      <c r="C55">
        <v>1</v>
      </c>
      <c r="D55">
        <v>8584.7099999999991</v>
      </c>
    </row>
    <row r="56" spans="1:4" x14ac:dyDescent="0.25">
      <c r="A56" t="s">
        <v>3908</v>
      </c>
      <c r="B56" t="s">
        <v>52</v>
      </c>
      <c r="C56">
        <v>1</v>
      </c>
      <c r="D56">
        <v>4420.96</v>
      </c>
    </row>
    <row r="57" spans="1:4" x14ac:dyDescent="0.25">
      <c r="A57" t="s">
        <v>3102</v>
      </c>
      <c r="B57" t="s">
        <v>52</v>
      </c>
      <c r="C57">
        <v>1</v>
      </c>
      <c r="D57">
        <v>4666.67</v>
      </c>
    </row>
    <row r="58" spans="1:4" x14ac:dyDescent="0.25">
      <c r="A58" t="s">
        <v>3533</v>
      </c>
      <c r="B58" t="s">
        <v>52</v>
      </c>
      <c r="C58">
        <v>1</v>
      </c>
      <c r="D58">
        <v>5803.11</v>
      </c>
    </row>
    <row r="59" spans="1:4" x14ac:dyDescent="0.25">
      <c r="A59" t="s">
        <v>3954</v>
      </c>
      <c r="B59" t="s">
        <v>52</v>
      </c>
      <c r="C59">
        <v>1</v>
      </c>
      <c r="D59">
        <v>5140.88</v>
      </c>
    </row>
    <row r="60" spans="1:4" x14ac:dyDescent="0.25">
      <c r="A60" t="s">
        <v>3140</v>
      </c>
      <c r="B60" t="s">
        <v>52</v>
      </c>
      <c r="C60">
        <v>1</v>
      </c>
      <c r="D60">
        <v>5517.08</v>
      </c>
    </row>
    <row r="61" spans="1:4" x14ac:dyDescent="0.25">
      <c r="A61" t="s">
        <v>3576</v>
      </c>
      <c r="B61" t="s">
        <v>52</v>
      </c>
      <c r="C61">
        <v>1</v>
      </c>
      <c r="D61">
        <v>2482.71</v>
      </c>
    </row>
    <row r="62" spans="1:4" x14ac:dyDescent="0.25">
      <c r="A62" t="s">
        <v>3998</v>
      </c>
      <c r="B62" t="s">
        <v>52</v>
      </c>
      <c r="C62">
        <v>1</v>
      </c>
      <c r="D62">
        <v>3903.64</v>
      </c>
    </row>
    <row r="63" spans="1:4" x14ac:dyDescent="0.25">
      <c r="A63" t="s">
        <v>3035</v>
      </c>
      <c r="B63" t="s">
        <v>19</v>
      </c>
      <c r="C63">
        <v>1</v>
      </c>
      <c r="D63">
        <v>2921.83</v>
      </c>
    </row>
    <row r="64" spans="1:4" x14ac:dyDescent="0.25">
      <c r="A64" t="s">
        <v>3466</v>
      </c>
      <c r="B64" t="s">
        <v>19</v>
      </c>
      <c r="C64">
        <v>1</v>
      </c>
      <c r="D64">
        <v>6017.69</v>
      </c>
    </row>
    <row r="65" spans="1:4" x14ac:dyDescent="0.25">
      <c r="A65" t="s">
        <v>3888</v>
      </c>
      <c r="B65" t="s">
        <v>19</v>
      </c>
      <c r="C65">
        <v>1</v>
      </c>
      <c r="D65">
        <v>5960.49</v>
      </c>
    </row>
    <row r="66" spans="1:4" x14ac:dyDescent="0.25">
      <c r="A66" t="s">
        <v>3174</v>
      </c>
      <c r="B66" t="s">
        <v>19</v>
      </c>
      <c r="C66">
        <v>1</v>
      </c>
      <c r="D66">
        <v>4698.5200000000004</v>
      </c>
    </row>
    <row r="67" spans="1:4" x14ac:dyDescent="0.25">
      <c r="A67" t="s">
        <v>3520</v>
      </c>
      <c r="B67" t="s">
        <v>19</v>
      </c>
      <c r="C67">
        <v>1</v>
      </c>
      <c r="D67">
        <v>6692.95</v>
      </c>
    </row>
    <row r="68" spans="1:4" x14ac:dyDescent="0.25">
      <c r="A68" t="s">
        <v>3943</v>
      </c>
      <c r="B68" t="s">
        <v>19</v>
      </c>
      <c r="C68">
        <v>1</v>
      </c>
      <c r="D68">
        <v>3839.61</v>
      </c>
    </row>
    <row r="69" spans="1:4" x14ac:dyDescent="0.25">
      <c r="A69" t="s">
        <v>3130</v>
      </c>
      <c r="B69" t="s">
        <v>19</v>
      </c>
      <c r="C69">
        <v>1</v>
      </c>
      <c r="D69">
        <v>3535.11</v>
      </c>
    </row>
    <row r="70" spans="1:4" x14ac:dyDescent="0.25">
      <c r="A70" t="s">
        <v>3563</v>
      </c>
      <c r="B70" t="s">
        <v>19</v>
      </c>
      <c r="C70">
        <v>1</v>
      </c>
      <c r="D70">
        <v>5154.01</v>
      </c>
    </row>
    <row r="71" spans="1:4" x14ac:dyDescent="0.25">
      <c r="A71" t="s">
        <v>3986</v>
      </c>
      <c r="B71" t="s">
        <v>19</v>
      </c>
      <c r="C71">
        <v>1</v>
      </c>
      <c r="D71">
        <v>7370.62</v>
      </c>
    </row>
    <row r="72" spans="1:4" x14ac:dyDescent="0.25">
      <c r="A72" t="s">
        <v>3072</v>
      </c>
      <c r="B72" t="s">
        <v>19</v>
      </c>
      <c r="C72">
        <v>1</v>
      </c>
      <c r="D72">
        <v>5792.42</v>
      </c>
    </row>
    <row r="73" spans="1:4" x14ac:dyDescent="0.25">
      <c r="A73" t="s">
        <v>3504</v>
      </c>
      <c r="B73" t="s">
        <v>19</v>
      </c>
      <c r="C73">
        <v>1</v>
      </c>
      <c r="D73">
        <v>3885.49</v>
      </c>
    </row>
    <row r="74" spans="1:4" x14ac:dyDescent="0.25">
      <c r="A74" t="s">
        <v>3927</v>
      </c>
      <c r="B74" t="s">
        <v>19</v>
      </c>
      <c r="C74">
        <v>1</v>
      </c>
      <c r="D74">
        <v>4248.8</v>
      </c>
    </row>
    <row r="75" spans="1:4" x14ac:dyDescent="0.25">
      <c r="A75" t="s">
        <v>3117</v>
      </c>
      <c r="B75" t="s">
        <v>19</v>
      </c>
      <c r="C75">
        <v>1</v>
      </c>
      <c r="D75">
        <v>5098.72</v>
      </c>
    </row>
    <row r="76" spans="1:4" x14ac:dyDescent="0.25">
      <c r="A76" t="s">
        <v>3549</v>
      </c>
      <c r="B76" t="s">
        <v>19</v>
      </c>
      <c r="C76">
        <v>1</v>
      </c>
      <c r="D76">
        <v>5667.64</v>
      </c>
    </row>
    <row r="77" spans="1:4" x14ac:dyDescent="0.25">
      <c r="A77" t="s">
        <v>3970</v>
      </c>
      <c r="B77" t="s">
        <v>19</v>
      </c>
      <c r="C77">
        <v>1</v>
      </c>
      <c r="D77">
        <v>4216.74</v>
      </c>
    </row>
    <row r="78" spans="1:4" x14ac:dyDescent="0.25">
      <c r="A78" t="s">
        <v>3056</v>
      </c>
      <c r="B78" t="s">
        <v>19</v>
      </c>
      <c r="C78">
        <v>1</v>
      </c>
      <c r="D78">
        <v>7412.53</v>
      </c>
    </row>
    <row r="79" spans="1:4" x14ac:dyDescent="0.25">
      <c r="A79" t="s">
        <v>3486</v>
      </c>
      <c r="B79" t="s">
        <v>19</v>
      </c>
      <c r="C79">
        <v>1</v>
      </c>
      <c r="D79">
        <v>7034.23</v>
      </c>
    </row>
    <row r="80" spans="1:4" x14ac:dyDescent="0.25">
      <c r="A80" t="s">
        <v>3910</v>
      </c>
      <c r="B80" t="s">
        <v>19</v>
      </c>
      <c r="C80">
        <v>1</v>
      </c>
      <c r="D80">
        <v>2531.34</v>
      </c>
    </row>
    <row r="81" spans="1:4" x14ac:dyDescent="0.25">
      <c r="A81" t="s">
        <v>3186</v>
      </c>
      <c r="B81" t="s">
        <v>19</v>
      </c>
      <c r="C81">
        <v>1</v>
      </c>
      <c r="D81">
        <v>4208.82</v>
      </c>
    </row>
    <row r="82" spans="1:4" x14ac:dyDescent="0.25">
      <c r="A82" t="s">
        <v>3535</v>
      </c>
      <c r="B82" t="s">
        <v>19</v>
      </c>
      <c r="C82">
        <v>1</v>
      </c>
      <c r="D82">
        <v>4438.55</v>
      </c>
    </row>
    <row r="83" spans="1:4" x14ac:dyDescent="0.25">
      <c r="A83" t="s">
        <v>4125</v>
      </c>
      <c r="B83" t="s">
        <v>19</v>
      </c>
      <c r="C83">
        <v>1</v>
      </c>
      <c r="D83">
        <v>2970.51</v>
      </c>
    </row>
    <row r="84" spans="1:4" x14ac:dyDescent="0.25">
      <c r="A84" t="s">
        <v>3044</v>
      </c>
      <c r="B84" t="s">
        <v>25</v>
      </c>
      <c r="C84">
        <v>1</v>
      </c>
      <c r="D84">
        <v>1993.14</v>
      </c>
    </row>
    <row r="85" spans="1:4" x14ac:dyDescent="0.25">
      <c r="A85" t="s">
        <v>3096</v>
      </c>
      <c r="B85" t="s">
        <v>25</v>
      </c>
      <c r="C85">
        <v>1</v>
      </c>
      <c r="D85">
        <v>427.48</v>
      </c>
    </row>
    <row r="86" spans="1:4" x14ac:dyDescent="0.25">
      <c r="A86" t="s">
        <v>3164</v>
      </c>
      <c r="B86" t="s">
        <v>25</v>
      </c>
      <c r="C86">
        <v>1</v>
      </c>
      <c r="D86">
        <v>212.75</v>
      </c>
    </row>
    <row r="87" spans="1:4" x14ac:dyDescent="0.25">
      <c r="A87" t="s">
        <v>3169</v>
      </c>
      <c r="B87" t="s">
        <v>25</v>
      </c>
      <c r="C87">
        <v>1</v>
      </c>
      <c r="D87">
        <v>137.26</v>
      </c>
    </row>
    <row r="88" spans="1:4" x14ac:dyDescent="0.25">
      <c r="A88" t="s">
        <v>3512</v>
      </c>
      <c r="B88" t="s">
        <v>25</v>
      </c>
      <c r="C88">
        <v>1</v>
      </c>
      <c r="D88">
        <v>1162.69</v>
      </c>
    </row>
    <row r="89" spans="1:4" x14ac:dyDescent="0.25">
      <c r="A89" t="s">
        <v>3582</v>
      </c>
      <c r="B89" t="s">
        <v>25</v>
      </c>
      <c r="C89">
        <v>1</v>
      </c>
      <c r="D89">
        <v>1974.18</v>
      </c>
    </row>
    <row r="90" spans="1:4" x14ac:dyDescent="0.25">
      <c r="A90" t="s">
        <v>3653</v>
      </c>
      <c r="B90" t="s">
        <v>25</v>
      </c>
      <c r="C90">
        <v>1</v>
      </c>
      <c r="D90">
        <v>1191.46</v>
      </c>
    </row>
    <row r="91" spans="1:4" x14ac:dyDescent="0.25">
      <c r="A91" t="s">
        <v>3759</v>
      </c>
      <c r="B91" t="s">
        <v>19</v>
      </c>
      <c r="C91">
        <v>1</v>
      </c>
      <c r="D91">
        <v>300.72000000000003</v>
      </c>
    </row>
    <row r="92" spans="1:4" x14ac:dyDescent="0.25">
      <c r="A92" t="s">
        <v>3863</v>
      </c>
      <c r="B92" t="s">
        <v>25</v>
      </c>
      <c r="C92">
        <v>1</v>
      </c>
      <c r="D92">
        <v>766.57</v>
      </c>
    </row>
    <row r="93" spans="1:4" x14ac:dyDescent="0.25">
      <c r="A93" t="s">
        <v>3906</v>
      </c>
      <c r="B93" t="s">
        <v>25</v>
      </c>
      <c r="C93">
        <v>1</v>
      </c>
      <c r="D93">
        <v>320.86</v>
      </c>
    </row>
    <row r="94" spans="1:4" x14ac:dyDescent="0.25">
      <c r="A94" t="s">
        <v>3939</v>
      </c>
      <c r="B94" t="s">
        <v>25</v>
      </c>
      <c r="C94">
        <v>1</v>
      </c>
      <c r="D94">
        <v>2198</v>
      </c>
    </row>
    <row r="95" spans="1:4" x14ac:dyDescent="0.25">
      <c r="A95" t="s">
        <v>3952</v>
      </c>
      <c r="B95" t="s">
        <v>25</v>
      </c>
      <c r="C95">
        <v>1</v>
      </c>
      <c r="D95">
        <v>1682.44</v>
      </c>
    </row>
    <row r="96" spans="1:4" x14ac:dyDescent="0.25">
      <c r="A96" t="s">
        <v>3974</v>
      </c>
      <c r="B96" t="s">
        <v>25</v>
      </c>
      <c r="C96">
        <v>1</v>
      </c>
      <c r="D96">
        <v>672.73</v>
      </c>
    </row>
    <row r="97" spans="1:4" x14ac:dyDescent="0.25">
      <c r="A97" t="s">
        <v>3981</v>
      </c>
      <c r="B97" t="s">
        <v>25</v>
      </c>
      <c r="C97">
        <v>1</v>
      </c>
      <c r="D97">
        <v>964.63</v>
      </c>
    </row>
    <row r="98" spans="1:4" x14ac:dyDescent="0.25">
      <c r="A98" t="s">
        <v>3990</v>
      </c>
      <c r="B98" t="s">
        <v>25</v>
      </c>
      <c r="C98">
        <v>1</v>
      </c>
      <c r="D98">
        <v>1441.11</v>
      </c>
    </row>
    <row r="99" spans="1:4" x14ac:dyDescent="0.25">
      <c r="A99" t="s">
        <v>4037</v>
      </c>
      <c r="B99" t="s">
        <v>25</v>
      </c>
      <c r="C99">
        <v>1</v>
      </c>
      <c r="D99">
        <v>44.06</v>
      </c>
    </row>
    <row r="100" spans="1:4" x14ac:dyDescent="0.25">
      <c r="A100" t="s">
        <v>4045</v>
      </c>
      <c r="B100" t="s">
        <v>19</v>
      </c>
      <c r="C100">
        <v>1</v>
      </c>
      <c r="D100">
        <v>1344.49</v>
      </c>
    </row>
    <row r="101" spans="1:4" x14ac:dyDescent="0.25">
      <c r="A101" t="s">
        <v>4171</v>
      </c>
      <c r="B101" t="s">
        <v>52</v>
      </c>
      <c r="C101">
        <v>1</v>
      </c>
      <c r="D101">
        <v>1304.98</v>
      </c>
    </row>
    <row r="102" spans="1:4" x14ac:dyDescent="0.25">
      <c r="A102" t="s">
        <v>4222</v>
      </c>
      <c r="B102" t="s">
        <v>25</v>
      </c>
      <c r="C102">
        <v>1</v>
      </c>
      <c r="D102">
        <v>1457.29</v>
      </c>
    </row>
    <row r="103" spans="1:4" x14ac:dyDescent="0.25">
      <c r="A103" t="s">
        <v>4241</v>
      </c>
      <c r="B103" t="s">
        <v>25</v>
      </c>
      <c r="C103">
        <v>1</v>
      </c>
      <c r="D103">
        <v>294.36</v>
      </c>
    </row>
    <row r="104" spans="1:4" x14ac:dyDescent="0.25">
      <c r="A104" t="s">
        <v>4262</v>
      </c>
      <c r="B104" t="s">
        <v>25</v>
      </c>
      <c r="C104">
        <v>1</v>
      </c>
      <c r="D104">
        <v>400.88</v>
      </c>
    </row>
    <row r="105" spans="1:4" x14ac:dyDescent="0.25">
      <c r="A105" t="s">
        <v>4265</v>
      </c>
      <c r="B105" t="s">
        <v>25</v>
      </c>
      <c r="C105">
        <v>1</v>
      </c>
      <c r="D105">
        <v>429.93</v>
      </c>
    </row>
    <row r="106" spans="1:4" x14ac:dyDescent="0.25">
      <c r="A106" t="s">
        <v>4268</v>
      </c>
      <c r="B106" t="s">
        <v>25</v>
      </c>
      <c r="C106">
        <v>1</v>
      </c>
      <c r="D106">
        <v>377.13</v>
      </c>
    </row>
    <row r="107" spans="1:4" x14ac:dyDescent="0.25">
      <c r="A107" t="s">
        <v>4271</v>
      </c>
      <c r="B107" t="s">
        <v>25</v>
      </c>
      <c r="C107">
        <v>1</v>
      </c>
      <c r="D107">
        <v>75.06</v>
      </c>
    </row>
    <row r="108" spans="1:4" x14ac:dyDescent="0.25">
      <c r="A108" t="s">
        <v>4274</v>
      </c>
      <c r="B108" t="s">
        <v>25</v>
      </c>
      <c r="C108">
        <v>1</v>
      </c>
      <c r="D108">
        <v>836.06</v>
      </c>
    </row>
    <row r="109" spans="1:4" x14ac:dyDescent="0.25">
      <c r="A109" t="s">
        <v>4277</v>
      </c>
      <c r="B109" t="s">
        <v>25</v>
      </c>
      <c r="C109">
        <v>1</v>
      </c>
      <c r="D109">
        <v>703.6</v>
      </c>
    </row>
    <row r="110" spans="1:4" x14ac:dyDescent="0.25">
      <c r="A110" t="s">
        <v>4280</v>
      </c>
      <c r="B110" t="s">
        <v>25</v>
      </c>
      <c r="C110">
        <v>1</v>
      </c>
      <c r="D110">
        <v>699.58</v>
      </c>
    </row>
    <row r="111" spans="1:4" x14ac:dyDescent="0.25">
      <c r="A111" t="s">
        <v>4283</v>
      </c>
      <c r="B111" t="s">
        <v>25</v>
      </c>
      <c r="C111">
        <v>1</v>
      </c>
      <c r="D111">
        <v>274</v>
      </c>
    </row>
    <row r="112" spans="1:4" x14ac:dyDescent="0.25">
      <c r="A112" t="s">
        <v>4286</v>
      </c>
      <c r="B112" t="s">
        <v>25</v>
      </c>
      <c r="C112">
        <v>1</v>
      </c>
      <c r="D112">
        <v>359</v>
      </c>
    </row>
    <row r="113" spans="1:4" x14ac:dyDescent="0.25">
      <c r="A113" t="s">
        <v>4289</v>
      </c>
      <c r="B113" t="s">
        <v>25</v>
      </c>
      <c r="C113">
        <v>1</v>
      </c>
      <c r="D113">
        <v>617.99</v>
      </c>
    </row>
    <row r="114" spans="1:4" x14ac:dyDescent="0.25">
      <c r="A114" t="s">
        <v>4292</v>
      </c>
      <c r="B114" t="s">
        <v>25</v>
      </c>
      <c r="C114">
        <v>1</v>
      </c>
      <c r="D114">
        <v>591.02</v>
      </c>
    </row>
    <row r="115" spans="1:4" x14ac:dyDescent="0.25">
      <c r="A115" t="s">
        <v>4295</v>
      </c>
      <c r="B115" t="s">
        <v>25</v>
      </c>
      <c r="C115">
        <v>1</v>
      </c>
      <c r="D115">
        <v>635.71</v>
      </c>
    </row>
    <row r="116" spans="1:4" x14ac:dyDescent="0.25">
      <c r="A116" t="s">
        <v>4298</v>
      </c>
      <c r="B116" t="s">
        <v>25</v>
      </c>
      <c r="C116">
        <v>1</v>
      </c>
      <c r="D116">
        <v>629.74</v>
      </c>
    </row>
    <row r="117" spans="1:4" x14ac:dyDescent="0.25">
      <c r="A117" t="s">
        <v>4301</v>
      </c>
      <c r="B117" t="s">
        <v>25</v>
      </c>
      <c r="C117">
        <v>1</v>
      </c>
      <c r="D117">
        <v>7.56</v>
      </c>
    </row>
    <row r="118" spans="1:4" x14ac:dyDescent="0.25">
      <c r="A118" t="s">
        <v>4304</v>
      </c>
      <c r="B118" t="s">
        <v>25</v>
      </c>
      <c r="C118">
        <v>1</v>
      </c>
      <c r="D118">
        <v>540.72</v>
      </c>
    </row>
    <row r="119" spans="1:4" x14ac:dyDescent="0.25">
      <c r="A119" t="s">
        <v>4307</v>
      </c>
      <c r="B119" t="s">
        <v>25</v>
      </c>
      <c r="C119">
        <v>1</v>
      </c>
      <c r="D119">
        <v>816.59</v>
      </c>
    </row>
    <row r="120" spans="1:4" x14ac:dyDescent="0.25">
      <c r="A120" t="s">
        <v>4310</v>
      </c>
      <c r="B120" t="s">
        <v>25</v>
      </c>
      <c r="C120">
        <v>1</v>
      </c>
      <c r="D120">
        <v>490.82</v>
      </c>
    </row>
    <row r="121" spans="1:4" x14ac:dyDescent="0.25">
      <c r="A121" t="s">
        <v>4313</v>
      </c>
      <c r="B121" t="s">
        <v>25</v>
      </c>
      <c r="C121">
        <v>1</v>
      </c>
      <c r="D121">
        <v>152.71</v>
      </c>
    </row>
    <row r="122" spans="1:4" x14ac:dyDescent="0.25">
      <c r="A122" t="s">
        <v>4316</v>
      </c>
      <c r="B122" t="s">
        <v>25</v>
      </c>
      <c r="C122">
        <v>1</v>
      </c>
      <c r="D122">
        <v>571.67999999999995</v>
      </c>
    </row>
    <row r="123" spans="1:4" x14ac:dyDescent="0.25">
      <c r="A123" t="s">
        <v>4319</v>
      </c>
      <c r="B123" t="s">
        <v>25</v>
      </c>
      <c r="C123">
        <v>1</v>
      </c>
      <c r="D123">
        <v>616.83000000000004</v>
      </c>
    </row>
    <row r="124" spans="1:4" x14ac:dyDescent="0.25">
      <c r="A124" t="s">
        <v>3077</v>
      </c>
      <c r="B124" t="s">
        <v>25</v>
      </c>
      <c r="C124">
        <v>1</v>
      </c>
      <c r="D124">
        <v>-718.58</v>
      </c>
    </row>
    <row r="125" spans="1:4" x14ac:dyDescent="0.25">
      <c r="A125" t="s">
        <v>3086</v>
      </c>
      <c r="B125" t="s">
        <v>25</v>
      </c>
      <c r="C125">
        <v>1</v>
      </c>
      <c r="D125">
        <v>-607.80999999999995</v>
      </c>
    </row>
    <row r="126" spans="1:4" x14ac:dyDescent="0.25">
      <c r="A126" t="s">
        <v>3197</v>
      </c>
      <c r="B126" t="s">
        <v>52</v>
      </c>
      <c r="C126">
        <v>1</v>
      </c>
      <c r="D126">
        <v>-774.42</v>
      </c>
    </row>
    <row r="127" spans="1:4" x14ac:dyDescent="0.25">
      <c r="A127" t="s">
        <v>3214</v>
      </c>
      <c r="B127" t="s">
        <v>25</v>
      </c>
      <c r="C127">
        <v>1</v>
      </c>
      <c r="D127">
        <v>-631.87</v>
      </c>
    </row>
    <row r="128" spans="1:4" x14ac:dyDescent="0.25">
      <c r="A128" t="s">
        <v>3227</v>
      </c>
      <c r="B128" t="s">
        <v>25</v>
      </c>
      <c r="C128">
        <v>1</v>
      </c>
      <c r="D128">
        <v>-1472.02</v>
      </c>
    </row>
    <row r="129" spans="1:4" x14ac:dyDescent="0.25">
      <c r="A129" t="s">
        <v>3253</v>
      </c>
      <c r="B129" t="s">
        <v>52</v>
      </c>
      <c r="C129">
        <v>1</v>
      </c>
      <c r="D129">
        <v>-293.02</v>
      </c>
    </row>
    <row r="130" spans="1:4" x14ac:dyDescent="0.25">
      <c r="A130" t="s">
        <v>3271</v>
      </c>
      <c r="B130" t="s">
        <v>25</v>
      </c>
      <c r="C130">
        <v>1</v>
      </c>
      <c r="D130">
        <v>-518.08000000000004</v>
      </c>
    </row>
    <row r="131" spans="1:4" x14ac:dyDescent="0.25">
      <c r="A131" t="s">
        <v>3278</v>
      </c>
      <c r="B131" t="s">
        <v>52</v>
      </c>
      <c r="C131">
        <v>1</v>
      </c>
      <c r="D131">
        <v>-439.33</v>
      </c>
    </row>
    <row r="132" spans="1:4" x14ac:dyDescent="0.25">
      <c r="A132" t="s">
        <v>3298</v>
      </c>
      <c r="B132" t="s">
        <v>25</v>
      </c>
      <c r="C132">
        <v>1</v>
      </c>
      <c r="D132">
        <v>-16.93</v>
      </c>
    </row>
    <row r="133" spans="1:4" x14ac:dyDescent="0.25">
      <c r="A133" t="s">
        <v>3308</v>
      </c>
      <c r="B133" t="s">
        <v>25</v>
      </c>
      <c r="C133">
        <v>1</v>
      </c>
      <c r="D133">
        <v>-1351.31</v>
      </c>
    </row>
    <row r="134" spans="1:4" x14ac:dyDescent="0.25">
      <c r="A134" t="s">
        <v>3321</v>
      </c>
      <c r="B134" t="s">
        <v>25</v>
      </c>
      <c r="C134">
        <v>1</v>
      </c>
      <c r="D134">
        <v>-127.66</v>
      </c>
    </row>
    <row r="135" spans="1:4" x14ac:dyDescent="0.25">
      <c r="A135" t="s">
        <v>3328</v>
      </c>
      <c r="B135" t="s">
        <v>52</v>
      </c>
      <c r="C135">
        <v>1</v>
      </c>
      <c r="D135">
        <v>-714.93</v>
      </c>
    </row>
    <row r="136" spans="1:4" x14ac:dyDescent="0.25">
      <c r="A136" t="s">
        <v>3361</v>
      </c>
      <c r="B136" t="s">
        <v>19</v>
      </c>
      <c r="C136">
        <v>1</v>
      </c>
      <c r="D136">
        <v>-1149.1600000000001</v>
      </c>
    </row>
    <row r="137" spans="1:4" x14ac:dyDescent="0.25">
      <c r="A137" t="s">
        <v>3366</v>
      </c>
      <c r="B137" t="s">
        <v>25</v>
      </c>
      <c r="C137">
        <v>1</v>
      </c>
      <c r="D137">
        <v>-474.78</v>
      </c>
    </row>
    <row r="138" spans="1:4" x14ac:dyDescent="0.25">
      <c r="A138" t="s">
        <v>3404</v>
      </c>
      <c r="B138" t="s">
        <v>25</v>
      </c>
      <c r="C138">
        <v>1</v>
      </c>
      <c r="D138">
        <v>-2282.7800000000002</v>
      </c>
    </row>
    <row r="139" spans="1:4" x14ac:dyDescent="0.25">
      <c r="A139" t="s">
        <v>3464</v>
      </c>
      <c r="B139" t="s">
        <v>52</v>
      </c>
      <c r="C139">
        <v>1</v>
      </c>
      <c r="D139">
        <v>-2107.5100000000002</v>
      </c>
    </row>
    <row r="140" spans="1:4" x14ac:dyDescent="0.25">
      <c r="A140" t="s">
        <v>3498</v>
      </c>
      <c r="B140" t="s">
        <v>25</v>
      </c>
      <c r="C140">
        <v>1</v>
      </c>
      <c r="D140">
        <v>-639.99</v>
      </c>
    </row>
    <row r="141" spans="1:4" x14ac:dyDescent="0.25">
      <c r="A141" t="s">
        <v>3523</v>
      </c>
      <c r="B141" t="s">
        <v>25</v>
      </c>
      <c r="C141">
        <v>1</v>
      </c>
      <c r="D141">
        <v>-847.58</v>
      </c>
    </row>
    <row r="142" spans="1:4" x14ac:dyDescent="0.25">
      <c r="A142" t="s">
        <v>3547</v>
      </c>
      <c r="B142" t="s">
        <v>52</v>
      </c>
      <c r="C142">
        <v>1</v>
      </c>
      <c r="D142">
        <v>-42.49</v>
      </c>
    </row>
    <row r="143" spans="1:4" x14ac:dyDescent="0.25">
      <c r="A143" t="s">
        <v>3591</v>
      </c>
      <c r="B143" t="s">
        <v>19</v>
      </c>
      <c r="C143">
        <v>1</v>
      </c>
      <c r="D143">
        <v>-609.04</v>
      </c>
    </row>
    <row r="144" spans="1:4" x14ac:dyDescent="0.25">
      <c r="A144" t="s">
        <v>3601</v>
      </c>
      <c r="B144" t="s">
        <v>25</v>
      </c>
      <c r="C144">
        <v>1</v>
      </c>
      <c r="D144">
        <v>-822.81</v>
      </c>
    </row>
    <row r="145" spans="1:4" x14ac:dyDescent="0.25">
      <c r="A145" t="s">
        <v>3609</v>
      </c>
      <c r="B145" t="s">
        <v>25</v>
      </c>
      <c r="C145">
        <v>1</v>
      </c>
      <c r="D145">
        <v>-442.42</v>
      </c>
    </row>
    <row r="146" spans="1:4" x14ac:dyDescent="0.25">
      <c r="A146" t="s">
        <v>3633</v>
      </c>
      <c r="B146" t="s">
        <v>25</v>
      </c>
      <c r="C146">
        <v>1</v>
      </c>
      <c r="D146">
        <v>-722.27</v>
      </c>
    </row>
    <row r="147" spans="1:4" x14ac:dyDescent="0.25">
      <c r="A147" t="s">
        <v>3643</v>
      </c>
      <c r="B147" t="s">
        <v>25</v>
      </c>
      <c r="C147">
        <v>1</v>
      </c>
      <c r="D147">
        <v>-952.14</v>
      </c>
    </row>
    <row r="148" spans="1:4" x14ac:dyDescent="0.25">
      <c r="A148" t="s">
        <v>3657</v>
      </c>
      <c r="B148" t="s">
        <v>25</v>
      </c>
      <c r="C148">
        <v>1</v>
      </c>
      <c r="D148">
        <v>-533.28</v>
      </c>
    </row>
    <row r="149" spans="1:4" x14ac:dyDescent="0.25">
      <c r="A149" t="s">
        <v>3692</v>
      </c>
      <c r="B149" t="s">
        <v>25</v>
      </c>
      <c r="C149">
        <v>1</v>
      </c>
      <c r="D149">
        <v>-1175.8499999999999</v>
      </c>
    </row>
    <row r="150" spans="1:4" x14ac:dyDescent="0.25">
      <c r="A150" t="s">
        <v>3789</v>
      </c>
      <c r="B150" t="s">
        <v>25</v>
      </c>
      <c r="C150">
        <v>1</v>
      </c>
      <c r="D150">
        <v>-551.57000000000005</v>
      </c>
    </row>
    <row r="151" spans="1:4" x14ac:dyDescent="0.25">
      <c r="A151" t="s">
        <v>3875</v>
      </c>
      <c r="B151" t="s">
        <v>25</v>
      </c>
      <c r="C151">
        <v>1</v>
      </c>
      <c r="D151">
        <v>-713.36</v>
      </c>
    </row>
    <row r="152" spans="1:4" x14ac:dyDescent="0.25">
      <c r="A152" t="s">
        <v>3892</v>
      </c>
      <c r="B152" t="s">
        <v>25</v>
      </c>
      <c r="C152">
        <v>1</v>
      </c>
      <c r="D152">
        <v>-1058.8800000000001</v>
      </c>
    </row>
    <row r="153" spans="1:4" x14ac:dyDescent="0.25">
      <c r="A153" t="s">
        <v>3963</v>
      </c>
      <c r="B153" t="s">
        <v>25</v>
      </c>
      <c r="C153">
        <v>1</v>
      </c>
      <c r="D153">
        <v>-764.09</v>
      </c>
    </row>
    <row r="154" spans="1:4" x14ac:dyDescent="0.25">
      <c r="A154" t="s">
        <v>3972</v>
      </c>
      <c r="B154" t="s">
        <v>19</v>
      </c>
      <c r="C154">
        <v>1</v>
      </c>
      <c r="D154">
        <v>-1070.48</v>
      </c>
    </row>
    <row r="155" spans="1:4" x14ac:dyDescent="0.25">
      <c r="A155" t="s">
        <v>4026</v>
      </c>
      <c r="B155" t="s">
        <v>25</v>
      </c>
      <c r="C155">
        <v>1</v>
      </c>
      <c r="D155">
        <v>-2092.8200000000002</v>
      </c>
    </row>
    <row r="156" spans="1:4" x14ac:dyDescent="0.25">
      <c r="A156" t="s">
        <v>4090</v>
      </c>
      <c r="B156" t="s">
        <v>19</v>
      </c>
      <c r="C156">
        <v>1</v>
      </c>
      <c r="D156">
        <v>-20.87</v>
      </c>
    </row>
    <row r="157" spans="1:4" x14ac:dyDescent="0.25">
      <c r="A157" t="s">
        <v>4113</v>
      </c>
      <c r="B157" t="s">
        <v>19</v>
      </c>
      <c r="C157">
        <v>1</v>
      </c>
      <c r="D157">
        <v>-1174.17</v>
      </c>
    </row>
    <row r="158" spans="1:4" x14ac:dyDescent="0.25">
      <c r="A158" t="s">
        <v>4127</v>
      </c>
      <c r="B158" t="s">
        <v>19</v>
      </c>
      <c r="C158">
        <v>1</v>
      </c>
      <c r="D158">
        <v>-500.56</v>
      </c>
    </row>
    <row r="159" spans="1:4" x14ac:dyDescent="0.25">
      <c r="A159" t="s">
        <v>4146</v>
      </c>
      <c r="B159" t="s">
        <v>25</v>
      </c>
      <c r="C159">
        <v>1</v>
      </c>
      <c r="D159">
        <v>-2370.52</v>
      </c>
    </row>
    <row r="160" spans="1:4" x14ac:dyDescent="0.25">
      <c r="A160" t="s">
        <v>4162</v>
      </c>
      <c r="B160" t="s">
        <v>25</v>
      </c>
      <c r="C160">
        <v>1</v>
      </c>
      <c r="D160">
        <v>-332.45</v>
      </c>
    </row>
    <row r="161" spans="1:4" x14ac:dyDescent="0.25">
      <c r="A161" t="s">
        <v>4183</v>
      </c>
      <c r="B161" t="s">
        <v>25</v>
      </c>
      <c r="C161">
        <v>1</v>
      </c>
      <c r="D161">
        <v>-701.47</v>
      </c>
    </row>
    <row r="162" spans="1:4" x14ac:dyDescent="0.25">
      <c r="A162" t="s">
        <v>4246</v>
      </c>
      <c r="B162" t="s">
        <v>25</v>
      </c>
      <c r="C162">
        <v>1</v>
      </c>
      <c r="D162">
        <v>-747.94</v>
      </c>
    </row>
    <row r="163" spans="1:4" x14ac:dyDescent="0.25">
      <c r="A163" t="s">
        <v>4255</v>
      </c>
      <c r="B163" t="s">
        <v>25</v>
      </c>
      <c r="C163">
        <v>1</v>
      </c>
      <c r="D163">
        <v>-1906.98</v>
      </c>
    </row>
    <row r="164" spans="1:4" x14ac:dyDescent="0.25">
      <c r="A164" t="s">
        <v>3064</v>
      </c>
      <c r="B164" t="s">
        <v>25</v>
      </c>
      <c r="C164">
        <v>1</v>
      </c>
      <c r="D164">
        <v>24148.25</v>
      </c>
    </row>
    <row r="165" spans="1:4" x14ac:dyDescent="0.25">
      <c r="A165" t="s">
        <v>3494</v>
      </c>
      <c r="B165" t="s">
        <v>25</v>
      </c>
      <c r="C165">
        <v>1</v>
      </c>
      <c r="D165">
        <v>17242.55</v>
      </c>
    </row>
    <row r="166" spans="1:4" x14ac:dyDescent="0.25">
      <c r="A166" t="s">
        <v>3918</v>
      </c>
      <c r="B166" t="s">
        <v>25</v>
      </c>
      <c r="C166">
        <v>1</v>
      </c>
      <c r="D166">
        <v>17014.11</v>
      </c>
    </row>
    <row r="167" spans="1:4" x14ac:dyDescent="0.25">
      <c r="A167" t="s">
        <v>3038</v>
      </c>
      <c r="B167" t="s">
        <v>25</v>
      </c>
      <c r="C167">
        <v>1</v>
      </c>
      <c r="D167">
        <v>21160.5</v>
      </c>
    </row>
    <row r="168" spans="1:4" x14ac:dyDescent="0.25">
      <c r="A168" t="s">
        <v>3468</v>
      </c>
      <c r="B168" t="s">
        <v>25</v>
      </c>
      <c r="C168">
        <v>1</v>
      </c>
      <c r="D168">
        <v>22524.5</v>
      </c>
    </row>
    <row r="169" spans="1:4" x14ac:dyDescent="0.25">
      <c r="A169" t="s">
        <v>3890</v>
      </c>
      <c r="B169" t="s">
        <v>25</v>
      </c>
      <c r="C169">
        <v>1</v>
      </c>
      <c r="D169">
        <v>19471.96</v>
      </c>
    </row>
    <row r="170" spans="1:4" x14ac:dyDescent="0.25">
      <c r="A170" t="s">
        <v>3040</v>
      </c>
      <c r="B170" t="s">
        <v>25</v>
      </c>
      <c r="C170">
        <v>1</v>
      </c>
      <c r="D170">
        <v>17280.759999999998</v>
      </c>
    </row>
    <row r="171" spans="1:4" x14ac:dyDescent="0.25">
      <c r="A171" t="s">
        <v>3470</v>
      </c>
      <c r="B171" t="s">
        <v>25</v>
      </c>
      <c r="C171">
        <v>1</v>
      </c>
      <c r="D171">
        <v>22917.55</v>
      </c>
    </row>
    <row r="172" spans="1:4" x14ac:dyDescent="0.25">
      <c r="A172" t="s">
        <v>3894</v>
      </c>
      <c r="B172" t="s">
        <v>25</v>
      </c>
      <c r="C172">
        <v>1</v>
      </c>
      <c r="D172">
        <v>27891.98</v>
      </c>
    </row>
    <row r="173" spans="1:4" x14ac:dyDescent="0.25">
      <c r="A173" t="s">
        <v>3042</v>
      </c>
      <c r="B173" t="s">
        <v>25</v>
      </c>
      <c r="C173">
        <v>1</v>
      </c>
      <c r="D173">
        <v>20884.57</v>
      </c>
    </row>
    <row r="174" spans="1:4" x14ac:dyDescent="0.25">
      <c r="A174" t="s">
        <v>3472</v>
      </c>
      <c r="B174" t="s">
        <v>25</v>
      </c>
      <c r="C174">
        <v>1</v>
      </c>
      <c r="D174">
        <v>20552.98</v>
      </c>
    </row>
    <row r="175" spans="1:4" x14ac:dyDescent="0.25">
      <c r="A175" t="s">
        <v>3896</v>
      </c>
      <c r="B175" t="s">
        <v>25</v>
      </c>
      <c r="C175">
        <v>1</v>
      </c>
      <c r="D175">
        <v>20148.13</v>
      </c>
    </row>
    <row r="176" spans="1:4" x14ac:dyDescent="0.25">
      <c r="A176" t="s">
        <v>3068</v>
      </c>
      <c r="B176" t="s">
        <v>25</v>
      </c>
      <c r="C176">
        <v>1</v>
      </c>
      <c r="D176">
        <v>24610.36</v>
      </c>
    </row>
    <row r="177" spans="1:4" x14ac:dyDescent="0.25">
      <c r="A177" t="s">
        <v>3474</v>
      </c>
      <c r="B177" t="s">
        <v>25</v>
      </c>
      <c r="C177">
        <v>1</v>
      </c>
      <c r="D177">
        <v>20963.7</v>
      </c>
    </row>
    <row r="178" spans="1:4" x14ac:dyDescent="0.25">
      <c r="A178" t="s">
        <v>3923</v>
      </c>
      <c r="B178" t="s">
        <v>25</v>
      </c>
      <c r="C178">
        <v>1</v>
      </c>
      <c r="D178">
        <v>17027.57</v>
      </c>
    </row>
    <row r="179" spans="1:4" x14ac:dyDescent="0.25">
      <c r="A179" t="s">
        <v>3046</v>
      </c>
      <c r="B179" t="s">
        <v>25</v>
      </c>
      <c r="C179">
        <v>1</v>
      </c>
      <c r="D179">
        <v>23126.11</v>
      </c>
    </row>
    <row r="180" spans="1:4" x14ac:dyDescent="0.25">
      <c r="A180" t="s">
        <v>3476</v>
      </c>
      <c r="B180" t="s">
        <v>25</v>
      </c>
      <c r="C180">
        <v>1</v>
      </c>
      <c r="D180">
        <v>20383.810000000001</v>
      </c>
    </row>
    <row r="181" spans="1:4" x14ac:dyDescent="0.25">
      <c r="A181" t="s">
        <v>3900</v>
      </c>
      <c r="B181" t="s">
        <v>25</v>
      </c>
      <c r="C181">
        <v>1</v>
      </c>
      <c r="D181">
        <v>20837.25</v>
      </c>
    </row>
    <row r="182" spans="1:4" x14ac:dyDescent="0.25">
      <c r="A182" t="s">
        <v>3048</v>
      </c>
      <c r="B182" t="s">
        <v>25</v>
      </c>
      <c r="C182">
        <v>1</v>
      </c>
      <c r="D182">
        <v>22230.26</v>
      </c>
    </row>
    <row r="183" spans="1:4" x14ac:dyDescent="0.25">
      <c r="A183" t="s">
        <v>3478</v>
      </c>
      <c r="B183" t="s">
        <v>25</v>
      </c>
      <c r="C183">
        <v>1</v>
      </c>
      <c r="D183">
        <v>23397.599999999999</v>
      </c>
    </row>
    <row r="184" spans="1:4" x14ac:dyDescent="0.25">
      <c r="A184" t="s">
        <v>3902</v>
      </c>
      <c r="B184" t="s">
        <v>25</v>
      </c>
      <c r="C184">
        <v>1</v>
      </c>
      <c r="D184">
        <v>15283.14</v>
      </c>
    </row>
    <row r="185" spans="1:4" x14ac:dyDescent="0.25">
      <c r="A185" t="s">
        <v>3050</v>
      </c>
      <c r="B185" t="s">
        <v>25</v>
      </c>
      <c r="C185">
        <v>1</v>
      </c>
      <c r="D185">
        <v>23178.33</v>
      </c>
    </row>
    <row r="186" spans="1:4" x14ac:dyDescent="0.25">
      <c r="A186" t="s">
        <v>3480</v>
      </c>
      <c r="B186" t="s">
        <v>25</v>
      </c>
      <c r="C186">
        <v>1</v>
      </c>
      <c r="D186">
        <v>27320.27</v>
      </c>
    </row>
    <row r="187" spans="1:4" x14ac:dyDescent="0.25">
      <c r="A187" t="s">
        <v>3904</v>
      </c>
      <c r="B187" t="s">
        <v>25</v>
      </c>
      <c r="C187">
        <v>1</v>
      </c>
      <c r="D187">
        <v>17924.21</v>
      </c>
    </row>
    <row r="188" spans="1:4" x14ac:dyDescent="0.25">
      <c r="A188" t="s">
        <v>3052</v>
      </c>
      <c r="B188" t="s">
        <v>25</v>
      </c>
      <c r="C188">
        <v>1</v>
      </c>
      <c r="D188">
        <v>27109.53</v>
      </c>
    </row>
    <row r="189" spans="1:4" x14ac:dyDescent="0.25">
      <c r="A189" t="s">
        <v>3482</v>
      </c>
      <c r="B189" t="s">
        <v>25</v>
      </c>
      <c r="C189">
        <v>1</v>
      </c>
      <c r="D189">
        <v>23999.39</v>
      </c>
    </row>
    <row r="190" spans="1:4" x14ac:dyDescent="0.25">
      <c r="A190" t="s">
        <v>3930</v>
      </c>
      <c r="B190" t="s">
        <v>25</v>
      </c>
      <c r="C190">
        <v>1</v>
      </c>
      <c r="D190">
        <v>15932.9</v>
      </c>
    </row>
    <row r="191" spans="1:4" x14ac:dyDescent="0.25">
      <c r="A191" t="s">
        <v>3079</v>
      </c>
      <c r="B191" t="s">
        <v>25</v>
      </c>
      <c r="C191">
        <v>1</v>
      </c>
      <c r="D191">
        <v>21810.22</v>
      </c>
    </row>
    <row r="192" spans="1:4" x14ac:dyDescent="0.25">
      <c r="A192" t="s">
        <v>3530</v>
      </c>
      <c r="B192" t="s">
        <v>25</v>
      </c>
      <c r="C192">
        <v>1</v>
      </c>
      <c r="D192">
        <v>20553.04</v>
      </c>
    </row>
    <row r="193" spans="1:4" x14ac:dyDescent="0.25">
      <c r="A193" t="s">
        <v>3932</v>
      </c>
      <c r="B193" t="s">
        <v>25</v>
      </c>
      <c r="C193">
        <v>1</v>
      </c>
      <c r="D193">
        <v>17093.669999999998</v>
      </c>
    </row>
    <row r="194" spans="1:4" x14ac:dyDescent="0.25">
      <c r="A194" t="s">
        <v>3081</v>
      </c>
      <c r="B194" t="s">
        <v>25</v>
      </c>
      <c r="C194">
        <v>1</v>
      </c>
      <c r="D194">
        <v>19175.91</v>
      </c>
    </row>
    <row r="195" spans="1:4" x14ac:dyDescent="0.25">
      <c r="A195" t="s">
        <v>3510</v>
      </c>
      <c r="B195" t="s">
        <v>25</v>
      </c>
      <c r="C195">
        <v>1</v>
      </c>
      <c r="D195">
        <v>23118.68</v>
      </c>
    </row>
    <row r="196" spans="1:4" x14ac:dyDescent="0.25">
      <c r="A196" t="s">
        <v>3934</v>
      </c>
      <c r="B196" t="s">
        <v>25</v>
      </c>
      <c r="C196">
        <v>1</v>
      </c>
      <c r="D196">
        <v>16115.46</v>
      </c>
    </row>
    <row r="197" spans="1:4" x14ac:dyDescent="0.25">
      <c r="A197" t="s">
        <v>3058</v>
      </c>
      <c r="B197" t="s">
        <v>25</v>
      </c>
      <c r="C197">
        <v>1</v>
      </c>
      <c r="D197">
        <v>25888.12</v>
      </c>
    </row>
    <row r="198" spans="1:4" x14ac:dyDescent="0.25">
      <c r="A198" t="s">
        <v>3553</v>
      </c>
      <c r="B198" t="s">
        <v>25</v>
      </c>
      <c r="C198">
        <v>1</v>
      </c>
      <c r="D198">
        <v>20791.669999999998</v>
      </c>
    </row>
    <row r="199" spans="1:4" x14ac:dyDescent="0.25">
      <c r="A199" t="s">
        <v>3912</v>
      </c>
      <c r="B199" t="s">
        <v>25</v>
      </c>
      <c r="C199">
        <v>1</v>
      </c>
      <c r="D199">
        <v>23755.119999999999</v>
      </c>
    </row>
    <row r="200" spans="1:4" x14ac:dyDescent="0.25">
      <c r="A200" t="s">
        <v>3060</v>
      </c>
      <c r="B200" t="s">
        <v>25</v>
      </c>
      <c r="C200">
        <v>1</v>
      </c>
      <c r="D200">
        <v>25123.14</v>
      </c>
    </row>
    <row r="201" spans="1:4" x14ac:dyDescent="0.25">
      <c r="A201" t="s">
        <v>3490</v>
      </c>
      <c r="B201" t="s">
        <v>25</v>
      </c>
      <c r="C201">
        <v>1</v>
      </c>
      <c r="D201">
        <v>21554.71</v>
      </c>
    </row>
    <row r="202" spans="1:4" x14ac:dyDescent="0.25">
      <c r="A202" t="s">
        <v>3914</v>
      </c>
      <c r="B202" t="s">
        <v>25</v>
      </c>
      <c r="C202">
        <v>1</v>
      </c>
      <c r="D202">
        <v>24027.03</v>
      </c>
    </row>
    <row r="203" spans="1:4" x14ac:dyDescent="0.25">
      <c r="A203" t="s">
        <v>3062</v>
      </c>
      <c r="B203" t="s">
        <v>25</v>
      </c>
      <c r="C203">
        <v>1</v>
      </c>
      <c r="D203">
        <v>19268.55</v>
      </c>
    </row>
    <row r="204" spans="1:4" x14ac:dyDescent="0.25">
      <c r="A204" t="s">
        <v>3492</v>
      </c>
      <c r="B204" t="s">
        <v>25</v>
      </c>
      <c r="C204">
        <v>1</v>
      </c>
      <c r="D204">
        <v>23724.26</v>
      </c>
    </row>
    <row r="205" spans="1:4" x14ac:dyDescent="0.25">
      <c r="A205" t="s">
        <v>3916</v>
      </c>
      <c r="B205" t="s">
        <v>25</v>
      </c>
      <c r="C205">
        <v>1</v>
      </c>
      <c r="D205">
        <v>20487.18</v>
      </c>
    </row>
    <row r="206" spans="1:4" x14ac:dyDescent="0.25">
      <c r="A206" t="s">
        <v>4953</v>
      </c>
      <c r="B206" t="s">
        <v>25</v>
      </c>
      <c r="C206">
        <v>1</v>
      </c>
      <c r="D206">
        <v>25</v>
      </c>
    </row>
    <row r="207" spans="1:4" x14ac:dyDescent="0.25">
      <c r="A207" t="s">
        <v>4957</v>
      </c>
      <c r="B207" t="s">
        <v>25</v>
      </c>
      <c r="C207">
        <v>1</v>
      </c>
      <c r="D207">
        <v>25</v>
      </c>
    </row>
    <row r="208" spans="1:4" x14ac:dyDescent="0.25">
      <c r="A208" t="s">
        <v>4960</v>
      </c>
      <c r="B208" t="s">
        <v>25</v>
      </c>
      <c r="C208">
        <v>1</v>
      </c>
      <c r="D208">
        <v>25</v>
      </c>
    </row>
    <row r="209" spans="1:4" x14ac:dyDescent="0.25">
      <c r="A209" t="s">
        <v>4963</v>
      </c>
      <c r="B209" t="s">
        <v>25</v>
      </c>
      <c r="C209">
        <v>1</v>
      </c>
      <c r="D209">
        <v>25</v>
      </c>
    </row>
    <row r="210" spans="1:4" x14ac:dyDescent="0.25">
      <c r="A210" t="s">
        <v>4966</v>
      </c>
      <c r="B210" t="s">
        <v>25</v>
      </c>
      <c r="C210">
        <v>1</v>
      </c>
      <c r="D210">
        <v>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45D1-843B-4CF5-9C41-FBB0B427EF5E}">
  <dimension ref="A1:F220"/>
  <sheetViews>
    <sheetView topLeftCell="A206" workbookViewId="0"/>
  </sheetViews>
  <sheetFormatPr defaultRowHeight="15" x14ac:dyDescent="0.25"/>
  <cols>
    <col min="1" max="1" width="38.5703125" bestFit="1" customWidth="1"/>
    <col min="2" max="2" width="11.140625" bestFit="1" customWidth="1"/>
    <col min="3" max="3" width="24.140625" bestFit="1" customWidth="1"/>
    <col min="4" max="5" width="22" bestFit="1" customWidth="1"/>
    <col min="6" max="6" width="25.140625" bestFit="1" customWidth="1"/>
  </cols>
  <sheetData>
    <row r="1" spans="1:6" x14ac:dyDescent="0.25">
      <c r="A1" t="s">
        <v>3031</v>
      </c>
      <c r="B1" t="s">
        <v>13</v>
      </c>
      <c r="C1" t="s">
        <v>4980</v>
      </c>
      <c r="D1" t="s">
        <v>4981</v>
      </c>
      <c r="E1" t="s">
        <v>4982</v>
      </c>
      <c r="F1" t="s">
        <v>4983</v>
      </c>
    </row>
    <row r="2" spans="1:6" x14ac:dyDescent="0.25">
      <c r="A2" t="s">
        <v>3035</v>
      </c>
      <c r="B2" t="s">
        <v>19</v>
      </c>
      <c r="C2">
        <v>3011.0200000000004</v>
      </c>
      <c r="D2">
        <v>89.19</v>
      </c>
      <c r="E2">
        <v>2921.83</v>
      </c>
      <c r="F2">
        <v>5</v>
      </c>
    </row>
    <row r="3" spans="1:6" x14ac:dyDescent="0.25">
      <c r="A3" t="s">
        <v>3038</v>
      </c>
      <c r="B3" t="s">
        <v>25</v>
      </c>
      <c r="C3">
        <v>21797.73</v>
      </c>
      <c r="D3">
        <v>637.2299999999999</v>
      </c>
      <c r="E3">
        <v>21160.5</v>
      </c>
      <c r="F3">
        <v>17</v>
      </c>
    </row>
    <row r="4" spans="1:6" x14ac:dyDescent="0.25">
      <c r="A4" t="s">
        <v>3040</v>
      </c>
      <c r="B4" t="s">
        <v>25</v>
      </c>
      <c r="C4">
        <v>17802.439999999999</v>
      </c>
      <c r="D4">
        <v>521.67999999999995</v>
      </c>
      <c r="E4">
        <v>17280.759999999998</v>
      </c>
      <c r="F4">
        <v>18</v>
      </c>
    </row>
    <row r="5" spans="1:6" x14ac:dyDescent="0.25">
      <c r="A5" t="s">
        <v>3042</v>
      </c>
      <c r="B5" t="s">
        <v>25</v>
      </c>
      <c r="C5">
        <v>21514.560000000001</v>
      </c>
      <c r="D5">
        <v>629.99</v>
      </c>
      <c r="E5">
        <v>20884.569999999996</v>
      </c>
      <c r="F5">
        <v>19</v>
      </c>
    </row>
    <row r="6" spans="1:6" x14ac:dyDescent="0.25">
      <c r="A6" t="s">
        <v>3044</v>
      </c>
      <c r="B6" t="s">
        <v>25</v>
      </c>
      <c r="C6">
        <v>2052.98</v>
      </c>
      <c r="D6">
        <v>59.84</v>
      </c>
      <c r="E6">
        <v>1993.14</v>
      </c>
      <c r="F6">
        <v>1</v>
      </c>
    </row>
    <row r="7" spans="1:6" x14ac:dyDescent="0.25">
      <c r="A7" t="s">
        <v>3046</v>
      </c>
      <c r="B7" t="s">
        <v>25</v>
      </c>
      <c r="C7">
        <v>26260.92</v>
      </c>
      <c r="D7">
        <v>767.57000000000016</v>
      </c>
      <c r="E7">
        <v>25493.35</v>
      </c>
      <c r="F7">
        <v>20</v>
      </c>
    </row>
    <row r="8" spans="1:6" x14ac:dyDescent="0.25">
      <c r="A8" t="s">
        <v>3048</v>
      </c>
      <c r="B8" t="s">
        <v>25</v>
      </c>
      <c r="C8">
        <v>23129.34</v>
      </c>
      <c r="D8">
        <v>677.07</v>
      </c>
      <c r="E8">
        <v>22452.27</v>
      </c>
      <c r="F8">
        <v>21</v>
      </c>
    </row>
    <row r="9" spans="1:6" x14ac:dyDescent="0.25">
      <c r="A9" t="s">
        <v>3050</v>
      </c>
      <c r="B9" t="s">
        <v>25</v>
      </c>
      <c r="C9">
        <v>23876.820000000003</v>
      </c>
      <c r="D9">
        <v>698.4899999999999</v>
      </c>
      <c r="E9">
        <v>23178.329999999998</v>
      </c>
      <c r="F9">
        <v>19</v>
      </c>
    </row>
    <row r="10" spans="1:6" x14ac:dyDescent="0.25">
      <c r="A10" t="s">
        <v>3052</v>
      </c>
      <c r="B10" t="s">
        <v>25</v>
      </c>
      <c r="C10">
        <v>30568.15</v>
      </c>
      <c r="D10">
        <v>892.76</v>
      </c>
      <c r="E10">
        <v>29675.390000000003</v>
      </c>
      <c r="F10">
        <v>21</v>
      </c>
    </row>
    <row r="11" spans="1:6" x14ac:dyDescent="0.25">
      <c r="A11" t="s">
        <v>3054</v>
      </c>
      <c r="B11" t="s">
        <v>52</v>
      </c>
      <c r="C11">
        <v>5144.13</v>
      </c>
      <c r="D11">
        <v>150.68</v>
      </c>
      <c r="E11">
        <v>4993.45</v>
      </c>
      <c r="F11">
        <v>5</v>
      </c>
    </row>
    <row r="12" spans="1:6" x14ac:dyDescent="0.25">
      <c r="A12" t="s">
        <v>3056</v>
      </c>
      <c r="B12" t="s">
        <v>19</v>
      </c>
      <c r="C12">
        <v>7635.4600000000009</v>
      </c>
      <c r="D12">
        <v>222.92999999999998</v>
      </c>
      <c r="E12">
        <v>7412.53</v>
      </c>
      <c r="F12">
        <v>5</v>
      </c>
    </row>
    <row r="13" spans="1:6" x14ac:dyDescent="0.25">
      <c r="A13" t="s">
        <v>3058</v>
      </c>
      <c r="B13" t="s">
        <v>25</v>
      </c>
      <c r="C13">
        <v>26667.920000000002</v>
      </c>
      <c r="D13">
        <v>779.80000000000007</v>
      </c>
      <c r="E13">
        <v>25888.120000000006</v>
      </c>
      <c r="F13">
        <v>19</v>
      </c>
    </row>
    <row r="14" spans="1:6" x14ac:dyDescent="0.25">
      <c r="A14" t="s">
        <v>3060</v>
      </c>
      <c r="B14" t="s">
        <v>25</v>
      </c>
      <c r="C14">
        <v>25879.63</v>
      </c>
      <c r="D14">
        <v>756.49</v>
      </c>
      <c r="E14">
        <v>25123.140000000003</v>
      </c>
      <c r="F14">
        <v>20</v>
      </c>
    </row>
    <row r="15" spans="1:6" x14ac:dyDescent="0.25">
      <c r="A15" t="s">
        <v>3062</v>
      </c>
      <c r="B15" t="s">
        <v>25</v>
      </c>
      <c r="C15">
        <v>21970.850000000002</v>
      </c>
      <c r="D15">
        <v>643.17000000000007</v>
      </c>
      <c r="E15">
        <v>21327.68</v>
      </c>
      <c r="F15">
        <v>20</v>
      </c>
    </row>
    <row r="16" spans="1:6" x14ac:dyDescent="0.25">
      <c r="A16" t="s">
        <v>3064</v>
      </c>
      <c r="B16" t="s">
        <v>25</v>
      </c>
      <c r="C16">
        <v>25152.429999999997</v>
      </c>
      <c r="D16">
        <v>735.49999999999977</v>
      </c>
      <c r="E16">
        <v>24416.929999999997</v>
      </c>
      <c r="F16">
        <v>19</v>
      </c>
    </row>
    <row r="17" spans="1:6" x14ac:dyDescent="0.25">
      <c r="A17" t="s">
        <v>3068</v>
      </c>
      <c r="B17" t="s">
        <v>25</v>
      </c>
      <c r="C17">
        <v>25351.549999999996</v>
      </c>
      <c r="D17">
        <v>741.18999999999994</v>
      </c>
      <c r="E17">
        <v>24610.359999999997</v>
      </c>
      <c r="F17">
        <v>20</v>
      </c>
    </row>
    <row r="18" spans="1:6" x14ac:dyDescent="0.25">
      <c r="A18" t="s">
        <v>3070</v>
      </c>
      <c r="B18" t="s">
        <v>52</v>
      </c>
      <c r="C18">
        <v>7750.4</v>
      </c>
      <c r="D18">
        <v>226.25</v>
      </c>
      <c r="E18">
        <v>7524.15</v>
      </c>
      <c r="F18">
        <v>5</v>
      </c>
    </row>
    <row r="19" spans="1:6" x14ac:dyDescent="0.25">
      <c r="A19" t="s">
        <v>3072</v>
      </c>
      <c r="B19" t="s">
        <v>19</v>
      </c>
      <c r="C19">
        <v>7226.05</v>
      </c>
      <c r="D19">
        <v>211.35</v>
      </c>
      <c r="E19">
        <v>7014.7</v>
      </c>
      <c r="F19">
        <v>6</v>
      </c>
    </row>
    <row r="20" spans="1:6" x14ac:dyDescent="0.25">
      <c r="A20" t="s">
        <v>3077</v>
      </c>
      <c r="B20" t="s">
        <v>25</v>
      </c>
      <c r="C20">
        <v>-718.58</v>
      </c>
      <c r="D20">
        <v>0</v>
      </c>
      <c r="E20">
        <v>-718.58</v>
      </c>
      <c r="F20">
        <v>1</v>
      </c>
    </row>
    <row r="21" spans="1:6" x14ac:dyDescent="0.25">
      <c r="A21" t="s">
        <v>3079</v>
      </c>
      <c r="B21" t="s">
        <v>25</v>
      </c>
      <c r="C21">
        <v>24271.800000000003</v>
      </c>
      <c r="D21">
        <v>709.58</v>
      </c>
      <c r="E21">
        <v>23562.219999999998</v>
      </c>
      <c r="F21">
        <v>19</v>
      </c>
    </row>
    <row r="22" spans="1:6" x14ac:dyDescent="0.25">
      <c r="A22" t="s">
        <v>3081</v>
      </c>
      <c r="B22" t="s">
        <v>25</v>
      </c>
      <c r="C22">
        <v>20090.330000000005</v>
      </c>
      <c r="D22">
        <v>588.61999999999989</v>
      </c>
      <c r="E22">
        <v>19501.71</v>
      </c>
      <c r="F22">
        <v>20</v>
      </c>
    </row>
    <row r="23" spans="1:6" x14ac:dyDescent="0.25">
      <c r="A23" t="s">
        <v>3086</v>
      </c>
      <c r="B23" t="s">
        <v>25</v>
      </c>
      <c r="C23">
        <v>-607.80999999999995</v>
      </c>
      <c r="D23">
        <v>0</v>
      </c>
      <c r="E23">
        <v>-607.80999999999995</v>
      </c>
      <c r="F23">
        <v>1</v>
      </c>
    </row>
    <row r="24" spans="1:6" x14ac:dyDescent="0.25">
      <c r="A24" t="s">
        <v>3089</v>
      </c>
      <c r="B24" t="s">
        <v>52</v>
      </c>
      <c r="C24">
        <v>1815.34</v>
      </c>
      <c r="D24">
        <v>52.94</v>
      </c>
      <c r="E24">
        <v>1762.4</v>
      </c>
      <c r="F24">
        <v>1</v>
      </c>
    </row>
    <row r="25" spans="1:6" x14ac:dyDescent="0.25">
      <c r="A25" t="s">
        <v>3091</v>
      </c>
      <c r="B25" t="s">
        <v>25</v>
      </c>
      <c r="C25">
        <v>571.97</v>
      </c>
      <c r="D25">
        <v>16.89</v>
      </c>
      <c r="E25">
        <v>555.08000000000004</v>
      </c>
      <c r="F25">
        <v>1</v>
      </c>
    </row>
    <row r="26" spans="1:6" x14ac:dyDescent="0.25">
      <c r="A26" t="s">
        <v>3096</v>
      </c>
      <c r="B26" t="s">
        <v>25</v>
      </c>
      <c r="C26">
        <v>440.56</v>
      </c>
      <c r="D26">
        <v>13.08</v>
      </c>
      <c r="E26">
        <v>427.48</v>
      </c>
      <c r="F26">
        <v>1</v>
      </c>
    </row>
    <row r="27" spans="1:6" x14ac:dyDescent="0.25">
      <c r="A27" t="s">
        <v>3102</v>
      </c>
      <c r="B27" t="s">
        <v>52</v>
      </c>
      <c r="C27">
        <v>4807.29</v>
      </c>
      <c r="D27">
        <v>140.62</v>
      </c>
      <c r="E27">
        <v>4666.67</v>
      </c>
      <c r="F27">
        <v>4</v>
      </c>
    </row>
    <row r="28" spans="1:6" x14ac:dyDescent="0.25">
      <c r="A28" t="s">
        <v>3104</v>
      </c>
      <c r="B28" t="s">
        <v>25</v>
      </c>
      <c r="C28">
        <v>2333.15</v>
      </c>
      <c r="D28">
        <v>67.959999999999994</v>
      </c>
      <c r="E28">
        <v>2265.19</v>
      </c>
      <c r="F28">
        <v>1</v>
      </c>
    </row>
    <row r="29" spans="1:6" x14ac:dyDescent="0.25">
      <c r="A29" t="s">
        <v>3110</v>
      </c>
      <c r="B29" t="s">
        <v>52</v>
      </c>
      <c r="C29">
        <v>1365.15</v>
      </c>
      <c r="D29">
        <v>39.89</v>
      </c>
      <c r="E29">
        <v>1325.26</v>
      </c>
      <c r="F29">
        <v>1</v>
      </c>
    </row>
    <row r="30" spans="1:6" x14ac:dyDescent="0.25">
      <c r="A30" t="s">
        <v>3115</v>
      </c>
      <c r="B30" t="s">
        <v>52</v>
      </c>
      <c r="C30">
        <v>4859.8899999999994</v>
      </c>
      <c r="D30">
        <v>142.44</v>
      </c>
      <c r="E30">
        <v>4717.45</v>
      </c>
      <c r="F30">
        <v>5</v>
      </c>
    </row>
    <row r="31" spans="1:6" x14ac:dyDescent="0.25">
      <c r="A31" t="s">
        <v>3117</v>
      </c>
      <c r="B31" t="s">
        <v>19</v>
      </c>
      <c r="C31">
        <v>5252.24</v>
      </c>
      <c r="D31">
        <v>153.51999999999998</v>
      </c>
      <c r="E31">
        <v>5098.7199999999993</v>
      </c>
      <c r="F31">
        <v>4</v>
      </c>
    </row>
    <row r="32" spans="1:6" x14ac:dyDescent="0.25">
      <c r="A32" t="s">
        <v>3124</v>
      </c>
      <c r="B32" t="s">
        <v>25</v>
      </c>
      <c r="C32">
        <v>277.33</v>
      </c>
      <c r="D32">
        <v>8.34</v>
      </c>
      <c r="E32">
        <v>268.99</v>
      </c>
      <c r="F32">
        <v>1</v>
      </c>
    </row>
    <row r="33" spans="1:6" x14ac:dyDescent="0.25">
      <c r="A33" t="s">
        <v>3128</v>
      </c>
      <c r="B33" t="s">
        <v>52</v>
      </c>
      <c r="C33">
        <v>4204.26</v>
      </c>
      <c r="D33">
        <v>123.11000000000001</v>
      </c>
      <c r="E33">
        <v>4081.1500000000005</v>
      </c>
      <c r="F33">
        <v>4</v>
      </c>
    </row>
    <row r="34" spans="1:6" x14ac:dyDescent="0.25">
      <c r="A34" t="s">
        <v>3130</v>
      </c>
      <c r="B34" t="s">
        <v>19</v>
      </c>
      <c r="C34">
        <v>3641.9300000000003</v>
      </c>
      <c r="D34">
        <v>106.82</v>
      </c>
      <c r="E34">
        <v>3535.11</v>
      </c>
      <c r="F34">
        <v>4</v>
      </c>
    </row>
    <row r="35" spans="1:6" x14ac:dyDescent="0.25">
      <c r="A35" t="s">
        <v>3140</v>
      </c>
      <c r="B35" t="s">
        <v>52</v>
      </c>
      <c r="C35">
        <v>5683.1</v>
      </c>
      <c r="D35">
        <v>166.01999999999998</v>
      </c>
      <c r="E35">
        <v>5517.08</v>
      </c>
      <c r="F35">
        <v>4</v>
      </c>
    </row>
    <row r="36" spans="1:6" x14ac:dyDescent="0.25">
      <c r="A36" t="s">
        <v>3143</v>
      </c>
      <c r="B36" t="s">
        <v>52</v>
      </c>
      <c r="C36">
        <v>625.41999999999996</v>
      </c>
      <c r="D36">
        <v>18.440000000000001</v>
      </c>
      <c r="E36">
        <v>606.98</v>
      </c>
      <c r="F36">
        <v>1</v>
      </c>
    </row>
    <row r="37" spans="1:6" x14ac:dyDescent="0.25">
      <c r="A37" t="s">
        <v>3164</v>
      </c>
      <c r="B37" t="s">
        <v>25</v>
      </c>
      <c r="C37">
        <v>219.41</v>
      </c>
      <c r="D37">
        <v>6.66</v>
      </c>
      <c r="E37">
        <v>212.75</v>
      </c>
      <c r="F37">
        <v>1</v>
      </c>
    </row>
    <row r="38" spans="1:6" x14ac:dyDescent="0.25">
      <c r="A38" t="s">
        <v>3169</v>
      </c>
      <c r="B38" t="s">
        <v>25</v>
      </c>
      <c r="C38">
        <v>141.66999999999999</v>
      </c>
      <c r="D38">
        <v>4.41</v>
      </c>
      <c r="E38">
        <v>137.26</v>
      </c>
      <c r="F38">
        <v>1</v>
      </c>
    </row>
    <row r="39" spans="1:6" x14ac:dyDescent="0.25">
      <c r="A39" t="s">
        <v>3172</v>
      </c>
      <c r="B39" t="s">
        <v>52</v>
      </c>
      <c r="C39">
        <v>5442.58</v>
      </c>
      <c r="D39">
        <v>159.04000000000002</v>
      </c>
      <c r="E39">
        <v>5283.5400000000009</v>
      </c>
      <c r="F39">
        <v>4</v>
      </c>
    </row>
    <row r="40" spans="1:6" x14ac:dyDescent="0.25">
      <c r="A40" t="s">
        <v>3174</v>
      </c>
      <c r="B40" t="s">
        <v>19</v>
      </c>
      <c r="C40">
        <v>4840.08</v>
      </c>
      <c r="D40">
        <v>141.56</v>
      </c>
      <c r="E40">
        <v>4698.5200000000004</v>
      </c>
      <c r="F40">
        <v>4</v>
      </c>
    </row>
    <row r="41" spans="1:6" x14ac:dyDescent="0.25">
      <c r="A41" t="s">
        <v>3184</v>
      </c>
      <c r="B41" t="s">
        <v>52</v>
      </c>
      <c r="C41">
        <v>790.35</v>
      </c>
      <c r="D41">
        <v>23.22</v>
      </c>
      <c r="E41">
        <v>767.13</v>
      </c>
      <c r="F41">
        <v>1</v>
      </c>
    </row>
    <row r="42" spans="1:6" x14ac:dyDescent="0.25">
      <c r="A42" t="s">
        <v>3186</v>
      </c>
      <c r="B42" t="s">
        <v>19</v>
      </c>
      <c r="C42">
        <v>4335.75</v>
      </c>
      <c r="D42">
        <v>126.93</v>
      </c>
      <c r="E42">
        <v>4208.8200000000006</v>
      </c>
      <c r="F42">
        <v>4</v>
      </c>
    </row>
    <row r="43" spans="1:6" x14ac:dyDescent="0.25">
      <c r="A43" t="s">
        <v>3197</v>
      </c>
      <c r="B43" t="s">
        <v>52</v>
      </c>
      <c r="C43">
        <v>-774.42</v>
      </c>
      <c r="D43">
        <v>0</v>
      </c>
      <c r="E43">
        <v>-774.42</v>
      </c>
      <c r="F43">
        <v>1</v>
      </c>
    </row>
    <row r="44" spans="1:6" x14ac:dyDescent="0.25">
      <c r="A44" t="s">
        <v>3214</v>
      </c>
      <c r="B44" t="s">
        <v>25</v>
      </c>
      <c r="C44">
        <v>-631.87</v>
      </c>
      <c r="D44">
        <v>0</v>
      </c>
      <c r="E44">
        <v>-631.87</v>
      </c>
      <c r="F44">
        <v>1</v>
      </c>
    </row>
    <row r="45" spans="1:6" x14ac:dyDescent="0.25">
      <c r="A45" t="s">
        <v>3227</v>
      </c>
      <c r="B45" t="s">
        <v>25</v>
      </c>
      <c r="C45">
        <v>-1472.02</v>
      </c>
      <c r="D45">
        <v>0</v>
      </c>
      <c r="E45">
        <v>-1472.02</v>
      </c>
      <c r="F45">
        <v>1</v>
      </c>
    </row>
    <row r="46" spans="1:6" x14ac:dyDescent="0.25">
      <c r="A46" t="s">
        <v>3253</v>
      </c>
      <c r="B46" t="s">
        <v>52</v>
      </c>
      <c r="C46">
        <v>-293.02</v>
      </c>
      <c r="D46">
        <v>0</v>
      </c>
      <c r="E46">
        <v>-293.02</v>
      </c>
      <c r="F46">
        <v>1</v>
      </c>
    </row>
    <row r="47" spans="1:6" x14ac:dyDescent="0.25">
      <c r="A47" t="s">
        <v>3267</v>
      </c>
      <c r="B47" t="s">
        <v>25</v>
      </c>
      <c r="C47">
        <v>1360.99</v>
      </c>
      <c r="D47">
        <v>39.770000000000003</v>
      </c>
      <c r="E47">
        <v>1321.22</v>
      </c>
      <c r="F47">
        <v>1</v>
      </c>
    </row>
    <row r="48" spans="1:6" x14ac:dyDescent="0.25">
      <c r="A48" t="s">
        <v>3271</v>
      </c>
      <c r="B48" t="s">
        <v>25</v>
      </c>
      <c r="C48">
        <v>-518.08000000000004</v>
      </c>
      <c r="D48">
        <v>0</v>
      </c>
      <c r="E48">
        <v>-518.08000000000004</v>
      </c>
      <c r="F48">
        <v>1</v>
      </c>
    </row>
    <row r="49" spans="1:6" x14ac:dyDescent="0.25">
      <c r="A49" t="s">
        <v>3278</v>
      </c>
      <c r="B49" t="s">
        <v>52</v>
      </c>
      <c r="C49">
        <v>-439.33</v>
      </c>
      <c r="D49">
        <v>0</v>
      </c>
      <c r="E49">
        <v>-439.33</v>
      </c>
      <c r="F49">
        <v>1</v>
      </c>
    </row>
    <row r="50" spans="1:6" x14ac:dyDescent="0.25">
      <c r="A50" t="s">
        <v>3282</v>
      </c>
      <c r="B50" t="s">
        <v>25</v>
      </c>
      <c r="C50">
        <v>534.15</v>
      </c>
      <c r="D50">
        <v>15.79</v>
      </c>
      <c r="E50">
        <v>518.36</v>
      </c>
      <c r="F50">
        <v>1</v>
      </c>
    </row>
    <row r="51" spans="1:6" x14ac:dyDescent="0.25">
      <c r="A51" t="s">
        <v>3290</v>
      </c>
      <c r="B51" t="s">
        <v>52</v>
      </c>
      <c r="C51">
        <v>2394.61</v>
      </c>
      <c r="D51">
        <v>69.739999999999995</v>
      </c>
      <c r="E51">
        <v>2324.87</v>
      </c>
      <c r="F51">
        <v>1</v>
      </c>
    </row>
    <row r="52" spans="1:6" x14ac:dyDescent="0.25">
      <c r="A52" t="s">
        <v>3293</v>
      </c>
      <c r="B52" t="s">
        <v>25</v>
      </c>
      <c r="C52">
        <v>842.57</v>
      </c>
      <c r="D52">
        <v>24.73</v>
      </c>
      <c r="E52">
        <v>817.84</v>
      </c>
      <c r="F52">
        <v>1</v>
      </c>
    </row>
    <row r="53" spans="1:6" x14ac:dyDescent="0.25">
      <c r="A53" t="s">
        <v>3298</v>
      </c>
      <c r="B53" t="s">
        <v>25</v>
      </c>
      <c r="C53">
        <v>-16.93</v>
      </c>
      <c r="D53">
        <v>0</v>
      </c>
      <c r="E53">
        <v>-16.93</v>
      </c>
      <c r="F53">
        <v>1</v>
      </c>
    </row>
    <row r="54" spans="1:6" x14ac:dyDescent="0.25">
      <c r="A54" t="s">
        <v>3308</v>
      </c>
      <c r="B54" t="s">
        <v>25</v>
      </c>
      <c r="C54">
        <v>-1351.31</v>
      </c>
      <c r="D54">
        <v>0</v>
      </c>
      <c r="E54">
        <v>-1351.31</v>
      </c>
      <c r="F54">
        <v>1</v>
      </c>
    </row>
    <row r="55" spans="1:6" x14ac:dyDescent="0.25">
      <c r="A55" t="s">
        <v>3321</v>
      </c>
      <c r="B55" t="s">
        <v>25</v>
      </c>
      <c r="C55">
        <v>-127.66</v>
      </c>
      <c r="D55">
        <v>0</v>
      </c>
      <c r="E55">
        <v>-127.66</v>
      </c>
      <c r="F55">
        <v>1</v>
      </c>
    </row>
    <row r="56" spans="1:6" x14ac:dyDescent="0.25">
      <c r="A56" t="s">
        <v>3328</v>
      </c>
      <c r="B56" t="s">
        <v>52</v>
      </c>
      <c r="C56">
        <v>-714.93</v>
      </c>
      <c r="D56">
        <v>0</v>
      </c>
      <c r="E56">
        <v>-714.93</v>
      </c>
      <c r="F56">
        <v>1</v>
      </c>
    </row>
    <row r="57" spans="1:6" x14ac:dyDescent="0.25">
      <c r="A57" t="s">
        <v>3361</v>
      </c>
      <c r="B57" t="s">
        <v>19</v>
      </c>
      <c r="C57">
        <v>-1149.1600000000001</v>
      </c>
      <c r="D57">
        <v>0</v>
      </c>
      <c r="E57">
        <v>-1149.1600000000001</v>
      </c>
      <c r="F57">
        <v>1</v>
      </c>
    </row>
    <row r="58" spans="1:6" x14ac:dyDescent="0.25">
      <c r="A58" t="s">
        <v>3366</v>
      </c>
      <c r="B58" t="s">
        <v>25</v>
      </c>
      <c r="C58">
        <v>-474.78</v>
      </c>
      <c r="D58">
        <v>0</v>
      </c>
      <c r="E58">
        <v>-474.78</v>
      </c>
      <c r="F58">
        <v>1</v>
      </c>
    </row>
    <row r="59" spans="1:6" x14ac:dyDescent="0.25">
      <c r="A59" t="s">
        <v>3369</v>
      </c>
      <c r="B59" t="s">
        <v>25</v>
      </c>
      <c r="C59">
        <v>1916.51</v>
      </c>
      <c r="D59">
        <v>55.88</v>
      </c>
      <c r="E59">
        <v>1860.63</v>
      </c>
      <c r="F59">
        <v>1</v>
      </c>
    </row>
    <row r="60" spans="1:6" x14ac:dyDescent="0.25">
      <c r="A60" t="s">
        <v>3385</v>
      </c>
      <c r="B60" t="s">
        <v>52</v>
      </c>
      <c r="C60">
        <v>959.99</v>
      </c>
      <c r="D60">
        <v>28.14</v>
      </c>
      <c r="E60">
        <v>931.85</v>
      </c>
      <c r="F60">
        <v>1</v>
      </c>
    </row>
    <row r="61" spans="1:6" x14ac:dyDescent="0.25">
      <c r="A61" t="s">
        <v>3388</v>
      </c>
      <c r="B61" t="s">
        <v>25</v>
      </c>
      <c r="C61">
        <v>1372.7</v>
      </c>
      <c r="D61">
        <v>40.11</v>
      </c>
      <c r="E61">
        <v>1332.59</v>
      </c>
      <c r="F61">
        <v>1</v>
      </c>
    </row>
    <row r="62" spans="1:6" x14ac:dyDescent="0.25">
      <c r="A62" t="s">
        <v>3404</v>
      </c>
      <c r="B62" t="s">
        <v>25</v>
      </c>
      <c r="C62">
        <v>-2282.7800000000002</v>
      </c>
      <c r="D62">
        <v>0</v>
      </c>
      <c r="E62">
        <v>-2282.7800000000002</v>
      </c>
      <c r="F62">
        <v>1</v>
      </c>
    </row>
    <row r="63" spans="1:6" x14ac:dyDescent="0.25">
      <c r="A63" t="s">
        <v>3414</v>
      </c>
      <c r="B63" t="s">
        <v>25</v>
      </c>
      <c r="C63">
        <v>7.53</v>
      </c>
      <c r="D63">
        <v>0.52</v>
      </c>
      <c r="E63">
        <v>7.01</v>
      </c>
      <c r="F63">
        <v>1</v>
      </c>
    </row>
    <row r="64" spans="1:6" x14ac:dyDescent="0.25">
      <c r="A64" t="s">
        <v>3427</v>
      </c>
      <c r="B64" t="s">
        <v>25</v>
      </c>
      <c r="C64">
        <v>546.1</v>
      </c>
      <c r="D64">
        <v>16.14</v>
      </c>
      <c r="E64">
        <v>529.96</v>
      </c>
      <c r="F64">
        <v>1</v>
      </c>
    </row>
    <row r="65" spans="1:6" x14ac:dyDescent="0.25">
      <c r="A65" t="s">
        <v>3443</v>
      </c>
      <c r="B65" t="s">
        <v>19</v>
      </c>
      <c r="C65">
        <v>2439.62</v>
      </c>
      <c r="D65">
        <v>71.05</v>
      </c>
      <c r="E65">
        <v>2368.5700000000002</v>
      </c>
      <c r="F65">
        <v>1</v>
      </c>
    </row>
    <row r="66" spans="1:6" x14ac:dyDescent="0.25">
      <c r="A66" t="s">
        <v>3453</v>
      </c>
      <c r="B66" t="s">
        <v>19</v>
      </c>
      <c r="C66">
        <v>100.91</v>
      </c>
      <c r="D66">
        <v>3.23</v>
      </c>
      <c r="E66">
        <v>97.68</v>
      </c>
      <c r="F66">
        <v>1</v>
      </c>
    </row>
    <row r="67" spans="1:6" x14ac:dyDescent="0.25">
      <c r="A67" t="s">
        <v>3464</v>
      </c>
      <c r="B67" t="s">
        <v>52</v>
      </c>
      <c r="C67">
        <v>-2107.5100000000002</v>
      </c>
      <c r="D67">
        <v>0</v>
      </c>
      <c r="E67">
        <v>-2107.5100000000002</v>
      </c>
      <c r="F67">
        <v>1</v>
      </c>
    </row>
    <row r="68" spans="1:6" x14ac:dyDescent="0.25">
      <c r="A68" t="s">
        <v>3466</v>
      </c>
      <c r="B68" t="s">
        <v>19</v>
      </c>
      <c r="C68">
        <v>6198.65</v>
      </c>
      <c r="D68">
        <v>180.96</v>
      </c>
      <c r="E68">
        <v>6017.69</v>
      </c>
      <c r="F68">
        <v>4</v>
      </c>
    </row>
    <row r="69" spans="1:6" x14ac:dyDescent="0.25">
      <c r="A69" t="s">
        <v>3468</v>
      </c>
      <c r="B69" t="s">
        <v>25</v>
      </c>
      <c r="C69">
        <v>23203.410000000007</v>
      </c>
      <c r="D69">
        <v>678.91000000000008</v>
      </c>
      <c r="E69">
        <v>22524.5</v>
      </c>
      <c r="F69">
        <v>20</v>
      </c>
    </row>
    <row r="70" spans="1:6" x14ac:dyDescent="0.25">
      <c r="A70" t="s">
        <v>3470</v>
      </c>
      <c r="B70" t="s">
        <v>25</v>
      </c>
      <c r="C70">
        <v>25030.41</v>
      </c>
      <c r="D70">
        <v>731.94</v>
      </c>
      <c r="E70">
        <v>24298.469999999998</v>
      </c>
      <c r="F70">
        <v>19</v>
      </c>
    </row>
    <row r="71" spans="1:6" x14ac:dyDescent="0.25">
      <c r="A71" t="s">
        <v>3472</v>
      </c>
      <c r="B71" t="s">
        <v>25</v>
      </c>
      <c r="C71">
        <v>21172.370000000006</v>
      </c>
      <c r="D71">
        <v>619.38999999999987</v>
      </c>
      <c r="E71">
        <v>20552.98</v>
      </c>
      <c r="F71">
        <v>18</v>
      </c>
    </row>
    <row r="72" spans="1:6" x14ac:dyDescent="0.25">
      <c r="A72" t="s">
        <v>3474</v>
      </c>
      <c r="B72" t="s">
        <v>25</v>
      </c>
      <c r="C72">
        <v>22606.210000000006</v>
      </c>
      <c r="D72">
        <v>661.58</v>
      </c>
      <c r="E72">
        <v>21944.63</v>
      </c>
      <c r="F72">
        <v>20</v>
      </c>
    </row>
    <row r="73" spans="1:6" x14ac:dyDescent="0.25">
      <c r="A73" t="s">
        <v>3476</v>
      </c>
      <c r="B73" t="s">
        <v>25</v>
      </c>
      <c r="C73">
        <v>20997.86</v>
      </c>
      <c r="D73">
        <v>614.05000000000007</v>
      </c>
      <c r="E73">
        <v>20383.809999999998</v>
      </c>
      <c r="F73">
        <v>17</v>
      </c>
    </row>
    <row r="74" spans="1:6" x14ac:dyDescent="0.25">
      <c r="A74" t="s">
        <v>3478</v>
      </c>
      <c r="B74" t="s">
        <v>25</v>
      </c>
      <c r="C74">
        <v>28421.059999999994</v>
      </c>
      <c r="D74">
        <v>830.22000000000014</v>
      </c>
      <c r="E74">
        <v>27590.839999999993</v>
      </c>
      <c r="F74">
        <v>20</v>
      </c>
    </row>
    <row r="75" spans="1:6" x14ac:dyDescent="0.25">
      <c r="A75" t="s">
        <v>3480</v>
      </c>
      <c r="B75" t="s">
        <v>25</v>
      </c>
      <c r="C75">
        <v>28143.09</v>
      </c>
      <c r="D75">
        <v>822.81999999999994</v>
      </c>
      <c r="E75">
        <v>27320.270000000004</v>
      </c>
      <c r="F75">
        <v>21</v>
      </c>
    </row>
    <row r="76" spans="1:6" x14ac:dyDescent="0.25">
      <c r="A76" t="s">
        <v>3482</v>
      </c>
      <c r="B76" t="s">
        <v>25</v>
      </c>
      <c r="C76">
        <v>24721.089999999997</v>
      </c>
      <c r="D76">
        <v>721.7</v>
      </c>
      <c r="E76">
        <v>23999.390000000007</v>
      </c>
      <c r="F76">
        <v>16</v>
      </c>
    </row>
    <row r="77" spans="1:6" x14ac:dyDescent="0.25">
      <c r="A77" t="s">
        <v>3484</v>
      </c>
      <c r="B77" t="s">
        <v>52</v>
      </c>
      <c r="C77">
        <v>11002.08</v>
      </c>
      <c r="D77">
        <v>320.86</v>
      </c>
      <c r="E77">
        <v>10681.220000000001</v>
      </c>
      <c r="F77">
        <v>6</v>
      </c>
    </row>
    <row r="78" spans="1:6" x14ac:dyDescent="0.25">
      <c r="A78" t="s">
        <v>3486</v>
      </c>
      <c r="B78" t="s">
        <v>19</v>
      </c>
      <c r="C78">
        <v>7245.85</v>
      </c>
      <c r="D78">
        <v>211.62</v>
      </c>
      <c r="E78">
        <v>7034.2300000000005</v>
      </c>
      <c r="F78">
        <v>5</v>
      </c>
    </row>
    <row r="79" spans="1:6" x14ac:dyDescent="0.25">
      <c r="A79" t="s">
        <v>3488</v>
      </c>
      <c r="B79" t="s">
        <v>25</v>
      </c>
      <c r="C79">
        <v>1046.23</v>
      </c>
      <c r="D79">
        <v>30.64</v>
      </c>
      <c r="E79">
        <v>1015.59</v>
      </c>
      <c r="F79">
        <v>1</v>
      </c>
    </row>
    <row r="80" spans="1:6" x14ac:dyDescent="0.25">
      <c r="A80" t="s">
        <v>3490</v>
      </c>
      <c r="B80" t="s">
        <v>25</v>
      </c>
      <c r="C80">
        <v>23432.94</v>
      </c>
      <c r="D80">
        <v>685.99999999999989</v>
      </c>
      <c r="E80">
        <v>22746.940000000002</v>
      </c>
      <c r="F80">
        <v>19</v>
      </c>
    </row>
    <row r="81" spans="1:6" x14ac:dyDescent="0.25">
      <c r="A81" t="s">
        <v>3492</v>
      </c>
      <c r="B81" t="s">
        <v>25</v>
      </c>
      <c r="C81">
        <v>24438.680000000004</v>
      </c>
      <c r="D81">
        <v>714.42000000000007</v>
      </c>
      <c r="E81">
        <v>23724.260000000002</v>
      </c>
      <c r="F81">
        <v>19</v>
      </c>
    </row>
    <row r="82" spans="1:6" x14ac:dyDescent="0.25">
      <c r="A82" t="s">
        <v>3494</v>
      </c>
      <c r="B82" t="s">
        <v>25</v>
      </c>
      <c r="C82">
        <v>17762.770000000004</v>
      </c>
      <c r="D82">
        <v>520.22000000000014</v>
      </c>
      <c r="E82">
        <v>17242.55</v>
      </c>
      <c r="F82">
        <v>17</v>
      </c>
    </row>
    <row r="83" spans="1:6" x14ac:dyDescent="0.25">
      <c r="A83" t="s">
        <v>3498</v>
      </c>
      <c r="B83" t="s">
        <v>25</v>
      </c>
      <c r="C83">
        <v>-639.99</v>
      </c>
      <c r="D83">
        <v>0</v>
      </c>
      <c r="E83">
        <v>-639.99</v>
      </c>
      <c r="F83">
        <v>1</v>
      </c>
    </row>
    <row r="84" spans="1:6" x14ac:dyDescent="0.25">
      <c r="A84" t="s">
        <v>3502</v>
      </c>
      <c r="B84" t="s">
        <v>52</v>
      </c>
      <c r="C84">
        <v>3465.82</v>
      </c>
      <c r="D84">
        <v>102.01</v>
      </c>
      <c r="E84">
        <v>3363.81</v>
      </c>
      <c r="F84">
        <v>5</v>
      </c>
    </row>
    <row r="85" spans="1:6" x14ac:dyDescent="0.25">
      <c r="A85" t="s">
        <v>3504</v>
      </c>
      <c r="B85" t="s">
        <v>19</v>
      </c>
      <c r="C85">
        <v>4002.77</v>
      </c>
      <c r="D85">
        <v>117.28</v>
      </c>
      <c r="E85">
        <v>3885.4900000000002</v>
      </c>
      <c r="F85">
        <v>4</v>
      </c>
    </row>
    <row r="86" spans="1:6" x14ac:dyDescent="0.25">
      <c r="A86" t="s">
        <v>3508</v>
      </c>
      <c r="B86" t="s">
        <v>25</v>
      </c>
      <c r="C86">
        <v>1852.64</v>
      </c>
      <c r="D86">
        <v>54.03</v>
      </c>
      <c r="E86">
        <v>1798.61</v>
      </c>
      <c r="F86">
        <v>1</v>
      </c>
    </row>
    <row r="87" spans="1:6" x14ac:dyDescent="0.25">
      <c r="A87" t="s">
        <v>3510</v>
      </c>
      <c r="B87" t="s">
        <v>25</v>
      </c>
      <c r="C87">
        <v>23816.07</v>
      </c>
      <c r="D87">
        <v>697.39</v>
      </c>
      <c r="E87">
        <v>23118.68</v>
      </c>
      <c r="F87">
        <v>20</v>
      </c>
    </row>
    <row r="88" spans="1:6" x14ac:dyDescent="0.25">
      <c r="A88" t="s">
        <v>3512</v>
      </c>
      <c r="B88" t="s">
        <v>25</v>
      </c>
      <c r="C88">
        <v>1197.72</v>
      </c>
      <c r="D88">
        <v>35.03</v>
      </c>
      <c r="E88">
        <v>1162.69</v>
      </c>
      <c r="F88">
        <v>1</v>
      </c>
    </row>
    <row r="89" spans="1:6" x14ac:dyDescent="0.25">
      <c r="A89" t="s">
        <v>3515</v>
      </c>
      <c r="B89" t="s">
        <v>52</v>
      </c>
      <c r="C89">
        <v>2300.46</v>
      </c>
      <c r="D89">
        <v>67.010000000000005</v>
      </c>
      <c r="E89">
        <v>2233.4499999999998</v>
      </c>
      <c r="F89">
        <v>1</v>
      </c>
    </row>
    <row r="90" spans="1:6" x14ac:dyDescent="0.25">
      <c r="A90" t="s">
        <v>3518</v>
      </c>
      <c r="B90" t="s">
        <v>52</v>
      </c>
      <c r="C90">
        <v>3934.96</v>
      </c>
      <c r="D90">
        <v>115.99</v>
      </c>
      <c r="E90">
        <v>3818.97</v>
      </c>
      <c r="F90">
        <v>5</v>
      </c>
    </row>
    <row r="91" spans="1:6" x14ac:dyDescent="0.25">
      <c r="A91" t="s">
        <v>3520</v>
      </c>
      <c r="B91" t="s">
        <v>19</v>
      </c>
      <c r="C91">
        <v>6894.7599999999993</v>
      </c>
      <c r="D91">
        <v>201.81</v>
      </c>
      <c r="E91">
        <v>6692.95</v>
      </c>
      <c r="F91">
        <v>5</v>
      </c>
    </row>
    <row r="92" spans="1:6" x14ac:dyDescent="0.25">
      <c r="A92" t="s">
        <v>3523</v>
      </c>
      <c r="B92" t="s">
        <v>25</v>
      </c>
      <c r="C92">
        <v>-847.58</v>
      </c>
      <c r="D92">
        <v>0</v>
      </c>
      <c r="E92">
        <v>-847.58</v>
      </c>
      <c r="F92">
        <v>1</v>
      </c>
    </row>
    <row r="93" spans="1:6" x14ac:dyDescent="0.25">
      <c r="A93" t="s">
        <v>3530</v>
      </c>
      <c r="B93" t="s">
        <v>25</v>
      </c>
      <c r="C93">
        <v>21172.52</v>
      </c>
      <c r="D93">
        <v>619.48</v>
      </c>
      <c r="E93">
        <v>20553.04</v>
      </c>
      <c r="F93">
        <v>17</v>
      </c>
    </row>
    <row r="94" spans="1:6" x14ac:dyDescent="0.25">
      <c r="A94" t="s">
        <v>3533</v>
      </c>
      <c r="B94" t="s">
        <v>52</v>
      </c>
      <c r="C94">
        <v>5977.9699999999993</v>
      </c>
      <c r="D94">
        <v>174.86</v>
      </c>
      <c r="E94">
        <v>5803.1100000000006</v>
      </c>
      <c r="F94">
        <v>5</v>
      </c>
    </row>
    <row r="95" spans="1:6" x14ac:dyDescent="0.25">
      <c r="A95" t="s">
        <v>3535</v>
      </c>
      <c r="B95" t="s">
        <v>19</v>
      </c>
      <c r="C95">
        <v>4573.05</v>
      </c>
      <c r="D95">
        <v>134.5</v>
      </c>
      <c r="E95">
        <v>4438.55</v>
      </c>
      <c r="F95">
        <v>5</v>
      </c>
    </row>
    <row r="96" spans="1:6" x14ac:dyDescent="0.25">
      <c r="A96" t="s">
        <v>3545</v>
      </c>
      <c r="B96" t="s">
        <v>52</v>
      </c>
      <c r="C96">
        <v>6159.78</v>
      </c>
      <c r="D96">
        <v>180.13</v>
      </c>
      <c r="E96">
        <v>5979.65</v>
      </c>
      <c r="F96">
        <v>5</v>
      </c>
    </row>
    <row r="97" spans="1:6" x14ac:dyDescent="0.25">
      <c r="A97" t="s">
        <v>3547</v>
      </c>
      <c r="B97" t="s">
        <v>52</v>
      </c>
      <c r="C97">
        <v>-42.49</v>
      </c>
      <c r="D97">
        <v>0</v>
      </c>
      <c r="E97">
        <v>-42.49</v>
      </c>
      <c r="F97">
        <v>1</v>
      </c>
    </row>
    <row r="98" spans="1:6" x14ac:dyDescent="0.25">
      <c r="A98" t="s">
        <v>3549</v>
      </c>
      <c r="B98" t="s">
        <v>19</v>
      </c>
      <c r="C98">
        <v>5838.45</v>
      </c>
      <c r="D98">
        <v>170.80999999999997</v>
      </c>
      <c r="E98">
        <v>5667.6399999999994</v>
      </c>
      <c r="F98">
        <v>5</v>
      </c>
    </row>
    <row r="99" spans="1:6" x14ac:dyDescent="0.25">
      <c r="A99" t="s">
        <v>3553</v>
      </c>
      <c r="B99" t="s">
        <v>25</v>
      </c>
      <c r="C99">
        <v>21417.67</v>
      </c>
      <c r="D99">
        <v>626</v>
      </c>
      <c r="E99">
        <v>20791.669999999998</v>
      </c>
      <c r="F99">
        <v>15</v>
      </c>
    </row>
    <row r="100" spans="1:6" x14ac:dyDescent="0.25">
      <c r="A100" t="s">
        <v>3557</v>
      </c>
      <c r="B100" t="s">
        <v>25</v>
      </c>
      <c r="C100">
        <v>1830.48</v>
      </c>
      <c r="D100">
        <v>53.38</v>
      </c>
      <c r="E100">
        <v>1777.1</v>
      </c>
      <c r="F100">
        <v>1</v>
      </c>
    </row>
    <row r="101" spans="1:6" x14ac:dyDescent="0.25">
      <c r="A101" t="s">
        <v>3561</v>
      </c>
      <c r="B101" t="s">
        <v>52</v>
      </c>
      <c r="C101">
        <v>3668.0099999999998</v>
      </c>
      <c r="D101">
        <v>107.86999999999999</v>
      </c>
      <c r="E101">
        <v>3560.1400000000003</v>
      </c>
      <c r="F101">
        <v>5</v>
      </c>
    </row>
    <row r="102" spans="1:6" x14ac:dyDescent="0.25">
      <c r="A102" t="s">
        <v>3563</v>
      </c>
      <c r="B102" t="s">
        <v>19</v>
      </c>
      <c r="C102">
        <v>5309.48</v>
      </c>
      <c r="D102">
        <v>155.47</v>
      </c>
      <c r="E102">
        <v>5154.01</v>
      </c>
      <c r="F102">
        <v>5</v>
      </c>
    </row>
    <row r="103" spans="1:6" x14ac:dyDescent="0.25">
      <c r="A103" t="s">
        <v>3569</v>
      </c>
      <c r="B103" t="s">
        <v>52</v>
      </c>
      <c r="C103">
        <v>1572.78</v>
      </c>
      <c r="D103">
        <v>45.91</v>
      </c>
      <c r="E103">
        <v>1526.87</v>
      </c>
      <c r="F103">
        <v>1</v>
      </c>
    </row>
    <row r="104" spans="1:6" x14ac:dyDescent="0.25">
      <c r="A104" t="s">
        <v>3571</v>
      </c>
      <c r="B104" t="s">
        <v>52</v>
      </c>
      <c r="C104">
        <v>157.30000000000001</v>
      </c>
      <c r="D104">
        <v>4.8600000000000003</v>
      </c>
      <c r="E104">
        <v>152.44</v>
      </c>
      <c r="F104">
        <v>1</v>
      </c>
    </row>
    <row r="105" spans="1:6" x14ac:dyDescent="0.25">
      <c r="A105" t="s">
        <v>3576</v>
      </c>
      <c r="B105" t="s">
        <v>52</v>
      </c>
      <c r="C105">
        <v>2558.09</v>
      </c>
      <c r="D105">
        <v>75.38</v>
      </c>
      <c r="E105">
        <v>2482.71</v>
      </c>
      <c r="F105">
        <v>4</v>
      </c>
    </row>
    <row r="106" spans="1:6" x14ac:dyDescent="0.25">
      <c r="A106" t="s">
        <v>3582</v>
      </c>
      <c r="B106" t="s">
        <v>25</v>
      </c>
      <c r="C106">
        <v>2033.45</v>
      </c>
      <c r="D106">
        <v>59.27</v>
      </c>
      <c r="E106">
        <v>1974.18</v>
      </c>
      <c r="F106">
        <v>1</v>
      </c>
    </row>
    <row r="107" spans="1:6" x14ac:dyDescent="0.25">
      <c r="A107" t="s">
        <v>3584</v>
      </c>
      <c r="B107" t="s">
        <v>52</v>
      </c>
      <c r="C107">
        <v>1717.99</v>
      </c>
      <c r="D107">
        <v>50.12</v>
      </c>
      <c r="E107">
        <v>1667.87</v>
      </c>
      <c r="F107">
        <v>1</v>
      </c>
    </row>
    <row r="108" spans="1:6" x14ac:dyDescent="0.25">
      <c r="A108" t="s">
        <v>3591</v>
      </c>
      <c r="B108" t="s">
        <v>19</v>
      </c>
      <c r="C108">
        <v>-609.04</v>
      </c>
      <c r="D108">
        <v>0</v>
      </c>
      <c r="E108">
        <v>-609.04</v>
      </c>
      <c r="F108">
        <v>1</v>
      </c>
    </row>
    <row r="109" spans="1:6" x14ac:dyDescent="0.25">
      <c r="A109" t="s">
        <v>3601</v>
      </c>
      <c r="B109" t="s">
        <v>25</v>
      </c>
      <c r="C109">
        <v>-822.81</v>
      </c>
      <c r="D109">
        <v>0</v>
      </c>
      <c r="E109">
        <v>-822.81</v>
      </c>
      <c r="F109">
        <v>1</v>
      </c>
    </row>
    <row r="110" spans="1:6" x14ac:dyDescent="0.25">
      <c r="A110" t="s">
        <v>3609</v>
      </c>
      <c r="B110" t="s">
        <v>25</v>
      </c>
      <c r="C110">
        <v>-442.42</v>
      </c>
      <c r="D110">
        <v>0</v>
      </c>
      <c r="E110">
        <v>-442.42</v>
      </c>
      <c r="F110">
        <v>1</v>
      </c>
    </row>
    <row r="111" spans="1:6" x14ac:dyDescent="0.25">
      <c r="A111" t="s">
        <v>3614</v>
      </c>
      <c r="B111" t="s">
        <v>25</v>
      </c>
      <c r="C111">
        <v>1858.89</v>
      </c>
      <c r="D111">
        <v>54.21</v>
      </c>
      <c r="E111">
        <v>1804.68</v>
      </c>
      <c r="F111">
        <v>1</v>
      </c>
    </row>
    <row r="112" spans="1:6" x14ac:dyDescent="0.25">
      <c r="A112" t="s">
        <v>3633</v>
      </c>
      <c r="B112" t="s">
        <v>25</v>
      </c>
      <c r="C112">
        <v>-722.27</v>
      </c>
      <c r="D112">
        <v>0</v>
      </c>
      <c r="E112">
        <v>-722.27</v>
      </c>
      <c r="F112">
        <v>1</v>
      </c>
    </row>
    <row r="113" spans="1:6" x14ac:dyDescent="0.25">
      <c r="A113" t="s">
        <v>3637</v>
      </c>
      <c r="B113" t="s">
        <v>25</v>
      </c>
      <c r="C113">
        <v>1134.32</v>
      </c>
      <c r="D113">
        <v>33.200000000000003</v>
      </c>
      <c r="E113">
        <v>1101.1199999999999</v>
      </c>
      <c r="F113">
        <v>1</v>
      </c>
    </row>
    <row r="114" spans="1:6" x14ac:dyDescent="0.25">
      <c r="A114" t="s">
        <v>3643</v>
      </c>
      <c r="B114" t="s">
        <v>25</v>
      </c>
      <c r="C114">
        <v>-952.14</v>
      </c>
      <c r="D114">
        <v>0</v>
      </c>
      <c r="E114">
        <v>-952.14</v>
      </c>
      <c r="F114">
        <v>1</v>
      </c>
    </row>
    <row r="115" spans="1:6" x14ac:dyDescent="0.25">
      <c r="A115" t="s">
        <v>3653</v>
      </c>
      <c r="B115" t="s">
        <v>25</v>
      </c>
      <c r="C115">
        <v>1227.3499999999999</v>
      </c>
      <c r="D115">
        <v>35.89</v>
      </c>
      <c r="E115">
        <v>1191.46</v>
      </c>
      <c r="F115">
        <v>1</v>
      </c>
    </row>
    <row r="116" spans="1:6" x14ac:dyDescent="0.25">
      <c r="A116" t="s">
        <v>3657</v>
      </c>
      <c r="B116" t="s">
        <v>25</v>
      </c>
      <c r="C116">
        <v>-533.28</v>
      </c>
      <c r="D116">
        <v>0</v>
      </c>
      <c r="E116">
        <v>-533.28</v>
      </c>
      <c r="F116">
        <v>1</v>
      </c>
    </row>
    <row r="117" spans="1:6" x14ac:dyDescent="0.25">
      <c r="A117" t="s">
        <v>3661</v>
      </c>
      <c r="B117" t="s">
        <v>19</v>
      </c>
      <c r="C117">
        <v>2096.2600000000002</v>
      </c>
      <c r="D117">
        <v>61.09</v>
      </c>
      <c r="E117">
        <v>2035.17</v>
      </c>
      <c r="F117">
        <v>1</v>
      </c>
    </row>
    <row r="118" spans="1:6" x14ac:dyDescent="0.25">
      <c r="A118" t="s">
        <v>3679</v>
      </c>
      <c r="B118" t="s">
        <v>25</v>
      </c>
      <c r="C118">
        <v>1694.06</v>
      </c>
      <c r="D118">
        <v>49.43</v>
      </c>
      <c r="E118">
        <v>1644.63</v>
      </c>
      <c r="F118">
        <v>1</v>
      </c>
    </row>
    <row r="119" spans="1:6" x14ac:dyDescent="0.25">
      <c r="A119" t="s">
        <v>3688</v>
      </c>
      <c r="B119" t="s">
        <v>25</v>
      </c>
      <c r="C119">
        <v>409.76</v>
      </c>
      <c r="D119">
        <v>12.18</v>
      </c>
      <c r="E119">
        <v>397.58</v>
      </c>
      <c r="F119">
        <v>1</v>
      </c>
    </row>
    <row r="120" spans="1:6" x14ac:dyDescent="0.25">
      <c r="A120" t="s">
        <v>3692</v>
      </c>
      <c r="B120" t="s">
        <v>25</v>
      </c>
      <c r="C120">
        <v>-1175.8499999999999</v>
      </c>
      <c r="D120">
        <v>0</v>
      </c>
      <c r="E120">
        <v>-1175.8499999999999</v>
      </c>
      <c r="F120">
        <v>1</v>
      </c>
    </row>
    <row r="121" spans="1:6" x14ac:dyDescent="0.25">
      <c r="A121" t="s">
        <v>3719</v>
      </c>
      <c r="B121" t="s">
        <v>25</v>
      </c>
      <c r="C121">
        <v>2441.1799999999998</v>
      </c>
      <c r="D121">
        <v>71.09</v>
      </c>
      <c r="E121">
        <v>2370.09</v>
      </c>
      <c r="F121">
        <v>1</v>
      </c>
    </row>
    <row r="122" spans="1:6" x14ac:dyDescent="0.25">
      <c r="A122" t="s">
        <v>3722</v>
      </c>
      <c r="B122" t="s">
        <v>25</v>
      </c>
      <c r="C122">
        <v>1358.04</v>
      </c>
      <c r="D122">
        <v>39.68</v>
      </c>
      <c r="E122">
        <v>1318.36</v>
      </c>
      <c r="F122">
        <v>1</v>
      </c>
    </row>
    <row r="123" spans="1:6" x14ac:dyDescent="0.25">
      <c r="A123" t="s">
        <v>3730</v>
      </c>
      <c r="B123" t="s">
        <v>25</v>
      </c>
      <c r="C123">
        <v>1397.38</v>
      </c>
      <c r="D123">
        <v>40.82</v>
      </c>
      <c r="E123">
        <v>1356.56</v>
      </c>
      <c r="F123">
        <v>1</v>
      </c>
    </row>
    <row r="124" spans="1:6" x14ac:dyDescent="0.25">
      <c r="A124" t="s">
        <v>3736</v>
      </c>
      <c r="B124" t="s">
        <v>25</v>
      </c>
      <c r="C124">
        <v>2332.38</v>
      </c>
      <c r="D124">
        <v>67.94</v>
      </c>
      <c r="E124">
        <v>2264.44</v>
      </c>
      <c r="F124">
        <v>1</v>
      </c>
    </row>
    <row r="125" spans="1:6" x14ac:dyDescent="0.25">
      <c r="A125" t="s">
        <v>3743</v>
      </c>
      <c r="B125" t="s">
        <v>25</v>
      </c>
      <c r="C125">
        <v>1494.4</v>
      </c>
      <c r="D125">
        <v>43.64</v>
      </c>
      <c r="E125">
        <v>1450.76</v>
      </c>
      <c r="F125">
        <v>1</v>
      </c>
    </row>
    <row r="126" spans="1:6" x14ac:dyDescent="0.25">
      <c r="A126" t="s">
        <v>3759</v>
      </c>
      <c r="B126" t="s">
        <v>19</v>
      </c>
      <c r="C126">
        <v>310.01</v>
      </c>
      <c r="D126">
        <v>9.2899999999999991</v>
      </c>
      <c r="E126">
        <v>300.72000000000003</v>
      </c>
      <c r="F126">
        <v>1</v>
      </c>
    </row>
    <row r="127" spans="1:6" x14ac:dyDescent="0.25">
      <c r="A127" t="s">
        <v>3765</v>
      </c>
      <c r="B127" t="s">
        <v>25</v>
      </c>
      <c r="C127">
        <v>1821.7</v>
      </c>
      <c r="D127">
        <v>53.13</v>
      </c>
      <c r="E127">
        <v>1768.57</v>
      </c>
      <c r="F127">
        <v>1</v>
      </c>
    </row>
    <row r="128" spans="1:6" x14ac:dyDescent="0.25">
      <c r="A128" t="s">
        <v>3789</v>
      </c>
      <c r="B128" t="s">
        <v>25</v>
      </c>
      <c r="C128">
        <v>-551.57000000000005</v>
      </c>
      <c r="D128">
        <v>0</v>
      </c>
      <c r="E128">
        <v>-551.57000000000005</v>
      </c>
      <c r="F128">
        <v>1</v>
      </c>
    </row>
    <row r="129" spans="1:6" x14ac:dyDescent="0.25">
      <c r="A129" t="s">
        <v>3838</v>
      </c>
      <c r="B129" t="s">
        <v>25</v>
      </c>
      <c r="C129">
        <v>2393.37</v>
      </c>
      <c r="D129">
        <v>69.709999999999994</v>
      </c>
      <c r="E129">
        <v>2323.66</v>
      </c>
      <c r="F129">
        <v>1</v>
      </c>
    </row>
    <row r="130" spans="1:6" x14ac:dyDescent="0.25">
      <c r="A130" t="s">
        <v>3851</v>
      </c>
      <c r="B130" t="s">
        <v>25</v>
      </c>
      <c r="C130">
        <v>2210.02</v>
      </c>
      <c r="D130">
        <v>64.39</v>
      </c>
      <c r="E130">
        <v>2145.63</v>
      </c>
      <c r="F130">
        <v>1</v>
      </c>
    </row>
    <row r="131" spans="1:6" x14ac:dyDescent="0.25">
      <c r="A131" t="s">
        <v>3863</v>
      </c>
      <c r="B131" t="s">
        <v>25</v>
      </c>
      <c r="C131">
        <v>789.77</v>
      </c>
      <c r="D131">
        <v>23.2</v>
      </c>
      <c r="E131">
        <v>766.57</v>
      </c>
      <c r="F131">
        <v>1</v>
      </c>
    </row>
    <row r="132" spans="1:6" x14ac:dyDescent="0.25">
      <c r="A132" t="s">
        <v>3875</v>
      </c>
      <c r="B132" t="s">
        <v>25</v>
      </c>
      <c r="C132">
        <v>-713.36</v>
      </c>
      <c r="D132">
        <v>0</v>
      </c>
      <c r="E132">
        <v>-713.36</v>
      </c>
      <c r="F132">
        <v>1</v>
      </c>
    </row>
    <row r="133" spans="1:6" x14ac:dyDescent="0.25">
      <c r="A133" t="s">
        <v>3888</v>
      </c>
      <c r="B133" t="s">
        <v>19</v>
      </c>
      <c r="C133">
        <v>6139.7400000000007</v>
      </c>
      <c r="D133">
        <v>179.25</v>
      </c>
      <c r="E133">
        <v>5960.49</v>
      </c>
      <c r="F133">
        <v>4</v>
      </c>
    </row>
    <row r="134" spans="1:6" x14ac:dyDescent="0.25">
      <c r="A134" t="s">
        <v>3890</v>
      </c>
      <c r="B134" t="s">
        <v>25</v>
      </c>
      <c r="C134">
        <v>20058.160000000003</v>
      </c>
      <c r="D134">
        <v>586.20000000000005</v>
      </c>
      <c r="E134">
        <v>19471.96</v>
      </c>
      <c r="F134">
        <v>15</v>
      </c>
    </row>
    <row r="135" spans="1:6" x14ac:dyDescent="0.25">
      <c r="A135" t="s">
        <v>3892</v>
      </c>
      <c r="B135" t="s">
        <v>25</v>
      </c>
      <c r="C135">
        <v>-1058.8800000000001</v>
      </c>
      <c r="D135">
        <v>0</v>
      </c>
      <c r="E135">
        <v>-1058.8800000000001</v>
      </c>
      <c r="F135">
        <v>1</v>
      </c>
    </row>
    <row r="136" spans="1:6" x14ac:dyDescent="0.25">
      <c r="A136" t="s">
        <v>3894</v>
      </c>
      <c r="B136" t="s">
        <v>25</v>
      </c>
      <c r="C136">
        <v>28730.57</v>
      </c>
      <c r="D136">
        <v>838.59</v>
      </c>
      <c r="E136">
        <v>27891.979999999996</v>
      </c>
      <c r="F136">
        <v>18</v>
      </c>
    </row>
    <row r="137" spans="1:6" x14ac:dyDescent="0.25">
      <c r="A137" t="s">
        <v>3896</v>
      </c>
      <c r="B137" t="s">
        <v>25</v>
      </c>
      <c r="C137">
        <v>20755.600000000002</v>
      </c>
      <c r="D137">
        <v>607.47</v>
      </c>
      <c r="E137">
        <v>20148.129999999997</v>
      </c>
      <c r="F137">
        <v>16</v>
      </c>
    </row>
    <row r="138" spans="1:6" x14ac:dyDescent="0.25">
      <c r="A138" t="s">
        <v>3898</v>
      </c>
      <c r="B138" t="s">
        <v>52</v>
      </c>
      <c r="C138">
        <v>2243.4699999999998</v>
      </c>
      <c r="D138">
        <v>65.36</v>
      </c>
      <c r="E138">
        <v>2178.11</v>
      </c>
      <c r="F138">
        <v>1</v>
      </c>
    </row>
    <row r="139" spans="1:6" x14ac:dyDescent="0.25">
      <c r="A139" t="s">
        <v>3900</v>
      </c>
      <c r="B139" t="s">
        <v>25</v>
      </c>
      <c r="C139">
        <v>22164.210000000003</v>
      </c>
      <c r="D139">
        <v>647.87</v>
      </c>
      <c r="E139">
        <v>21516.339999999997</v>
      </c>
      <c r="F139">
        <v>17</v>
      </c>
    </row>
    <row r="140" spans="1:6" x14ac:dyDescent="0.25">
      <c r="A140" t="s">
        <v>3902</v>
      </c>
      <c r="B140" t="s">
        <v>25</v>
      </c>
      <c r="C140">
        <v>15744.230000000001</v>
      </c>
      <c r="D140">
        <v>461.09000000000009</v>
      </c>
      <c r="E140">
        <v>15283.140000000001</v>
      </c>
      <c r="F140">
        <v>15</v>
      </c>
    </row>
    <row r="141" spans="1:6" x14ac:dyDescent="0.25">
      <c r="A141" t="s">
        <v>3904</v>
      </c>
      <c r="B141" t="s">
        <v>25</v>
      </c>
      <c r="C141">
        <v>18464.47</v>
      </c>
      <c r="D141">
        <v>540.26</v>
      </c>
      <c r="E141">
        <v>17924.210000000003</v>
      </c>
      <c r="F141">
        <v>16</v>
      </c>
    </row>
    <row r="142" spans="1:6" x14ac:dyDescent="0.25">
      <c r="A142" t="s">
        <v>3906</v>
      </c>
      <c r="B142" t="s">
        <v>25</v>
      </c>
      <c r="C142">
        <v>330.75</v>
      </c>
      <c r="D142">
        <v>9.89</v>
      </c>
      <c r="E142">
        <v>320.86</v>
      </c>
      <c r="F142">
        <v>1</v>
      </c>
    </row>
    <row r="143" spans="1:6" x14ac:dyDescent="0.25">
      <c r="A143" t="s">
        <v>3908</v>
      </c>
      <c r="B143" t="s">
        <v>52</v>
      </c>
      <c r="C143">
        <v>4554.22</v>
      </c>
      <c r="D143">
        <v>133.26</v>
      </c>
      <c r="E143">
        <v>4420.96</v>
      </c>
      <c r="F143">
        <v>4</v>
      </c>
    </row>
    <row r="144" spans="1:6" x14ac:dyDescent="0.25">
      <c r="A144" t="s">
        <v>3910</v>
      </c>
      <c r="B144" t="s">
        <v>19</v>
      </c>
      <c r="C144">
        <v>2608.17</v>
      </c>
      <c r="D144">
        <v>76.83</v>
      </c>
      <c r="E144">
        <v>2531.34</v>
      </c>
      <c r="F144">
        <v>4</v>
      </c>
    </row>
    <row r="145" spans="1:6" x14ac:dyDescent="0.25">
      <c r="A145" t="s">
        <v>3912</v>
      </c>
      <c r="B145" t="s">
        <v>25</v>
      </c>
      <c r="C145">
        <v>24532.650000000005</v>
      </c>
      <c r="D145">
        <v>716.55000000000007</v>
      </c>
      <c r="E145">
        <v>23816.1</v>
      </c>
      <c r="F145">
        <v>17</v>
      </c>
    </row>
    <row r="146" spans="1:6" x14ac:dyDescent="0.25">
      <c r="A146" t="s">
        <v>3914</v>
      </c>
      <c r="B146" t="s">
        <v>25</v>
      </c>
      <c r="C146">
        <v>24749.879999999994</v>
      </c>
      <c r="D146">
        <v>722.84999999999991</v>
      </c>
      <c r="E146">
        <v>24027.03</v>
      </c>
      <c r="F146">
        <v>17</v>
      </c>
    </row>
    <row r="147" spans="1:6" x14ac:dyDescent="0.25">
      <c r="A147" t="s">
        <v>3916</v>
      </c>
      <c r="B147" t="s">
        <v>25</v>
      </c>
      <c r="C147">
        <v>21104.070000000003</v>
      </c>
      <c r="D147">
        <v>616.89</v>
      </c>
      <c r="E147">
        <v>20487.179999999997</v>
      </c>
      <c r="F147">
        <v>15</v>
      </c>
    </row>
    <row r="148" spans="1:6" x14ac:dyDescent="0.25">
      <c r="A148" t="s">
        <v>3918</v>
      </c>
      <c r="B148" t="s">
        <v>25</v>
      </c>
      <c r="C148">
        <v>17527.210000000003</v>
      </c>
      <c r="D148">
        <v>513.09999999999991</v>
      </c>
      <c r="E148">
        <v>17014.11</v>
      </c>
      <c r="F148">
        <v>16</v>
      </c>
    </row>
    <row r="149" spans="1:6" x14ac:dyDescent="0.25">
      <c r="A149" t="s">
        <v>3923</v>
      </c>
      <c r="B149" t="s">
        <v>25</v>
      </c>
      <c r="C149">
        <v>17541.07</v>
      </c>
      <c r="D149">
        <v>513.5</v>
      </c>
      <c r="E149">
        <v>17027.57</v>
      </c>
      <c r="F149">
        <v>16</v>
      </c>
    </row>
    <row r="150" spans="1:6" x14ac:dyDescent="0.25">
      <c r="A150" t="s">
        <v>3925</v>
      </c>
      <c r="B150" t="s">
        <v>52</v>
      </c>
      <c r="C150">
        <v>9949.93</v>
      </c>
      <c r="D150">
        <v>290.05</v>
      </c>
      <c r="E150">
        <v>9659.880000000001</v>
      </c>
      <c r="F150">
        <v>5</v>
      </c>
    </row>
    <row r="151" spans="1:6" x14ac:dyDescent="0.25">
      <c r="A151" t="s">
        <v>3927</v>
      </c>
      <c r="B151" t="s">
        <v>19</v>
      </c>
      <c r="C151">
        <v>4803.4100000000008</v>
      </c>
      <c r="D151">
        <v>140.81</v>
      </c>
      <c r="E151">
        <v>4662.6000000000004</v>
      </c>
      <c r="F151">
        <v>5</v>
      </c>
    </row>
    <row r="152" spans="1:6" x14ac:dyDescent="0.25">
      <c r="A152" t="s">
        <v>3930</v>
      </c>
      <c r="B152" t="s">
        <v>25</v>
      </c>
      <c r="C152">
        <v>16454.8</v>
      </c>
      <c r="D152">
        <v>482.00000000000006</v>
      </c>
      <c r="E152">
        <v>15972.800000000001</v>
      </c>
      <c r="F152">
        <v>16</v>
      </c>
    </row>
    <row r="153" spans="1:6" x14ac:dyDescent="0.25">
      <c r="A153" t="s">
        <v>3932</v>
      </c>
      <c r="B153" t="s">
        <v>25</v>
      </c>
      <c r="C153">
        <v>17608.830000000002</v>
      </c>
      <c r="D153">
        <v>515.16</v>
      </c>
      <c r="E153">
        <v>17093.670000000002</v>
      </c>
      <c r="F153">
        <v>15</v>
      </c>
    </row>
    <row r="154" spans="1:6" x14ac:dyDescent="0.25">
      <c r="A154" t="s">
        <v>3934</v>
      </c>
      <c r="B154" t="s">
        <v>25</v>
      </c>
      <c r="C154">
        <v>16600.8</v>
      </c>
      <c r="D154">
        <v>485.34000000000003</v>
      </c>
      <c r="E154">
        <v>16115.459999999997</v>
      </c>
      <c r="F154">
        <v>13</v>
      </c>
    </row>
    <row r="155" spans="1:6" x14ac:dyDescent="0.25">
      <c r="A155" t="s">
        <v>3939</v>
      </c>
      <c r="B155" t="s">
        <v>25</v>
      </c>
      <c r="C155">
        <v>2263.9499999999998</v>
      </c>
      <c r="D155">
        <v>65.95</v>
      </c>
      <c r="E155">
        <v>2198</v>
      </c>
      <c r="F155">
        <v>1</v>
      </c>
    </row>
    <row r="156" spans="1:6" x14ac:dyDescent="0.25">
      <c r="A156" t="s">
        <v>3941</v>
      </c>
      <c r="B156" t="s">
        <v>52</v>
      </c>
      <c r="C156">
        <v>5390.76</v>
      </c>
      <c r="D156">
        <v>157.82</v>
      </c>
      <c r="E156">
        <v>5232.9400000000005</v>
      </c>
      <c r="F156">
        <v>5</v>
      </c>
    </row>
    <row r="157" spans="1:6" x14ac:dyDescent="0.25">
      <c r="A157" t="s">
        <v>3943</v>
      </c>
      <c r="B157" t="s">
        <v>19</v>
      </c>
      <c r="C157">
        <v>3955.5199999999995</v>
      </c>
      <c r="D157">
        <v>115.91000000000001</v>
      </c>
      <c r="E157">
        <v>3839.61</v>
      </c>
      <c r="F157">
        <v>4</v>
      </c>
    </row>
    <row r="158" spans="1:6" x14ac:dyDescent="0.25">
      <c r="A158" t="s">
        <v>3952</v>
      </c>
      <c r="B158" t="s">
        <v>25</v>
      </c>
      <c r="C158">
        <v>1733</v>
      </c>
      <c r="D158">
        <v>50.56</v>
      </c>
      <c r="E158">
        <v>1682.44</v>
      </c>
      <c r="F158">
        <v>1</v>
      </c>
    </row>
    <row r="159" spans="1:6" x14ac:dyDescent="0.25">
      <c r="A159" t="s">
        <v>3954</v>
      </c>
      <c r="B159" t="s">
        <v>52</v>
      </c>
      <c r="C159">
        <v>5295.65</v>
      </c>
      <c r="D159">
        <v>154.77000000000001</v>
      </c>
      <c r="E159">
        <v>5140.88</v>
      </c>
      <c r="F159">
        <v>4</v>
      </c>
    </row>
    <row r="160" spans="1:6" x14ac:dyDescent="0.25">
      <c r="A160" t="s">
        <v>3956</v>
      </c>
      <c r="B160" t="s">
        <v>19</v>
      </c>
      <c r="C160">
        <v>1922.81</v>
      </c>
      <c r="D160">
        <v>56.06</v>
      </c>
      <c r="E160">
        <v>1866.75</v>
      </c>
      <c r="F160">
        <v>1</v>
      </c>
    </row>
    <row r="161" spans="1:6" x14ac:dyDescent="0.25">
      <c r="A161" t="s">
        <v>3963</v>
      </c>
      <c r="B161" t="s">
        <v>25</v>
      </c>
      <c r="C161">
        <v>-764.09</v>
      </c>
      <c r="D161">
        <v>0</v>
      </c>
      <c r="E161">
        <v>-764.09</v>
      </c>
      <c r="F161">
        <v>1</v>
      </c>
    </row>
    <row r="162" spans="1:6" x14ac:dyDescent="0.25">
      <c r="A162" t="s">
        <v>3968</v>
      </c>
      <c r="B162" t="s">
        <v>52</v>
      </c>
      <c r="C162">
        <v>1119.1300000000001</v>
      </c>
      <c r="D162">
        <v>33.659999999999997</v>
      </c>
      <c r="E162">
        <v>1085.4699999999998</v>
      </c>
      <c r="F162">
        <v>4</v>
      </c>
    </row>
    <row r="163" spans="1:6" x14ac:dyDescent="0.25">
      <c r="A163" t="s">
        <v>3970</v>
      </c>
      <c r="B163" t="s">
        <v>19</v>
      </c>
      <c r="C163">
        <v>4343.91</v>
      </c>
      <c r="D163">
        <v>127.17</v>
      </c>
      <c r="E163">
        <v>4216.74</v>
      </c>
      <c r="F163">
        <v>4</v>
      </c>
    </row>
    <row r="164" spans="1:6" x14ac:dyDescent="0.25">
      <c r="A164" t="s">
        <v>3972</v>
      </c>
      <c r="B164" t="s">
        <v>19</v>
      </c>
      <c r="C164">
        <v>-1070.48</v>
      </c>
      <c r="D164">
        <v>0</v>
      </c>
      <c r="E164">
        <v>-1070.48</v>
      </c>
      <c r="F164">
        <v>1</v>
      </c>
    </row>
    <row r="165" spans="1:6" x14ac:dyDescent="0.25">
      <c r="A165" t="s">
        <v>3974</v>
      </c>
      <c r="B165" t="s">
        <v>25</v>
      </c>
      <c r="C165">
        <v>693.13</v>
      </c>
      <c r="D165">
        <v>20.399999999999999</v>
      </c>
      <c r="E165">
        <v>672.73</v>
      </c>
      <c r="F165">
        <v>1</v>
      </c>
    </row>
    <row r="166" spans="1:6" x14ac:dyDescent="0.25">
      <c r="A166" t="s">
        <v>3981</v>
      </c>
      <c r="B166" t="s">
        <v>25</v>
      </c>
      <c r="C166">
        <v>993.75</v>
      </c>
      <c r="D166">
        <v>29.12</v>
      </c>
      <c r="E166">
        <v>964.63</v>
      </c>
      <c r="F166">
        <v>1</v>
      </c>
    </row>
    <row r="167" spans="1:6" x14ac:dyDescent="0.25">
      <c r="A167" t="s">
        <v>3984</v>
      </c>
      <c r="B167" t="s">
        <v>52</v>
      </c>
      <c r="C167">
        <v>3805.0299999999997</v>
      </c>
      <c r="D167">
        <v>111.53999999999999</v>
      </c>
      <c r="E167">
        <v>3693.49</v>
      </c>
      <c r="F167">
        <v>4</v>
      </c>
    </row>
    <row r="168" spans="1:6" x14ac:dyDescent="0.25">
      <c r="A168" t="s">
        <v>3986</v>
      </c>
      <c r="B168" t="s">
        <v>19</v>
      </c>
      <c r="C168">
        <v>7592.3099999999995</v>
      </c>
      <c r="D168">
        <v>221.69</v>
      </c>
      <c r="E168">
        <v>7370.6200000000008</v>
      </c>
      <c r="F168">
        <v>5</v>
      </c>
    </row>
    <row r="169" spans="1:6" x14ac:dyDescent="0.25">
      <c r="A169" t="s">
        <v>3990</v>
      </c>
      <c r="B169" t="s">
        <v>25</v>
      </c>
      <c r="C169">
        <v>1484.46</v>
      </c>
      <c r="D169">
        <v>43.35</v>
      </c>
      <c r="E169">
        <v>1441.11</v>
      </c>
      <c r="F169">
        <v>1</v>
      </c>
    </row>
    <row r="170" spans="1:6" x14ac:dyDescent="0.25">
      <c r="A170" t="s">
        <v>3992</v>
      </c>
      <c r="B170" t="s">
        <v>52</v>
      </c>
      <c r="C170">
        <v>1933.98</v>
      </c>
      <c r="D170">
        <v>56.39</v>
      </c>
      <c r="E170">
        <v>1877.59</v>
      </c>
      <c r="F170">
        <v>1</v>
      </c>
    </row>
    <row r="171" spans="1:6" x14ac:dyDescent="0.25">
      <c r="A171" t="s">
        <v>3998</v>
      </c>
      <c r="B171" t="s">
        <v>52</v>
      </c>
      <c r="C171">
        <v>4021.15</v>
      </c>
      <c r="D171">
        <v>117.50999999999999</v>
      </c>
      <c r="E171">
        <v>3903.6400000000003</v>
      </c>
      <c r="F171">
        <v>3</v>
      </c>
    </row>
    <row r="172" spans="1:6" x14ac:dyDescent="0.25">
      <c r="A172" t="s">
        <v>4022</v>
      </c>
      <c r="B172" t="s">
        <v>25</v>
      </c>
      <c r="C172">
        <v>744.72</v>
      </c>
      <c r="D172">
        <v>21.9</v>
      </c>
      <c r="E172">
        <v>722.82</v>
      </c>
      <c r="F172">
        <v>1</v>
      </c>
    </row>
    <row r="173" spans="1:6" x14ac:dyDescent="0.25">
      <c r="A173" t="s">
        <v>4026</v>
      </c>
      <c r="B173" t="s">
        <v>25</v>
      </c>
      <c r="C173">
        <v>-2092.8200000000002</v>
      </c>
      <c r="D173">
        <v>0</v>
      </c>
      <c r="E173">
        <v>-2092.8200000000002</v>
      </c>
      <c r="F173">
        <v>1</v>
      </c>
    </row>
    <row r="174" spans="1:6" x14ac:dyDescent="0.25">
      <c r="A174" t="s">
        <v>4037</v>
      </c>
      <c r="B174" t="s">
        <v>25</v>
      </c>
      <c r="C174">
        <v>45.69</v>
      </c>
      <c r="D174">
        <v>1.63</v>
      </c>
      <c r="E174">
        <v>44.06</v>
      </c>
      <c r="F174">
        <v>1</v>
      </c>
    </row>
    <row r="175" spans="1:6" x14ac:dyDescent="0.25">
      <c r="A175" t="s">
        <v>4045</v>
      </c>
      <c r="B175" t="s">
        <v>19</v>
      </c>
      <c r="C175">
        <v>1384.95</v>
      </c>
      <c r="D175">
        <v>40.46</v>
      </c>
      <c r="E175">
        <v>1344.49</v>
      </c>
      <c r="F175">
        <v>1</v>
      </c>
    </row>
    <row r="176" spans="1:6" x14ac:dyDescent="0.25">
      <c r="A176" t="s">
        <v>4075</v>
      </c>
      <c r="B176" t="s">
        <v>25</v>
      </c>
      <c r="C176">
        <v>1252.46</v>
      </c>
      <c r="D176">
        <v>36.619999999999997</v>
      </c>
      <c r="E176">
        <v>1215.8399999999999</v>
      </c>
      <c r="F176">
        <v>1</v>
      </c>
    </row>
    <row r="177" spans="1:6" x14ac:dyDescent="0.25">
      <c r="A177" t="s">
        <v>4086</v>
      </c>
      <c r="B177" t="s">
        <v>25</v>
      </c>
      <c r="C177">
        <v>265.27999999999997</v>
      </c>
      <c r="D177">
        <v>7.99</v>
      </c>
      <c r="E177">
        <v>257.29000000000002</v>
      </c>
      <c r="F177">
        <v>1</v>
      </c>
    </row>
    <row r="178" spans="1:6" x14ac:dyDescent="0.25">
      <c r="A178" t="s">
        <v>4090</v>
      </c>
      <c r="B178" t="s">
        <v>19</v>
      </c>
      <c r="C178">
        <v>-20.87</v>
      </c>
      <c r="D178">
        <v>0</v>
      </c>
      <c r="E178">
        <v>-20.87</v>
      </c>
      <c r="F178">
        <v>1</v>
      </c>
    </row>
    <row r="179" spans="1:6" x14ac:dyDescent="0.25">
      <c r="A179" t="s">
        <v>4113</v>
      </c>
      <c r="B179" t="s">
        <v>19</v>
      </c>
      <c r="C179">
        <v>-1174.17</v>
      </c>
      <c r="D179">
        <v>0</v>
      </c>
      <c r="E179">
        <v>-1174.17</v>
      </c>
      <c r="F179">
        <v>1</v>
      </c>
    </row>
    <row r="180" spans="1:6" x14ac:dyDescent="0.25">
      <c r="A180" t="s">
        <v>4118</v>
      </c>
      <c r="B180" t="s">
        <v>25</v>
      </c>
      <c r="C180">
        <v>1605.02</v>
      </c>
      <c r="D180">
        <v>46.85</v>
      </c>
      <c r="E180">
        <v>1558.17</v>
      </c>
      <c r="F180">
        <v>1</v>
      </c>
    </row>
    <row r="181" spans="1:6" x14ac:dyDescent="0.25">
      <c r="A181" t="s">
        <v>4125</v>
      </c>
      <c r="B181" t="s">
        <v>19</v>
      </c>
      <c r="C181">
        <v>3059.84</v>
      </c>
      <c r="D181">
        <v>89.33</v>
      </c>
      <c r="E181">
        <v>2970.51</v>
      </c>
      <c r="F181">
        <v>2</v>
      </c>
    </row>
    <row r="182" spans="1:6" x14ac:dyDescent="0.25">
      <c r="A182" t="s">
        <v>4127</v>
      </c>
      <c r="B182" t="s">
        <v>19</v>
      </c>
      <c r="C182">
        <v>-500.56</v>
      </c>
      <c r="D182">
        <v>0</v>
      </c>
      <c r="E182">
        <v>-500.56</v>
      </c>
      <c r="F182">
        <v>1</v>
      </c>
    </row>
    <row r="183" spans="1:6" x14ac:dyDescent="0.25">
      <c r="A183" t="s">
        <v>4132</v>
      </c>
      <c r="B183" t="s">
        <v>25</v>
      </c>
      <c r="C183">
        <v>1843.92</v>
      </c>
      <c r="D183">
        <v>53.77</v>
      </c>
      <c r="E183">
        <v>1790.15</v>
      </c>
      <c r="F183">
        <v>1</v>
      </c>
    </row>
    <row r="184" spans="1:6" x14ac:dyDescent="0.25">
      <c r="A184" t="s">
        <v>4139</v>
      </c>
      <c r="B184" t="s">
        <v>25</v>
      </c>
      <c r="C184">
        <v>1808.05</v>
      </c>
      <c r="D184">
        <v>52.73</v>
      </c>
      <c r="E184">
        <v>1755.32</v>
      </c>
      <c r="F184">
        <v>1</v>
      </c>
    </row>
    <row r="185" spans="1:6" x14ac:dyDescent="0.25">
      <c r="A185" t="s">
        <v>4146</v>
      </c>
      <c r="B185" t="s">
        <v>25</v>
      </c>
      <c r="C185">
        <v>-2370.52</v>
      </c>
      <c r="D185">
        <v>0</v>
      </c>
      <c r="E185">
        <v>-2370.52</v>
      </c>
      <c r="F185">
        <v>1</v>
      </c>
    </row>
    <row r="186" spans="1:6" x14ac:dyDescent="0.25">
      <c r="A186" t="s">
        <v>4162</v>
      </c>
      <c r="B186" t="s">
        <v>25</v>
      </c>
      <c r="C186">
        <v>-332.45</v>
      </c>
      <c r="D186">
        <v>0</v>
      </c>
      <c r="E186">
        <v>-332.45</v>
      </c>
      <c r="F186">
        <v>1</v>
      </c>
    </row>
    <row r="187" spans="1:6" x14ac:dyDescent="0.25">
      <c r="A187" t="s">
        <v>4171</v>
      </c>
      <c r="B187" t="s">
        <v>52</v>
      </c>
      <c r="C187">
        <v>1344.26</v>
      </c>
      <c r="D187">
        <v>39.28</v>
      </c>
      <c r="E187">
        <v>1304.98</v>
      </c>
      <c r="F187">
        <v>1</v>
      </c>
    </row>
    <row r="188" spans="1:6" x14ac:dyDescent="0.25">
      <c r="A188" t="s">
        <v>4178</v>
      </c>
      <c r="B188" t="s">
        <v>25</v>
      </c>
      <c r="C188">
        <v>1743.14</v>
      </c>
      <c r="D188">
        <v>50.85</v>
      </c>
      <c r="E188">
        <v>1692.29</v>
      </c>
      <c r="F188">
        <v>1</v>
      </c>
    </row>
    <row r="189" spans="1:6" x14ac:dyDescent="0.25">
      <c r="A189" t="s">
        <v>4183</v>
      </c>
      <c r="B189" t="s">
        <v>25</v>
      </c>
      <c r="C189">
        <v>-701.47</v>
      </c>
      <c r="D189">
        <v>0</v>
      </c>
      <c r="E189">
        <v>-701.47</v>
      </c>
      <c r="F189">
        <v>1</v>
      </c>
    </row>
    <row r="190" spans="1:6" x14ac:dyDescent="0.25">
      <c r="A190" t="s">
        <v>4218</v>
      </c>
      <c r="B190" t="s">
        <v>25</v>
      </c>
      <c r="C190">
        <v>30.89</v>
      </c>
      <c r="D190">
        <v>1.2</v>
      </c>
      <c r="E190">
        <v>29.69</v>
      </c>
      <c r="F190">
        <v>1</v>
      </c>
    </row>
    <row r="191" spans="1:6" x14ac:dyDescent="0.25">
      <c r="A191" t="s">
        <v>4222</v>
      </c>
      <c r="B191" t="s">
        <v>25</v>
      </c>
      <c r="C191">
        <v>1501.12</v>
      </c>
      <c r="D191">
        <v>43.83</v>
      </c>
      <c r="E191">
        <v>1457.29</v>
      </c>
      <c r="F191">
        <v>1</v>
      </c>
    </row>
    <row r="192" spans="1:6" x14ac:dyDescent="0.25">
      <c r="A192" t="s">
        <v>4241</v>
      </c>
      <c r="B192" t="s">
        <v>25</v>
      </c>
      <c r="C192">
        <v>303.45999999999998</v>
      </c>
      <c r="D192">
        <v>9.1</v>
      </c>
      <c r="E192">
        <v>294.36</v>
      </c>
      <c r="F192">
        <v>1</v>
      </c>
    </row>
    <row r="193" spans="1:6" x14ac:dyDescent="0.25">
      <c r="A193" t="s">
        <v>4246</v>
      </c>
      <c r="B193" t="s">
        <v>25</v>
      </c>
      <c r="C193">
        <v>-747.94</v>
      </c>
      <c r="D193">
        <v>0</v>
      </c>
      <c r="E193">
        <v>-747.94</v>
      </c>
      <c r="F193">
        <v>1</v>
      </c>
    </row>
    <row r="194" spans="1:6" x14ac:dyDescent="0.25">
      <c r="A194" t="s">
        <v>4249</v>
      </c>
      <c r="B194" t="s">
        <v>19</v>
      </c>
      <c r="C194">
        <v>977.86</v>
      </c>
      <c r="D194">
        <v>28.66</v>
      </c>
      <c r="E194">
        <v>949.2</v>
      </c>
      <c r="F194">
        <v>1</v>
      </c>
    </row>
    <row r="195" spans="1:6" x14ac:dyDescent="0.25">
      <c r="A195" t="s">
        <v>4255</v>
      </c>
      <c r="B195" t="s">
        <v>25</v>
      </c>
      <c r="C195">
        <v>-1906.98</v>
      </c>
      <c r="D195">
        <v>0</v>
      </c>
      <c r="E195">
        <v>-1906.98</v>
      </c>
      <c r="F195">
        <v>1</v>
      </c>
    </row>
    <row r="196" spans="1:6" x14ac:dyDescent="0.25">
      <c r="A196" t="s">
        <v>4262</v>
      </c>
      <c r="B196" t="s">
        <v>25</v>
      </c>
      <c r="C196">
        <v>413.16</v>
      </c>
      <c r="D196">
        <v>12.28</v>
      </c>
      <c r="E196">
        <v>400.88</v>
      </c>
      <c r="F196">
        <v>1</v>
      </c>
    </row>
    <row r="197" spans="1:6" x14ac:dyDescent="0.25">
      <c r="A197" t="s">
        <v>4265</v>
      </c>
      <c r="B197" t="s">
        <v>25</v>
      </c>
      <c r="C197">
        <v>443.08</v>
      </c>
      <c r="D197">
        <v>13.15</v>
      </c>
      <c r="E197">
        <v>429.93</v>
      </c>
      <c r="F197">
        <v>1</v>
      </c>
    </row>
    <row r="198" spans="1:6" x14ac:dyDescent="0.25">
      <c r="A198" t="s">
        <v>4268</v>
      </c>
      <c r="B198" t="s">
        <v>25</v>
      </c>
      <c r="C198">
        <v>388.7</v>
      </c>
      <c r="D198">
        <v>11.57</v>
      </c>
      <c r="E198">
        <v>377.13</v>
      </c>
      <c r="F198">
        <v>1</v>
      </c>
    </row>
    <row r="199" spans="1:6" x14ac:dyDescent="0.25">
      <c r="A199" t="s">
        <v>4271</v>
      </c>
      <c r="B199" t="s">
        <v>25</v>
      </c>
      <c r="C199">
        <v>77.61</v>
      </c>
      <c r="D199">
        <v>2.5499999999999998</v>
      </c>
      <c r="E199">
        <v>75.06</v>
      </c>
      <c r="F199">
        <v>1</v>
      </c>
    </row>
    <row r="200" spans="1:6" x14ac:dyDescent="0.25">
      <c r="A200" t="s">
        <v>4274</v>
      </c>
      <c r="B200" t="s">
        <v>25</v>
      </c>
      <c r="C200">
        <v>861.34</v>
      </c>
      <c r="D200">
        <v>25.28</v>
      </c>
      <c r="E200">
        <v>836.06</v>
      </c>
      <c r="F200">
        <v>1</v>
      </c>
    </row>
    <row r="201" spans="1:6" x14ac:dyDescent="0.25">
      <c r="A201" t="s">
        <v>4277</v>
      </c>
      <c r="B201" t="s">
        <v>25</v>
      </c>
      <c r="C201">
        <v>724.92</v>
      </c>
      <c r="D201">
        <v>21.32</v>
      </c>
      <c r="E201">
        <v>703.6</v>
      </c>
      <c r="F201">
        <v>1</v>
      </c>
    </row>
    <row r="202" spans="1:6" x14ac:dyDescent="0.25">
      <c r="A202" t="s">
        <v>4280</v>
      </c>
      <c r="B202" t="s">
        <v>25</v>
      </c>
      <c r="C202">
        <v>720.78</v>
      </c>
      <c r="D202">
        <v>21.2</v>
      </c>
      <c r="E202">
        <v>699.58</v>
      </c>
      <c r="F202">
        <v>1</v>
      </c>
    </row>
    <row r="203" spans="1:6" x14ac:dyDescent="0.25">
      <c r="A203" t="s">
        <v>4283</v>
      </c>
      <c r="B203" t="s">
        <v>25</v>
      </c>
      <c r="C203">
        <v>282.49</v>
      </c>
      <c r="D203">
        <v>8.49</v>
      </c>
      <c r="E203">
        <v>274</v>
      </c>
      <c r="F203">
        <v>1</v>
      </c>
    </row>
    <row r="204" spans="1:6" x14ac:dyDescent="0.25">
      <c r="A204" t="s">
        <v>4286</v>
      </c>
      <c r="B204" t="s">
        <v>25</v>
      </c>
      <c r="C204">
        <v>370.03</v>
      </c>
      <c r="D204">
        <v>11.03</v>
      </c>
      <c r="E204">
        <v>359</v>
      </c>
      <c r="F204">
        <v>1</v>
      </c>
    </row>
    <row r="205" spans="1:6" x14ac:dyDescent="0.25">
      <c r="A205" t="s">
        <v>4289</v>
      </c>
      <c r="B205" t="s">
        <v>25</v>
      </c>
      <c r="C205">
        <v>636.76</v>
      </c>
      <c r="D205">
        <v>18.77</v>
      </c>
      <c r="E205">
        <v>617.99</v>
      </c>
      <c r="F205">
        <v>1</v>
      </c>
    </row>
    <row r="206" spans="1:6" x14ac:dyDescent="0.25">
      <c r="A206" t="s">
        <v>4292</v>
      </c>
      <c r="B206" t="s">
        <v>25</v>
      </c>
      <c r="C206">
        <v>608.98</v>
      </c>
      <c r="D206">
        <v>17.96</v>
      </c>
      <c r="E206">
        <v>591.02</v>
      </c>
      <c r="F206">
        <v>1</v>
      </c>
    </row>
    <row r="207" spans="1:6" x14ac:dyDescent="0.25">
      <c r="A207" t="s">
        <v>4295</v>
      </c>
      <c r="B207" t="s">
        <v>25</v>
      </c>
      <c r="C207">
        <v>655.01</v>
      </c>
      <c r="D207">
        <v>19.3</v>
      </c>
      <c r="E207">
        <v>635.71</v>
      </c>
      <c r="F207">
        <v>1</v>
      </c>
    </row>
    <row r="208" spans="1:6" x14ac:dyDescent="0.25">
      <c r="A208" t="s">
        <v>4298</v>
      </c>
      <c r="B208" t="s">
        <v>25</v>
      </c>
      <c r="C208">
        <v>648.86</v>
      </c>
      <c r="D208">
        <v>19.12</v>
      </c>
      <c r="E208">
        <v>629.74</v>
      </c>
      <c r="F208">
        <v>1</v>
      </c>
    </row>
    <row r="209" spans="1:6" x14ac:dyDescent="0.25">
      <c r="A209" t="s">
        <v>4301</v>
      </c>
      <c r="B209" t="s">
        <v>25</v>
      </c>
      <c r="C209">
        <v>8.09</v>
      </c>
      <c r="D209">
        <v>0.53</v>
      </c>
      <c r="E209">
        <v>7.56</v>
      </c>
      <c r="F209">
        <v>1</v>
      </c>
    </row>
    <row r="210" spans="1:6" x14ac:dyDescent="0.25">
      <c r="A210" t="s">
        <v>4304</v>
      </c>
      <c r="B210" t="s">
        <v>25</v>
      </c>
      <c r="C210">
        <v>557.17999999999995</v>
      </c>
      <c r="D210">
        <v>16.46</v>
      </c>
      <c r="E210">
        <v>540.72</v>
      </c>
      <c r="F210">
        <v>1</v>
      </c>
    </row>
    <row r="211" spans="1:6" x14ac:dyDescent="0.25">
      <c r="A211" t="s">
        <v>4307</v>
      </c>
      <c r="B211" t="s">
        <v>25</v>
      </c>
      <c r="C211">
        <v>841.29</v>
      </c>
      <c r="D211">
        <v>24.7</v>
      </c>
      <c r="E211">
        <v>816.59</v>
      </c>
      <c r="F211">
        <v>1</v>
      </c>
    </row>
    <row r="212" spans="1:6" x14ac:dyDescent="0.25">
      <c r="A212" t="s">
        <v>4310</v>
      </c>
      <c r="B212" t="s">
        <v>25</v>
      </c>
      <c r="C212">
        <v>505.79</v>
      </c>
      <c r="D212">
        <v>14.97</v>
      </c>
      <c r="E212">
        <v>490.82</v>
      </c>
      <c r="F212">
        <v>1</v>
      </c>
    </row>
    <row r="213" spans="1:6" x14ac:dyDescent="0.25">
      <c r="A213" t="s">
        <v>4313</v>
      </c>
      <c r="B213" t="s">
        <v>25</v>
      </c>
      <c r="C213">
        <v>157.58000000000001</v>
      </c>
      <c r="D213">
        <v>4.87</v>
      </c>
      <c r="E213">
        <v>152.71</v>
      </c>
      <c r="F213">
        <v>1</v>
      </c>
    </row>
    <row r="214" spans="1:6" x14ac:dyDescent="0.25">
      <c r="A214" t="s">
        <v>4316</v>
      </c>
      <c r="B214" t="s">
        <v>25</v>
      </c>
      <c r="C214">
        <v>589.05999999999995</v>
      </c>
      <c r="D214">
        <v>17.38</v>
      </c>
      <c r="E214">
        <v>571.67999999999995</v>
      </c>
      <c r="F214">
        <v>1</v>
      </c>
    </row>
    <row r="215" spans="1:6" x14ac:dyDescent="0.25">
      <c r="A215" t="s">
        <v>4319</v>
      </c>
      <c r="B215" t="s">
        <v>25</v>
      </c>
      <c r="C215">
        <v>635.55999999999995</v>
      </c>
      <c r="D215">
        <v>18.73</v>
      </c>
      <c r="E215">
        <v>616.83000000000004</v>
      </c>
      <c r="F215">
        <v>1</v>
      </c>
    </row>
    <row r="216" spans="1:6" x14ac:dyDescent="0.25">
      <c r="A216" t="s">
        <v>4322</v>
      </c>
      <c r="B216" t="s">
        <v>25</v>
      </c>
      <c r="D216">
        <v>0.3</v>
      </c>
      <c r="E216">
        <v>0</v>
      </c>
      <c r="F216">
        <v>1</v>
      </c>
    </row>
    <row r="217" spans="1:6" x14ac:dyDescent="0.25">
      <c r="A217" t="s">
        <v>4325</v>
      </c>
      <c r="B217" t="s">
        <v>25</v>
      </c>
      <c r="D217">
        <v>0.3</v>
      </c>
      <c r="E217">
        <v>0</v>
      </c>
      <c r="F217">
        <v>1</v>
      </c>
    </row>
    <row r="218" spans="1:6" x14ac:dyDescent="0.25">
      <c r="A218" t="s">
        <v>4328</v>
      </c>
      <c r="B218" t="s">
        <v>25</v>
      </c>
      <c r="D218">
        <v>0.3</v>
      </c>
      <c r="E218">
        <v>0</v>
      </c>
      <c r="F218">
        <v>1</v>
      </c>
    </row>
    <row r="219" spans="1:6" x14ac:dyDescent="0.25">
      <c r="A219" t="s">
        <v>4331</v>
      </c>
      <c r="B219" t="s">
        <v>25</v>
      </c>
      <c r="D219">
        <v>0.3</v>
      </c>
      <c r="E219">
        <v>0</v>
      </c>
      <c r="F219">
        <v>1</v>
      </c>
    </row>
    <row r="220" spans="1:6" x14ac:dyDescent="0.25">
      <c r="A220" t="s">
        <v>4334</v>
      </c>
      <c r="B220" t="s">
        <v>25</v>
      </c>
      <c r="D220">
        <v>0.3</v>
      </c>
      <c r="E220">
        <v>0</v>
      </c>
      <c r="F220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83F4-B8FF-4273-B8B2-C583377FF9C7}">
  <dimension ref="A1:T1081"/>
  <sheetViews>
    <sheetView zoomScale="97" workbookViewId="0">
      <selection activeCell="Q1084" sqref="Q1084"/>
    </sheetView>
  </sheetViews>
  <sheetFormatPr defaultRowHeight="15" x14ac:dyDescent="0.25"/>
  <cols>
    <col min="1" max="1" width="21.85546875" bestFit="1" customWidth="1"/>
    <col min="2" max="2" width="20.42578125" bestFit="1" customWidth="1"/>
    <col min="3" max="3" width="15.7109375" bestFit="1" customWidth="1"/>
    <col min="4" max="4" width="16" bestFit="1" customWidth="1"/>
    <col min="5" max="5" width="11.140625" bestFit="1" customWidth="1"/>
    <col min="6" max="7" width="20.42578125" bestFit="1" customWidth="1"/>
    <col min="8" max="8" width="31.42578125" bestFit="1" customWidth="1"/>
    <col min="9" max="9" width="30.140625" bestFit="1" customWidth="1"/>
    <col min="10" max="10" width="23.42578125" bestFit="1" customWidth="1"/>
    <col min="11" max="11" width="23.7109375" bestFit="1" customWidth="1"/>
    <col min="12" max="12" width="17.5703125" bestFit="1" customWidth="1"/>
    <col min="13" max="14" width="14" bestFit="1" customWidth="1"/>
    <col min="15" max="15" width="12.7109375" bestFit="1" customWidth="1"/>
    <col min="16" max="16" width="36.28515625" bestFit="1" customWidth="1"/>
    <col min="17" max="17" width="18.85546875" bestFit="1" customWidth="1"/>
    <col min="18" max="20" width="19.5703125" bestFit="1" customWidth="1"/>
  </cols>
  <sheetData>
    <row r="1" spans="1:2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3026</v>
      </c>
      <c r="J1" t="s">
        <v>3027</v>
      </c>
      <c r="K1" t="s">
        <v>3028</v>
      </c>
      <c r="L1" t="s">
        <v>4974</v>
      </c>
      <c r="M1" t="s">
        <v>3029</v>
      </c>
      <c r="N1" t="s">
        <v>3030</v>
      </c>
      <c r="O1" t="s">
        <v>4975</v>
      </c>
      <c r="P1" t="s">
        <v>3031</v>
      </c>
      <c r="Q1" t="s">
        <v>3032</v>
      </c>
      <c r="R1" t="s">
        <v>4976</v>
      </c>
      <c r="S1" t="s">
        <v>4989</v>
      </c>
      <c r="T1" t="s">
        <v>4990</v>
      </c>
    </row>
    <row r="2" spans="1:20" x14ac:dyDescent="0.25">
      <c r="A2" t="s">
        <v>17</v>
      </c>
      <c r="B2" t="s">
        <v>18</v>
      </c>
      <c r="C2" s="1">
        <v>46023.331759259258</v>
      </c>
      <c r="D2">
        <v>1278.74</v>
      </c>
      <c r="E2" t="s">
        <v>19</v>
      </c>
      <c r="F2" t="s">
        <v>20</v>
      </c>
      <c r="G2" t="s">
        <v>21</v>
      </c>
      <c r="H2" t="s">
        <v>22</v>
      </c>
      <c r="I2" t="s">
        <v>3033</v>
      </c>
      <c r="J2" t="s">
        <v>3034</v>
      </c>
      <c r="K2" s="1">
        <v>46023.338703703703</v>
      </c>
      <c r="L2">
        <v>1278.74</v>
      </c>
      <c r="M2">
        <v>37.380000000000003</v>
      </c>
      <c r="N2">
        <v>1241.3599999999999</v>
      </c>
      <c r="O2" t="s">
        <v>19</v>
      </c>
      <c r="P2" t="s">
        <v>3035</v>
      </c>
      <c r="Q2" t="s">
        <v>3036</v>
      </c>
      <c r="R2" t="s">
        <v>4977</v>
      </c>
      <c r="S2" t="s">
        <v>4992</v>
      </c>
      <c r="T2" t="s">
        <v>4992</v>
      </c>
    </row>
    <row r="3" spans="1:20" x14ac:dyDescent="0.25">
      <c r="A3" t="s">
        <v>23</v>
      </c>
      <c r="B3" t="s">
        <v>24</v>
      </c>
      <c r="C3" s="1">
        <v>46024.443518518521</v>
      </c>
      <c r="D3">
        <v>959.03</v>
      </c>
      <c r="E3" t="s">
        <v>25</v>
      </c>
      <c r="F3" t="s">
        <v>20</v>
      </c>
      <c r="G3" t="s">
        <v>26</v>
      </c>
      <c r="H3" t="s">
        <v>27</v>
      </c>
      <c r="I3" t="s">
        <v>3037</v>
      </c>
      <c r="J3" t="s">
        <v>3034</v>
      </c>
      <c r="K3" s="1">
        <v>46024.450462962966</v>
      </c>
      <c r="L3">
        <v>959.03</v>
      </c>
      <c r="M3">
        <v>28.11</v>
      </c>
      <c r="N3">
        <v>930.92</v>
      </c>
      <c r="O3" t="s">
        <v>25</v>
      </c>
      <c r="P3" t="s">
        <v>3038</v>
      </c>
      <c r="Q3" t="s">
        <v>3036</v>
      </c>
      <c r="R3" t="s">
        <v>4977</v>
      </c>
      <c r="S3" t="s">
        <v>4992</v>
      </c>
      <c r="T3" t="s">
        <v>4992</v>
      </c>
    </row>
    <row r="4" spans="1:20" x14ac:dyDescent="0.25">
      <c r="A4" t="s">
        <v>28</v>
      </c>
      <c r="B4" t="s">
        <v>29</v>
      </c>
      <c r="C4" s="1">
        <v>46025.52416666667</v>
      </c>
      <c r="D4">
        <v>1304.44</v>
      </c>
      <c r="E4" t="s">
        <v>25</v>
      </c>
      <c r="F4" t="s">
        <v>20</v>
      </c>
      <c r="G4" t="s">
        <v>30</v>
      </c>
      <c r="H4" t="s">
        <v>31</v>
      </c>
      <c r="I4" t="s">
        <v>3039</v>
      </c>
      <c r="J4" t="s">
        <v>3034</v>
      </c>
      <c r="K4" s="1">
        <v>46025.531111111108</v>
      </c>
      <c r="L4">
        <v>1304.44</v>
      </c>
      <c r="M4">
        <v>38.130000000000003</v>
      </c>
      <c r="N4">
        <v>1266.31</v>
      </c>
      <c r="O4" t="s">
        <v>25</v>
      </c>
      <c r="P4" t="s">
        <v>3040</v>
      </c>
      <c r="Q4" t="s">
        <v>3036</v>
      </c>
      <c r="R4" t="s">
        <v>4977</v>
      </c>
      <c r="S4" t="s">
        <v>4992</v>
      </c>
      <c r="T4" t="s">
        <v>4992</v>
      </c>
    </row>
    <row r="5" spans="1:20" x14ac:dyDescent="0.25">
      <c r="A5" t="s">
        <v>32</v>
      </c>
      <c r="B5" t="s">
        <v>33</v>
      </c>
      <c r="C5" s="1">
        <v>46026.604513888888</v>
      </c>
      <c r="D5">
        <v>1506.47</v>
      </c>
      <c r="E5" t="s">
        <v>25</v>
      </c>
      <c r="F5" t="s">
        <v>20</v>
      </c>
      <c r="G5" t="s">
        <v>21</v>
      </c>
      <c r="H5" t="s">
        <v>34</v>
      </c>
      <c r="I5" t="s">
        <v>3041</v>
      </c>
      <c r="J5" t="s">
        <v>3034</v>
      </c>
      <c r="K5" s="1">
        <v>46026.611458333333</v>
      </c>
      <c r="L5">
        <v>1506.47</v>
      </c>
      <c r="M5">
        <v>43.99</v>
      </c>
      <c r="N5">
        <v>1462.48</v>
      </c>
      <c r="O5" t="s">
        <v>25</v>
      </c>
      <c r="P5" t="s">
        <v>3042</v>
      </c>
      <c r="Q5" t="s">
        <v>3036</v>
      </c>
      <c r="R5" t="s">
        <v>4977</v>
      </c>
      <c r="S5" t="s">
        <v>4992</v>
      </c>
      <c r="T5" t="s">
        <v>4992</v>
      </c>
    </row>
    <row r="6" spans="1:20" x14ac:dyDescent="0.25">
      <c r="A6" t="s">
        <v>35</v>
      </c>
      <c r="B6" t="s">
        <v>36</v>
      </c>
      <c r="C6" s="1">
        <v>46027.693078703705</v>
      </c>
      <c r="D6">
        <v>2052.98</v>
      </c>
      <c r="E6" t="s">
        <v>25</v>
      </c>
      <c r="F6" t="s">
        <v>20</v>
      </c>
      <c r="G6" t="s">
        <v>26</v>
      </c>
      <c r="H6" t="s">
        <v>37</v>
      </c>
      <c r="I6" t="s">
        <v>3043</v>
      </c>
      <c r="J6" t="s">
        <v>3034</v>
      </c>
      <c r="K6" s="1">
        <v>46027.700023148151</v>
      </c>
      <c r="L6">
        <v>2052.98</v>
      </c>
      <c r="M6">
        <v>59.84</v>
      </c>
      <c r="N6">
        <v>1993.14</v>
      </c>
      <c r="O6" t="s">
        <v>25</v>
      </c>
      <c r="P6" t="s">
        <v>3044</v>
      </c>
      <c r="Q6" t="s">
        <v>3036</v>
      </c>
      <c r="R6" t="s">
        <v>4977</v>
      </c>
      <c r="S6" t="s">
        <v>4992</v>
      </c>
      <c r="T6" t="s">
        <v>4992</v>
      </c>
    </row>
    <row r="7" spans="1:20" x14ac:dyDescent="0.25">
      <c r="A7" t="s">
        <v>38</v>
      </c>
      <c r="B7" t="s">
        <v>39</v>
      </c>
      <c r="C7" s="1">
        <v>46028.814085648148</v>
      </c>
      <c r="D7">
        <v>2487.4299999999998</v>
      </c>
      <c r="E7" t="s">
        <v>25</v>
      </c>
      <c r="F7" t="s">
        <v>20</v>
      </c>
      <c r="G7" t="s">
        <v>30</v>
      </c>
      <c r="H7" t="s">
        <v>40</v>
      </c>
      <c r="I7" t="s">
        <v>3045</v>
      </c>
      <c r="J7" t="s">
        <v>3034</v>
      </c>
      <c r="K7" s="1">
        <v>46028.821030092593</v>
      </c>
      <c r="L7">
        <v>2487.4299999999998</v>
      </c>
      <c r="M7">
        <v>72.44</v>
      </c>
      <c r="N7">
        <v>2414.9899999999998</v>
      </c>
      <c r="O7" t="s">
        <v>25</v>
      </c>
      <c r="P7" t="s">
        <v>3046</v>
      </c>
      <c r="Q7" t="s">
        <v>3036</v>
      </c>
      <c r="R7" t="s">
        <v>4977</v>
      </c>
      <c r="S7" t="s">
        <v>4992</v>
      </c>
      <c r="T7" t="s">
        <v>4992</v>
      </c>
    </row>
    <row r="8" spans="1:20" x14ac:dyDescent="0.25">
      <c r="A8" t="s">
        <v>41</v>
      </c>
      <c r="B8" t="s">
        <v>42</v>
      </c>
      <c r="C8" s="1">
        <v>46029.87939814815</v>
      </c>
      <c r="D8">
        <v>765.03</v>
      </c>
      <c r="E8" t="s">
        <v>25</v>
      </c>
      <c r="F8" t="s">
        <v>20</v>
      </c>
      <c r="G8" t="s">
        <v>21</v>
      </c>
      <c r="H8" t="s">
        <v>43</v>
      </c>
      <c r="I8" t="s">
        <v>3047</v>
      </c>
      <c r="J8" t="s">
        <v>3034</v>
      </c>
      <c r="K8" s="1">
        <v>46029.886342592596</v>
      </c>
      <c r="L8">
        <v>765.03</v>
      </c>
      <c r="M8">
        <v>22.49</v>
      </c>
      <c r="N8">
        <v>742.54</v>
      </c>
      <c r="O8" t="s">
        <v>25</v>
      </c>
      <c r="P8" t="s">
        <v>3048</v>
      </c>
      <c r="Q8" t="s">
        <v>3036</v>
      </c>
      <c r="R8" t="s">
        <v>4977</v>
      </c>
      <c r="S8" t="s">
        <v>4992</v>
      </c>
      <c r="T8" t="s">
        <v>4992</v>
      </c>
    </row>
    <row r="9" spans="1:20" x14ac:dyDescent="0.25">
      <c r="A9" t="s">
        <v>44</v>
      </c>
      <c r="B9" t="s">
        <v>45</v>
      </c>
      <c r="C9" s="1">
        <v>46030.993252314816</v>
      </c>
      <c r="D9">
        <v>2425.3200000000002</v>
      </c>
      <c r="E9" t="s">
        <v>25</v>
      </c>
      <c r="F9" t="s">
        <v>20</v>
      </c>
      <c r="G9" t="s">
        <v>26</v>
      </c>
      <c r="H9" t="s">
        <v>46</v>
      </c>
      <c r="I9" t="s">
        <v>3049</v>
      </c>
      <c r="J9" t="s">
        <v>3034</v>
      </c>
      <c r="K9" s="1">
        <v>46031.000196759262</v>
      </c>
      <c r="L9">
        <v>2425.3200000000002</v>
      </c>
      <c r="M9">
        <v>70.63</v>
      </c>
      <c r="N9">
        <v>2354.69</v>
      </c>
      <c r="O9" t="s">
        <v>25</v>
      </c>
      <c r="P9" t="s">
        <v>3050</v>
      </c>
      <c r="Q9" t="s">
        <v>3036</v>
      </c>
      <c r="R9" t="s">
        <v>4977</v>
      </c>
      <c r="S9" t="s">
        <v>4992</v>
      </c>
      <c r="T9" t="s">
        <v>4992</v>
      </c>
    </row>
    <row r="10" spans="1:20" x14ac:dyDescent="0.25">
      <c r="A10" t="s">
        <v>47</v>
      </c>
      <c r="B10" t="s">
        <v>48</v>
      </c>
      <c r="C10" s="1">
        <v>46032.086817129632</v>
      </c>
      <c r="D10">
        <v>335.41</v>
      </c>
      <c r="E10" t="s">
        <v>25</v>
      </c>
      <c r="F10" t="s">
        <v>20</v>
      </c>
      <c r="G10" t="s">
        <v>30</v>
      </c>
      <c r="H10" t="s">
        <v>49</v>
      </c>
      <c r="I10" t="s">
        <v>3051</v>
      </c>
      <c r="J10" t="s">
        <v>3034</v>
      </c>
      <c r="K10" s="1">
        <v>46032.093761574077</v>
      </c>
      <c r="L10">
        <v>335.41</v>
      </c>
      <c r="M10">
        <v>10.029999999999999</v>
      </c>
      <c r="N10">
        <v>325.38</v>
      </c>
      <c r="O10" t="s">
        <v>25</v>
      </c>
      <c r="P10" t="s">
        <v>3052</v>
      </c>
      <c r="Q10" t="s">
        <v>3036</v>
      </c>
      <c r="R10" t="s">
        <v>4977</v>
      </c>
      <c r="S10" t="s">
        <v>4992</v>
      </c>
      <c r="T10" t="s">
        <v>4992</v>
      </c>
    </row>
    <row r="11" spans="1:20" x14ac:dyDescent="0.25">
      <c r="A11" t="s">
        <v>50</v>
      </c>
      <c r="B11" t="s">
        <v>51</v>
      </c>
      <c r="C11" s="1">
        <v>46033.172384259262</v>
      </c>
      <c r="D11">
        <v>2485.5</v>
      </c>
      <c r="E11" t="s">
        <v>52</v>
      </c>
      <c r="F11" t="s">
        <v>20</v>
      </c>
      <c r="G11" t="s">
        <v>21</v>
      </c>
      <c r="H11" t="s">
        <v>53</v>
      </c>
      <c r="I11" t="s">
        <v>3053</v>
      </c>
      <c r="J11" t="s">
        <v>3034</v>
      </c>
      <c r="K11" s="1">
        <v>46033.179328703707</v>
      </c>
      <c r="L11">
        <v>2485.5</v>
      </c>
      <c r="M11">
        <v>72.38</v>
      </c>
      <c r="N11">
        <v>2413.12</v>
      </c>
      <c r="O11" t="s">
        <v>52</v>
      </c>
      <c r="P11" t="s">
        <v>3054</v>
      </c>
      <c r="Q11" t="s">
        <v>3036</v>
      </c>
      <c r="R11" t="s">
        <v>4977</v>
      </c>
      <c r="S11" t="s">
        <v>4992</v>
      </c>
      <c r="T11" t="s">
        <v>4992</v>
      </c>
    </row>
    <row r="12" spans="1:20" x14ac:dyDescent="0.25">
      <c r="A12" t="s">
        <v>54</v>
      </c>
      <c r="B12" t="s">
        <v>55</v>
      </c>
      <c r="C12" s="1">
        <v>46033.263067129628</v>
      </c>
      <c r="D12">
        <v>2445.44</v>
      </c>
      <c r="E12" t="s">
        <v>19</v>
      </c>
      <c r="F12" t="s">
        <v>20</v>
      </c>
      <c r="G12" t="s">
        <v>26</v>
      </c>
      <c r="H12" t="s">
        <v>56</v>
      </c>
      <c r="I12" t="s">
        <v>3055</v>
      </c>
      <c r="J12" t="s">
        <v>3034</v>
      </c>
      <c r="K12" s="1">
        <v>46033.270011574074</v>
      </c>
      <c r="L12">
        <v>2445.44</v>
      </c>
      <c r="M12">
        <v>71.22</v>
      </c>
      <c r="N12">
        <v>2374.2199999999998</v>
      </c>
      <c r="O12" t="s">
        <v>19</v>
      </c>
      <c r="P12" t="s">
        <v>3056</v>
      </c>
      <c r="Q12" t="s">
        <v>3036</v>
      </c>
      <c r="R12" t="s">
        <v>4977</v>
      </c>
      <c r="S12" t="s">
        <v>4992</v>
      </c>
      <c r="T12" t="s">
        <v>4992</v>
      </c>
    </row>
    <row r="13" spans="1:20" x14ac:dyDescent="0.25">
      <c r="A13" t="s">
        <v>57</v>
      </c>
      <c r="B13" t="s">
        <v>58</v>
      </c>
      <c r="C13" s="1">
        <v>46034.359861111108</v>
      </c>
      <c r="D13">
        <v>2081.4299999999998</v>
      </c>
      <c r="E13" t="s">
        <v>25</v>
      </c>
      <c r="F13" t="s">
        <v>20</v>
      </c>
      <c r="G13" t="s">
        <v>30</v>
      </c>
      <c r="H13" t="s">
        <v>59</v>
      </c>
      <c r="I13" t="s">
        <v>3057</v>
      </c>
      <c r="J13" t="s">
        <v>3034</v>
      </c>
      <c r="K13" s="1">
        <v>46034.366805555554</v>
      </c>
      <c r="L13">
        <v>2081.4299999999998</v>
      </c>
      <c r="M13">
        <v>61.03</v>
      </c>
      <c r="N13">
        <v>2020.4</v>
      </c>
      <c r="O13" t="s">
        <v>25</v>
      </c>
      <c r="P13" t="s">
        <v>3058</v>
      </c>
      <c r="Q13" t="s">
        <v>3036</v>
      </c>
      <c r="R13" t="s">
        <v>4977</v>
      </c>
      <c r="S13" t="s">
        <v>4992</v>
      </c>
      <c r="T13" t="s">
        <v>4992</v>
      </c>
    </row>
    <row r="14" spans="1:20" x14ac:dyDescent="0.25">
      <c r="A14" t="s">
        <v>60</v>
      </c>
      <c r="B14" t="s">
        <v>61</v>
      </c>
      <c r="C14" s="1">
        <v>46035.434479166666</v>
      </c>
      <c r="D14">
        <v>913.23</v>
      </c>
      <c r="E14" t="s">
        <v>25</v>
      </c>
      <c r="F14" t="s">
        <v>20</v>
      </c>
      <c r="G14" t="s">
        <v>21</v>
      </c>
      <c r="H14" t="s">
        <v>62</v>
      </c>
      <c r="I14" t="s">
        <v>3059</v>
      </c>
      <c r="J14" t="s">
        <v>3034</v>
      </c>
      <c r="K14" s="1">
        <v>46035.441423611112</v>
      </c>
      <c r="L14">
        <v>913.23</v>
      </c>
      <c r="M14">
        <v>26.78</v>
      </c>
      <c r="N14">
        <v>886.45</v>
      </c>
      <c r="O14" t="s">
        <v>25</v>
      </c>
      <c r="P14" t="s">
        <v>3060</v>
      </c>
      <c r="Q14" t="s">
        <v>3036</v>
      </c>
      <c r="R14" t="s">
        <v>4977</v>
      </c>
      <c r="S14" t="s">
        <v>4992</v>
      </c>
      <c r="T14" t="s">
        <v>4992</v>
      </c>
    </row>
    <row r="15" spans="1:20" x14ac:dyDescent="0.25">
      <c r="A15" t="s">
        <v>63</v>
      </c>
      <c r="B15" t="s">
        <v>64</v>
      </c>
      <c r="C15" s="1">
        <v>46036.518067129633</v>
      </c>
      <c r="D15">
        <v>337.01</v>
      </c>
      <c r="E15" t="s">
        <v>25</v>
      </c>
      <c r="F15" t="s">
        <v>20</v>
      </c>
      <c r="G15" t="s">
        <v>26</v>
      </c>
      <c r="H15" t="s">
        <v>65</v>
      </c>
      <c r="I15" t="s">
        <v>3061</v>
      </c>
      <c r="J15" t="s">
        <v>3034</v>
      </c>
      <c r="K15" s="1">
        <v>46036.525011574071</v>
      </c>
      <c r="L15">
        <v>337.01</v>
      </c>
      <c r="M15">
        <v>10.07</v>
      </c>
      <c r="N15">
        <v>326.94</v>
      </c>
      <c r="O15" t="s">
        <v>25</v>
      </c>
      <c r="P15" t="s">
        <v>3062</v>
      </c>
      <c r="Q15" t="s">
        <v>3036</v>
      </c>
      <c r="R15" t="s">
        <v>4977</v>
      </c>
      <c r="S15" t="s">
        <v>4992</v>
      </c>
      <c r="T15" t="s">
        <v>4992</v>
      </c>
    </row>
    <row r="16" spans="1:20" x14ac:dyDescent="0.25">
      <c r="A16" t="s">
        <v>66</v>
      </c>
      <c r="B16" t="s">
        <v>67</v>
      </c>
      <c r="C16" s="1">
        <v>46023.630671296298</v>
      </c>
      <c r="D16">
        <v>2300.7199999999998</v>
      </c>
      <c r="E16" t="s">
        <v>25</v>
      </c>
      <c r="F16" t="s">
        <v>20</v>
      </c>
      <c r="G16" t="s">
        <v>30</v>
      </c>
      <c r="H16" t="s">
        <v>68</v>
      </c>
      <c r="I16" t="s">
        <v>3063</v>
      </c>
      <c r="J16" t="s">
        <v>3034</v>
      </c>
      <c r="K16" s="1">
        <v>46023.637615740743</v>
      </c>
      <c r="L16">
        <v>2300.7199999999998</v>
      </c>
      <c r="M16">
        <v>67.02</v>
      </c>
      <c r="N16">
        <v>2233.6999999999998</v>
      </c>
      <c r="O16" t="s">
        <v>25</v>
      </c>
      <c r="P16" t="s">
        <v>3064</v>
      </c>
      <c r="Q16" t="s">
        <v>3036</v>
      </c>
      <c r="R16" t="s">
        <v>4977</v>
      </c>
      <c r="S16" t="s">
        <v>4992</v>
      </c>
      <c r="T16" t="s">
        <v>4992</v>
      </c>
    </row>
    <row r="17" spans="1:20" x14ac:dyDescent="0.25">
      <c r="A17" t="s">
        <v>72</v>
      </c>
      <c r="B17" t="s">
        <v>73</v>
      </c>
      <c r="C17" s="1">
        <v>46025.792847222219</v>
      </c>
      <c r="D17">
        <v>761.14</v>
      </c>
      <c r="E17" t="s">
        <v>25</v>
      </c>
      <c r="F17" t="s">
        <v>20</v>
      </c>
      <c r="G17" t="s">
        <v>26</v>
      </c>
      <c r="H17" t="s">
        <v>74</v>
      </c>
      <c r="I17" t="s">
        <v>3065</v>
      </c>
      <c r="J17" t="s">
        <v>3034</v>
      </c>
      <c r="K17" s="1">
        <v>46025.799791666665</v>
      </c>
      <c r="L17">
        <v>761.14</v>
      </c>
      <c r="M17">
        <v>22.37</v>
      </c>
      <c r="N17">
        <v>738.77</v>
      </c>
      <c r="O17" t="s">
        <v>25</v>
      </c>
      <c r="P17" t="s">
        <v>3040</v>
      </c>
      <c r="Q17" t="s">
        <v>3036</v>
      </c>
      <c r="R17" t="s">
        <v>4977</v>
      </c>
      <c r="S17" t="s">
        <v>4992</v>
      </c>
      <c r="T17" t="s">
        <v>4992</v>
      </c>
    </row>
    <row r="18" spans="1:20" x14ac:dyDescent="0.25">
      <c r="A18" t="s">
        <v>75</v>
      </c>
      <c r="B18" t="s">
        <v>76</v>
      </c>
      <c r="C18" s="1">
        <v>46026.91878472222</v>
      </c>
      <c r="D18">
        <v>1163.21</v>
      </c>
      <c r="E18" t="s">
        <v>25</v>
      </c>
      <c r="F18" t="s">
        <v>20</v>
      </c>
      <c r="G18" t="s">
        <v>30</v>
      </c>
      <c r="H18" t="s">
        <v>77</v>
      </c>
      <c r="I18" t="s">
        <v>3066</v>
      </c>
      <c r="J18" t="s">
        <v>3034</v>
      </c>
      <c r="K18" s="1">
        <v>46026.925729166665</v>
      </c>
      <c r="L18">
        <v>1163.21</v>
      </c>
      <c r="M18">
        <v>34.03</v>
      </c>
      <c r="N18">
        <v>1129.18</v>
      </c>
      <c r="O18" t="s">
        <v>25</v>
      </c>
      <c r="P18" t="s">
        <v>3042</v>
      </c>
      <c r="Q18" t="s">
        <v>3036</v>
      </c>
      <c r="R18" t="s">
        <v>4977</v>
      </c>
      <c r="S18" t="s">
        <v>4992</v>
      </c>
      <c r="T18" t="s">
        <v>4992</v>
      </c>
    </row>
    <row r="19" spans="1:20" x14ac:dyDescent="0.25">
      <c r="A19" t="s">
        <v>78</v>
      </c>
      <c r="B19" t="s">
        <v>79</v>
      </c>
      <c r="C19" s="1">
        <v>46028.008761574078</v>
      </c>
      <c r="D19">
        <v>1073.8</v>
      </c>
      <c r="E19" t="s">
        <v>25</v>
      </c>
      <c r="F19" t="s">
        <v>20</v>
      </c>
      <c r="G19" t="s">
        <v>21</v>
      </c>
      <c r="H19" t="s">
        <v>80</v>
      </c>
      <c r="I19" t="s">
        <v>3067</v>
      </c>
      <c r="J19" t="s">
        <v>3034</v>
      </c>
      <c r="K19" s="1">
        <v>46028.015706018516</v>
      </c>
      <c r="L19">
        <v>1073.8</v>
      </c>
      <c r="M19">
        <v>31.44</v>
      </c>
      <c r="N19">
        <v>1042.3599999999999</v>
      </c>
      <c r="O19" t="s">
        <v>25</v>
      </c>
      <c r="P19" t="s">
        <v>3068</v>
      </c>
      <c r="Q19" t="s">
        <v>3036</v>
      </c>
      <c r="R19" t="s">
        <v>4977</v>
      </c>
      <c r="S19" t="s">
        <v>4992</v>
      </c>
      <c r="T19" t="s">
        <v>4992</v>
      </c>
    </row>
    <row r="20" spans="1:20" x14ac:dyDescent="0.25">
      <c r="A20" t="s">
        <v>81</v>
      </c>
      <c r="B20" t="s">
        <v>82</v>
      </c>
      <c r="C20" s="1">
        <v>46029.076180555552</v>
      </c>
      <c r="D20">
        <v>48.73</v>
      </c>
      <c r="E20" t="s">
        <v>52</v>
      </c>
      <c r="F20" t="s">
        <v>20</v>
      </c>
      <c r="G20" t="s">
        <v>26</v>
      </c>
      <c r="H20" t="s">
        <v>83</v>
      </c>
      <c r="I20" t="s">
        <v>3069</v>
      </c>
      <c r="J20" t="s">
        <v>3034</v>
      </c>
      <c r="K20" s="1">
        <v>46029.083124999997</v>
      </c>
      <c r="L20">
        <v>48.73</v>
      </c>
      <c r="M20">
        <v>1.71</v>
      </c>
      <c r="N20">
        <v>47.02</v>
      </c>
      <c r="O20" t="s">
        <v>52</v>
      </c>
      <c r="P20" t="s">
        <v>3070</v>
      </c>
      <c r="Q20" t="s">
        <v>3036</v>
      </c>
      <c r="R20" t="s">
        <v>4977</v>
      </c>
      <c r="S20" t="s">
        <v>4992</v>
      </c>
      <c r="T20" t="s">
        <v>4992</v>
      </c>
    </row>
    <row r="21" spans="1:20" x14ac:dyDescent="0.25">
      <c r="A21" t="s">
        <v>84</v>
      </c>
      <c r="B21" t="s">
        <v>85</v>
      </c>
      <c r="C21" s="1">
        <v>46030.16165509259</v>
      </c>
      <c r="D21">
        <v>729.25</v>
      </c>
      <c r="E21" t="s">
        <v>19</v>
      </c>
      <c r="F21" t="s">
        <v>20</v>
      </c>
      <c r="G21" t="s">
        <v>30</v>
      </c>
      <c r="H21" t="s">
        <v>86</v>
      </c>
      <c r="I21" t="s">
        <v>3071</v>
      </c>
      <c r="J21" t="s">
        <v>3034</v>
      </c>
      <c r="K21" s="1">
        <v>46030.168599537035</v>
      </c>
      <c r="L21">
        <v>729.25</v>
      </c>
      <c r="M21">
        <v>21.45</v>
      </c>
      <c r="N21">
        <v>707.8</v>
      </c>
      <c r="O21" t="s">
        <v>19</v>
      </c>
      <c r="P21" t="s">
        <v>3072</v>
      </c>
      <c r="Q21" t="s">
        <v>3036</v>
      </c>
      <c r="R21" t="s">
        <v>4977</v>
      </c>
      <c r="S21" t="s">
        <v>4992</v>
      </c>
      <c r="T21" t="s">
        <v>4992</v>
      </c>
    </row>
    <row r="22" spans="1:20" x14ac:dyDescent="0.25">
      <c r="A22" t="s">
        <v>87</v>
      </c>
      <c r="B22" t="s">
        <v>88</v>
      </c>
      <c r="C22" s="1">
        <v>46030.24863425926</v>
      </c>
      <c r="D22">
        <v>1387.06</v>
      </c>
      <c r="E22" t="s">
        <v>25</v>
      </c>
      <c r="F22" t="s">
        <v>20</v>
      </c>
      <c r="G22" t="s">
        <v>21</v>
      </c>
      <c r="H22" t="s">
        <v>89</v>
      </c>
      <c r="I22" t="s">
        <v>3073</v>
      </c>
      <c r="J22" t="s">
        <v>3034</v>
      </c>
      <c r="K22" s="1">
        <v>46030.255578703705</v>
      </c>
      <c r="L22">
        <v>1387.06</v>
      </c>
      <c r="M22">
        <v>40.520000000000003</v>
      </c>
      <c r="N22">
        <v>1346.54</v>
      </c>
      <c r="O22" t="s">
        <v>25</v>
      </c>
      <c r="P22" t="s">
        <v>3050</v>
      </c>
      <c r="Q22" t="s">
        <v>3036</v>
      </c>
      <c r="R22" t="s">
        <v>4977</v>
      </c>
      <c r="S22" t="s">
        <v>4992</v>
      </c>
      <c r="T22" t="s">
        <v>4992</v>
      </c>
    </row>
    <row r="23" spans="1:20" x14ac:dyDescent="0.25">
      <c r="A23" t="s">
        <v>90</v>
      </c>
      <c r="B23" t="s">
        <v>91</v>
      </c>
      <c r="C23" s="1">
        <v>46031.340995370374</v>
      </c>
      <c r="D23">
        <v>1437.16</v>
      </c>
      <c r="E23" t="s">
        <v>25</v>
      </c>
      <c r="F23" t="s">
        <v>92</v>
      </c>
      <c r="G23" t="s">
        <v>26</v>
      </c>
      <c r="H23" t="s">
        <v>93</v>
      </c>
      <c r="I23" t="s">
        <v>3074</v>
      </c>
      <c r="J23" t="s">
        <v>3034</v>
      </c>
      <c r="K23" s="1">
        <v>46031.347939814812</v>
      </c>
      <c r="L23">
        <v>1437.16</v>
      </c>
      <c r="M23">
        <v>41.98</v>
      </c>
      <c r="N23">
        <v>1395.18</v>
      </c>
      <c r="O23" t="s">
        <v>25</v>
      </c>
      <c r="P23" t="s">
        <v>3052</v>
      </c>
      <c r="Q23" t="s">
        <v>3036</v>
      </c>
      <c r="R23" t="s">
        <v>4977</v>
      </c>
      <c r="S23" t="s">
        <v>4992</v>
      </c>
      <c r="T23" t="s">
        <v>4992</v>
      </c>
    </row>
    <row r="24" spans="1:20" x14ac:dyDescent="0.25">
      <c r="A24" t="s">
        <v>90</v>
      </c>
      <c r="B24" t="s">
        <v>91</v>
      </c>
      <c r="C24" s="1">
        <v>46031.340995370374</v>
      </c>
      <c r="D24">
        <v>1437.16</v>
      </c>
      <c r="E24" t="s">
        <v>25</v>
      </c>
      <c r="F24" t="s">
        <v>92</v>
      </c>
      <c r="G24" t="s">
        <v>26</v>
      </c>
      <c r="H24" t="s">
        <v>93</v>
      </c>
      <c r="I24" t="s">
        <v>3075</v>
      </c>
      <c r="J24" t="s">
        <v>3076</v>
      </c>
      <c r="K24" s="1">
        <v>46032.340995370374</v>
      </c>
      <c r="L24">
        <v>-718.58</v>
      </c>
      <c r="M24">
        <v>0</v>
      </c>
      <c r="N24">
        <v>-718.58</v>
      </c>
      <c r="O24" t="s">
        <v>25</v>
      </c>
      <c r="P24" t="s">
        <v>3077</v>
      </c>
      <c r="Q24" t="s">
        <v>3036</v>
      </c>
      <c r="R24" t="s">
        <v>4977</v>
      </c>
      <c r="S24" t="s">
        <v>4991</v>
      </c>
      <c r="T24" t="s">
        <v>4992</v>
      </c>
    </row>
    <row r="25" spans="1:20" x14ac:dyDescent="0.25">
      <c r="A25" t="s">
        <v>94</v>
      </c>
      <c r="B25" t="s">
        <v>95</v>
      </c>
      <c r="C25" s="1">
        <v>46032.456979166665</v>
      </c>
      <c r="D25">
        <v>1268.9000000000001</v>
      </c>
      <c r="E25" t="s">
        <v>25</v>
      </c>
      <c r="F25" t="s">
        <v>20</v>
      </c>
      <c r="G25" t="s">
        <v>30</v>
      </c>
      <c r="H25" t="s">
        <v>96</v>
      </c>
      <c r="I25" t="s">
        <v>3078</v>
      </c>
      <c r="J25" t="s">
        <v>3034</v>
      </c>
      <c r="K25" s="1">
        <v>46032.463923611111</v>
      </c>
      <c r="L25">
        <v>1268.9000000000001</v>
      </c>
      <c r="M25">
        <v>37.1</v>
      </c>
      <c r="N25">
        <v>1231.8</v>
      </c>
      <c r="O25" t="s">
        <v>25</v>
      </c>
      <c r="P25" t="s">
        <v>3079</v>
      </c>
      <c r="Q25" t="s">
        <v>3036</v>
      </c>
      <c r="R25" t="s">
        <v>4977</v>
      </c>
      <c r="S25" t="s">
        <v>4992</v>
      </c>
      <c r="T25" t="s">
        <v>4992</v>
      </c>
    </row>
    <row r="26" spans="1:20" x14ac:dyDescent="0.25">
      <c r="A26" t="s">
        <v>97</v>
      </c>
      <c r="B26" t="s">
        <v>98</v>
      </c>
      <c r="C26" s="1">
        <v>46033.536365740743</v>
      </c>
      <c r="D26">
        <v>1602.31</v>
      </c>
      <c r="E26" t="s">
        <v>25</v>
      </c>
      <c r="F26" t="s">
        <v>20</v>
      </c>
      <c r="G26" t="s">
        <v>21</v>
      </c>
      <c r="H26" t="s">
        <v>99</v>
      </c>
      <c r="I26" t="s">
        <v>3080</v>
      </c>
      <c r="J26" t="s">
        <v>3034</v>
      </c>
      <c r="K26" s="1">
        <v>46033.543310185189</v>
      </c>
      <c r="L26">
        <v>1602.31</v>
      </c>
      <c r="M26">
        <v>46.77</v>
      </c>
      <c r="N26">
        <v>1555.54</v>
      </c>
      <c r="O26" t="s">
        <v>25</v>
      </c>
      <c r="P26" t="s">
        <v>3081</v>
      </c>
      <c r="Q26" t="s">
        <v>3036</v>
      </c>
      <c r="R26" t="s">
        <v>4977</v>
      </c>
      <c r="S26" t="s">
        <v>4992</v>
      </c>
      <c r="T26" t="s">
        <v>4992</v>
      </c>
    </row>
    <row r="27" spans="1:20" x14ac:dyDescent="0.25">
      <c r="A27" t="s">
        <v>100</v>
      </c>
      <c r="B27" t="s">
        <v>101</v>
      </c>
      <c r="C27" s="1">
        <v>46034.634467592594</v>
      </c>
      <c r="D27">
        <v>2124.09</v>
      </c>
      <c r="E27" t="s">
        <v>25</v>
      </c>
      <c r="F27" t="s">
        <v>20</v>
      </c>
      <c r="G27" t="s">
        <v>26</v>
      </c>
      <c r="H27" t="s">
        <v>102</v>
      </c>
      <c r="I27" t="s">
        <v>3082</v>
      </c>
      <c r="J27" t="s">
        <v>3034</v>
      </c>
      <c r="K27" s="1">
        <v>46034.641412037039</v>
      </c>
      <c r="L27">
        <v>2124.09</v>
      </c>
      <c r="M27">
        <v>61.9</v>
      </c>
      <c r="N27">
        <v>2062.19</v>
      </c>
      <c r="O27" t="s">
        <v>25</v>
      </c>
      <c r="P27" t="s">
        <v>3058</v>
      </c>
      <c r="Q27" t="s">
        <v>3036</v>
      </c>
      <c r="R27" t="s">
        <v>4977</v>
      </c>
      <c r="S27" t="s">
        <v>4992</v>
      </c>
      <c r="T27" t="s">
        <v>4992</v>
      </c>
    </row>
    <row r="28" spans="1:20" x14ac:dyDescent="0.25">
      <c r="A28" t="s">
        <v>103</v>
      </c>
      <c r="B28" t="s">
        <v>104</v>
      </c>
      <c r="C28" s="1">
        <v>46035.718819444446</v>
      </c>
      <c r="D28">
        <v>2255.6799999999998</v>
      </c>
      <c r="E28" t="s">
        <v>25</v>
      </c>
      <c r="F28" t="s">
        <v>20</v>
      </c>
      <c r="G28" t="s">
        <v>30</v>
      </c>
      <c r="H28" t="s">
        <v>105</v>
      </c>
      <c r="I28" t="s">
        <v>3083</v>
      </c>
      <c r="J28" t="s">
        <v>3034</v>
      </c>
      <c r="K28" s="1">
        <v>46035.725763888891</v>
      </c>
      <c r="L28">
        <v>2255.6799999999998</v>
      </c>
      <c r="M28">
        <v>65.709999999999994</v>
      </c>
      <c r="N28">
        <v>2189.9699999999998</v>
      </c>
      <c r="O28" t="s">
        <v>25</v>
      </c>
      <c r="P28" t="s">
        <v>3060</v>
      </c>
      <c r="Q28" t="s">
        <v>3036</v>
      </c>
      <c r="R28" t="s">
        <v>4977</v>
      </c>
      <c r="S28" t="s">
        <v>4992</v>
      </c>
      <c r="T28" t="s">
        <v>4992</v>
      </c>
    </row>
    <row r="29" spans="1:20" x14ac:dyDescent="0.25">
      <c r="A29" t="s">
        <v>106</v>
      </c>
      <c r="B29" t="s">
        <v>107</v>
      </c>
      <c r="C29" s="1">
        <v>46036.833715277775</v>
      </c>
      <c r="D29">
        <v>1215.6199999999999</v>
      </c>
      <c r="E29" t="s">
        <v>25</v>
      </c>
      <c r="F29" t="s">
        <v>92</v>
      </c>
      <c r="G29" t="s">
        <v>21</v>
      </c>
      <c r="H29" t="s">
        <v>108</v>
      </c>
      <c r="I29" t="s">
        <v>3084</v>
      </c>
      <c r="J29" t="s">
        <v>3034</v>
      </c>
      <c r="K29" s="1">
        <v>46036.84065972222</v>
      </c>
      <c r="L29">
        <v>1215.6199999999999</v>
      </c>
      <c r="M29">
        <v>35.549999999999997</v>
      </c>
      <c r="N29">
        <v>1180.07</v>
      </c>
      <c r="O29" t="s">
        <v>25</v>
      </c>
      <c r="P29" t="s">
        <v>3062</v>
      </c>
      <c r="Q29" t="s">
        <v>3036</v>
      </c>
      <c r="R29" t="s">
        <v>4977</v>
      </c>
      <c r="S29" t="s">
        <v>4992</v>
      </c>
      <c r="T29" t="s">
        <v>4992</v>
      </c>
    </row>
    <row r="30" spans="1:20" x14ac:dyDescent="0.25">
      <c r="A30" t="s">
        <v>106</v>
      </c>
      <c r="B30" t="s">
        <v>107</v>
      </c>
      <c r="C30" s="1">
        <v>46036.833715277775</v>
      </c>
      <c r="D30">
        <v>1215.6199999999999</v>
      </c>
      <c r="E30" t="s">
        <v>25</v>
      </c>
      <c r="F30" t="s">
        <v>92</v>
      </c>
      <c r="G30" t="s">
        <v>21</v>
      </c>
      <c r="H30" t="s">
        <v>108</v>
      </c>
      <c r="I30" t="s">
        <v>3085</v>
      </c>
      <c r="J30" t="s">
        <v>3076</v>
      </c>
      <c r="K30" s="1">
        <v>46037.833715277775</v>
      </c>
      <c r="L30">
        <v>-607.80999999999995</v>
      </c>
      <c r="M30">
        <v>0</v>
      </c>
      <c r="N30">
        <v>-607.80999999999995</v>
      </c>
      <c r="O30" t="s">
        <v>25</v>
      </c>
      <c r="P30" t="s">
        <v>3086</v>
      </c>
      <c r="Q30" t="s">
        <v>3036</v>
      </c>
      <c r="R30" t="s">
        <v>4977</v>
      </c>
      <c r="S30" t="s">
        <v>4991</v>
      </c>
      <c r="T30" t="s">
        <v>4992</v>
      </c>
    </row>
    <row r="31" spans="1:20" x14ac:dyDescent="0.25">
      <c r="A31" t="s">
        <v>109</v>
      </c>
      <c r="B31" t="s">
        <v>110</v>
      </c>
      <c r="C31" s="1">
        <v>46023.92046296296</v>
      </c>
      <c r="D31">
        <v>2232.77</v>
      </c>
      <c r="E31" t="s">
        <v>25</v>
      </c>
      <c r="F31" t="s">
        <v>20</v>
      </c>
      <c r="G31" t="s">
        <v>26</v>
      </c>
      <c r="H31" t="s">
        <v>111</v>
      </c>
      <c r="I31" t="s">
        <v>3087</v>
      </c>
      <c r="J31" t="s">
        <v>3034</v>
      </c>
      <c r="K31" s="1">
        <v>46023.927407407406</v>
      </c>
      <c r="L31">
        <v>2232.77</v>
      </c>
      <c r="M31">
        <v>65.05</v>
      </c>
      <c r="N31">
        <v>2167.7199999999998</v>
      </c>
      <c r="O31" t="s">
        <v>25</v>
      </c>
      <c r="P31" t="s">
        <v>3064</v>
      </c>
      <c r="Q31" t="s">
        <v>3036</v>
      </c>
      <c r="R31" t="s">
        <v>4977</v>
      </c>
      <c r="S31" t="s">
        <v>4992</v>
      </c>
      <c r="T31" t="s">
        <v>4992</v>
      </c>
    </row>
    <row r="32" spans="1:20" x14ac:dyDescent="0.25">
      <c r="A32" t="s">
        <v>112</v>
      </c>
      <c r="B32" t="s">
        <v>113</v>
      </c>
      <c r="C32" s="1">
        <v>46024.99082175926</v>
      </c>
      <c r="D32">
        <v>1815.34</v>
      </c>
      <c r="E32" t="s">
        <v>52</v>
      </c>
      <c r="F32" t="s">
        <v>20</v>
      </c>
      <c r="G32" t="s">
        <v>30</v>
      </c>
      <c r="H32" t="s">
        <v>114</v>
      </c>
      <c r="I32" t="s">
        <v>3088</v>
      </c>
      <c r="J32" t="s">
        <v>3034</v>
      </c>
      <c r="K32" s="1">
        <v>46024.997766203705</v>
      </c>
      <c r="L32">
        <v>1815.34</v>
      </c>
      <c r="M32">
        <v>52.94</v>
      </c>
      <c r="N32">
        <v>1762.4</v>
      </c>
      <c r="O32" t="s">
        <v>52</v>
      </c>
      <c r="P32" t="s">
        <v>3089</v>
      </c>
      <c r="Q32" t="s">
        <v>3036</v>
      </c>
      <c r="R32" t="s">
        <v>4977</v>
      </c>
      <c r="S32" t="s">
        <v>4992</v>
      </c>
      <c r="T32" t="s">
        <v>4992</v>
      </c>
    </row>
    <row r="33" spans="1:20" x14ac:dyDescent="0.25">
      <c r="A33" t="s">
        <v>115</v>
      </c>
      <c r="B33" t="s">
        <v>116</v>
      </c>
      <c r="C33" s="1">
        <v>46026.079398148147</v>
      </c>
      <c r="D33">
        <v>571.97</v>
      </c>
      <c r="E33" t="s">
        <v>19</v>
      </c>
      <c r="F33" t="s">
        <v>20</v>
      </c>
      <c r="G33" t="s">
        <v>21</v>
      </c>
      <c r="H33" t="s">
        <v>117</v>
      </c>
      <c r="I33" t="s">
        <v>3090</v>
      </c>
      <c r="J33" t="s">
        <v>3034</v>
      </c>
      <c r="K33" s="1">
        <v>46026.086342592593</v>
      </c>
      <c r="L33">
        <v>571.97</v>
      </c>
      <c r="M33">
        <v>16.89</v>
      </c>
      <c r="N33">
        <v>555.08000000000004</v>
      </c>
      <c r="O33" t="s">
        <v>25</v>
      </c>
      <c r="P33" t="s">
        <v>3091</v>
      </c>
      <c r="Q33" t="s">
        <v>3036</v>
      </c>
      <c r="R33" t="s">
        <v>4977</v>
      </c>
      <c r="S33" t="s">
        <v>4992</v>
      </c>
      <c r="T33" t="s">
        <v>4993</v>
      </c>
    </row>
    <row r="34" spans="1:20" x14ac:dyDescent="0.25">
      <c r="A34" t="s">
        <v>118</v>
      </c>
      <c r="B34" t="s">
        <v>119</v>
      </c>
      <c r="C34" s="1">
        <v>46027.166631944441</v>
      </c>
      <c r="D34">
        <v>1173.1300000000001</v>
      </c>
      <c r="E34" t="s">
        <v>25</v>
      </c>
      <c r="F34" t="s">
        <v>20</v>
      </c>
      <c r="G34" t="s">
        <v>26</v>
      </c>
      <c r="H34" t="s">
        <v>120</v>
      </c>
      <c r="I34" t="s">
        <v>3092</v>
      </c>
      <c r="J34" t="s">
        <v>3034</v>
      </c>
      <c r="K34" s="1">
        <v>46027.173576388886</v>
      </c>
      <c r="L34">
        <v>1173.1300000000001</v>
      </c>
      <c r="M34">
        <v>34.32</v>
      </c>
      <c r="N34">
        <v>1138.81</v>
      </c>
      <c r="O34" t="s">
        <v>25</v>
      </c>
      <c r="P34" t="s">
        <v>3042</v>
      </c>
      <c r="Q34" t="s">
        <v>3036</v>
      </c>
      <c r="R34" t="s">
        <v>4977</v>
      </c>
      <c r="S34" t="s">
        <v>4992</v>
      </c>
      <c r="T34" t="s">
        <v>4992</v>
      </c>
    </row>
    <row r="35" spans="1:20" x14ac:dyDescent="0.25">
      <c r="A35" t="s">
        <v>121</v>
      </c>
      <c r="B35" t="s">
        <v>122</v>
      </c>
      <c r="C35" s="1">
        <v>46027.257962962962</v>
      </c>
      <c r="D35">
        <v>1959.72</v>
      </c>
      <c r="E35" t="s">
        <v>25</v>
      </c>
      <c r="F35" t="s">
        <v>20</v>
      </c>
      <c r="G35" t="s">
        <v>30</v>
      </c>
      <c r="H35" t="s">
        <v>123</v>
      </c>
      <c r="I35" t="s">
        <v>3093</v>
      </c>
      <c r="J35" t="s">
        <v>3034</v>
      </c>
      <c r="K35" s="1">
        <v>46027.264907407407</v>
      </c>
      <c r="L35">
        <v>1959.72</v>
      </c>
      <c r="M35">
        <v>57.13</v>
      </c>
      <c r="N35">
        <v>1902.59</v>
      </c>
      <c r="O35" t="s">
        <v>25</v>
      </c>
      <c r="P35" t="s">
        <v>3068</v>
      </c>
      <c r="Q35" t="s">
        <v>3036</v>
      </c>
      <c r="R35" t="s">
        <v>4977</v>
      </c>
      <c r="S35" t="s">
        <v>4992</v>
      </c>
      <c r="T35" t="s">
        <v>4992</v>
      </c>
    </row>
    <row r="36" spans="1:20" x14ac:dyDescent="0.25">
      <c r="A36" t="s">
        <v>124</v>
      </c>
      <c r="B36" t="s">
        <v>125</v>
      </c>
      <c r="C36" s="1">
        <v>46028.361493055556</v>
      </c>
      <c r="D36">
        <v>1682.53</v>
      </c>
      <c r="E36" t="s">
        <v>25</v>
      </c>
      <c r="F36" t="s">
        <v>20</v>
      </c>
      <c r="G36" t="s">
        <v>21</v>
      </c>
      <c r="H36" t="s">
        <v>126</v>
      </c>
      <c r="I36" t="s">
        <v>3094</v>
      </c>
      <c r="J36" t="s">
        <v>3034</v>
      </c>
      <c r="K36" s="1">
        <v>46028.368437500001</v>
      </c>
      <c r="L36">
        <v>1682.53</v>
      </c>
      <c r="M36">
        <v>49.09</v>
      </c>
      <c r="N36">
        <v>1633.44</v>
      </c>
      <c r="O36" t="s">
        <v>25</v>
      </c>
      <c r="P36" t="s">
        <v>3046</v>
      </c>
      <c r="Q36" t="s">
        <v>3036</v>
      </c>
      <c r="R36" t="s">
        <v>4977</v>
      </c>
      <c r="S36" t="s">
        <v>4992</v>
      </c>
      <c r="T36" t="s">
        <v>4992</v>
      </c>
    </row>
    <row r="37" spans="1:20" x14ac:dyDescent="0.25">
      <c r="A37" t="s">
        <v>127</v>
      </c>
      <c r="B37" t="s">
        <v>128</v>
      </c>
      <c r="C37" s="1">
        <v>46029.467314814814</v>
      </c>
      <c r="D37">
        <v>440.56</v>
      </c>
      <c r="E37" t="s">
        <v>25</v>
      </c>
      <c r="F37" t="s">
        <v>20</v>
      </c>
      <c r="G37" t="s">
        <v>26</v>
      </c>
      <c r="H37" t="s">
        <v>129</v>
      </c>
      <c r="I37" t="s">
        <v>3095</v>
      </c>
      <c r="J37" t="s">
        <v>3034</v>
      </c>
      <c r="K37" s="1">
        <v>46029.474259259259</v>
      </c>
      <c r="L37">
        <v>440.56</v>
      </c>
      <c r="M37">
        <v>13.08</v>
      </c>
      <c r="N37">
        <v>427.48</v>
      </c>
      <c r="O37" t="s">
        <v>25</v>
      </c>
      <c r="P37" t="s">
        <v>3096</v>
      </c>
      <c r="Q37" t="s">
        <v>3036</v>
      </c>
      <c r="R37" t="s">
        <v>4977</v>
      </c>
      <c r="S37" t="s">
        <v>4992</v>
      </c>
      <c r="T37" t="s">
        <v>4992</v>
      </c>
    </row>
    <row r="38" spans="1:20" x14ac:dyDescent="0.25">
      <c r="A38" t="s">
        <v>130</v>
      </c>
      <c r="B38" t="s">
        <v>131</v>
      </c>
      <c r="C38" s="1">
        <v>46030.529826388891</v>
      </c>
      <c r="D38">
        <v>1204.1199999999999</v>
      </c>
      <c r="E38" t="s">
        <v>25</v>
      </c>
      <c r="F38" t="s">
        <v>20</v>
      </c>
      <c r="G38" t="s">
        <v>30</v>
      </c>
      <c r="H38" t="s">
        <v>132</v>
      </c>
      <c r="I38" t="s">
        <v>3097</v>
      </c>
      <c r="J38" t="s">
        <v>3034</v>
      </c>
      <c r="K38" s="1">
        <v>46030.536770833336</v>
      </c>
      <c r="L38">
        <v>1204.1199999999999</v>
      </c>
      <c r="M38">
        <v>35.22</v>
      </c>
      <c r="N38">
        <v>1168.9000000000001</v>
      </c>
      <c r="O38" t="s">
        <v>25</v>
      </c>
      <c r="P38" t="s">
        <v>3050</v>
      </c>
      <c r="Q38" t="s">
        <v>3036</v>
      </c>
      <c r="R38" t="s">
        <v>4977</v>
      </c>
      <c r="S38" t="s">
        <v>4992</v>
      </c>
      <c r="T38" t="s">
        <v>4992</v>
      </c>
    </row>
    <row r="39" spans="1:20" x14ac:dyDescent="0.25">
      <c r="A39" t="s">
        <v>133</v>
      </c>
      <c r="B39" t="s">
        <v>134</v>
      </c>
      <c r="C39" s="1">
        <v>46031.656770833331</v>
      </c>
      <c r="D39">
        <v>1174.22</v>
      </c>
      <c r="E39" t="s">
        <v>25</v>
      </c>
      <c r="F39" t="s">
        <v>20</v>
      </c>
      <c r="G39" t="s">
        <v>21</v>
      </c>
      <c r="H39" t="s">
        <v>135</v>
      </c>
      <c r="I39" t="s">
        <v>3098</v>
      </c>
      <c r="J39" t="s">
        <v>3034</v>
      </c>
      <c r="K39" s="1">
        <v>46031.663715277777</v>
      </c>
      <c r="L39">
        <v>1174.22</v>
      </c>
      <c r="M39">
        <v>34.35</v>
      </c>
      <c r="N39">
        <v>1139.8699999999999</v>
      </c>
      <c r="O39" t="s">
        <v>25</v>
      </c>
      <c r="P39" t="s">
        <v>3052</v>
      </c>
      <c r="Q39" t="s">
        <v>3036</v>
      </c>
      <c r="R39" t="s">
        <v>4977</v>
      </c>
      <c r="S39" t="s">
        <v>4992</v>
      </c>
      <c r="T39" t="s">
        <v>4992</v>
      </c>
    </row>
    <row r="40" spans="1:20" x14ac:dyDescent="0.25">
      <c r="A40" t="s">
        <v>136</v>
      </c>
      <c r="B40" t="s">
        <v>137</v>
      </c>
      <c r="C40" s="1">
        <v>46032.746481481481</v>
      </c>
      <c r="D40">
        <v>1871.76</v>
      </c>
      <c r="E40" t="s">
        <v>25</v>
      </c>
      <c r="F40" t="s">
        <v>20</v>
      </c>
      <c r="G40" t="s">
        <v>26</v>
      </c>
      <c r="H40" t="s">
        <v>138</v>
      </c>
      <c r="I40" t="s">
        <v>3099</v>
      </c>
      <c r="J40" t="s">
        <v>3034</v>
      </c>
      <c r="K40" s="1">
        <v>46032.753425925926</v>
      </c>
      <c r="L40">
        <v>1871.76</v>
      </c>
      <c r="M40">
        <v>54.58</v>
      </c>
      <c r="N40">
        <v>1817.18</v>
      </c>
      <c r="O40" t="s">
        <v>25</v>
      </c>
      <c r="P40" t="s">
        <v>3079</v>
      </c>
      <c r="Q40" t="s">
        <v>3036</v>
      </c>
      <c r="R40" t="s">
        <v>4977</v>
      </c>
      <c r="S40" t="s">
        <v>4992</v>
      </c>
      <c r="T40" t="s">
        <v>4992</v>
      </c>
    </row>
    <row r="41" spans="1:20" x14ac:dyDescent="0.25">
      <c r="A41" t="s">
        <v>139</v>
      </c>
      <c r="B41" t="s">
        <v>140</v>
      </c>
      <c r="C41" s="1">
        <v>46033.806574074071</v>
      </c>
      <c r="D41">
        <v>722</v>
      </c>
      <c r="E41" t="s">
        <v>25</v>
      </c>
      <c r="F41" t="s">
        <v>20</v>
      </c>
      <c r="G41" t="s">
        <v>30</v>
      </c>
      <c r="H41" t="s">
        <v>141</v>
      </c>
      <c r="I41" t="s">
        <v>3100</v>
      </c>
      <c r="J41" t="s">
        <v>3034</v>
      </c>
      <c r="K41" s="1">
        <v>46033.813518518517</v>
      </c>
      <c r="L41">
        <v>722</v>
      </c>
      <c r="M41">
        <v>21.24</v>
      </c>
      <c r="N41">
        <v>700.76</v>
      </c>
      <c r="O41" t="s">
        <v>25</v>
      </c>
      <c r="P41" t="s">
        <v>3081</v>
      </c>
      <c r="Q41" t="s">
        <v>3036</v>
      </c>
      <c r="R41" t="s">
        <v>4977</v>
      </c>
      <c r="S41" t="s">
        <v>4992</v>
      </c>
      <c r="T41" t="s">
        <v>4992</v>
      </c>
    </row>
    <row r="42" spans="1:20" x14ac:dyDescent="0.25">
      <c r="A42" t="s">
        <v>139</v>
      </c>
      <c r="B42" t="s">
        <v>140</v>
      </c>
      <c r="C42" s="1">
        <v>46033.806574074071</v>
      </c>
      <c r="D42">
        <v>722</v>
      </c>
      <c r="E42" t="s">
        <v>25</v>
      </c>
      <c r="F42" t="s">
        <v>20</v>
      </c>
      <c r="G42" t="s">
        <v>30</v>
      </c>
      <c r="H42" t="s">
        <v>141</v>
      </c>
      <c r="I42" t="s">
        <v>3100</v>
      </c>
      <c r="J42" t="s">
        <v>3034</v>
      </c>
      <c r="K42" s="1">
        <v>46033.813518518517</v>
      </c>
      <c r="L42">
        <v>722</v>
      </c>
      <c r="M42">
        <v>21.24</v>
      </c>
      <c r="N42">
        <v>700.76</v>
      </c>
      <c r="O42" t="s">
        <v>25</v>
      </c>
      <c r="P42" t="s">
        <v>3081</v>
      </c>
      <c r="Q42" t="s">
        <v>3036</v>
      </c>
      <c r="R42" t="s">
        <v>4977</v>
      </c>
      <c r="S42" t="s">
        <v>4992</v>
      </c>
      <c r="T42" t="s">
        <v>4992</v>
      </c>
    </row>
    <row r="43" spans="1:20" x14ac:dyDescent="0.25">
      <c r="A43" t="s">
        <v>142</v>
      </c>
      <c r="B43" t="s">
        <v>143</v>
      </c>
      <c r="C43" s="1">
        <v>46034.930520833332</v>
      </c>
      <c r="D43">
        <v>445.09</v>
      </c>
      <c r="E43" t="s">
        <v>52</v>
      </c>
      <c r="F43" t="s">
        <v>20</v>
      </c>
      <c r="G43" t="s">
        <v>21</v>
      </c>
      <c r="H43" t="s">
        <v>144</v>
      </c>
      <c r="I43" t="s">
        <v>3101</v>
      </c>
      <c r="J43" t="s">
        <v>3034</v>
      </c>
      <c r="K43" s="1">
        <v>46034.937465277777</v>
      </c>
      <c r="L43">
        <v>445.09</v>
      </c>
      <c r="M43">
        <v>13.21</v>
      </c>
      <c r="N43">
        <v>431.88</v>
      </c>
      <c r="O43" t="s">
        <v>52</v>
      </c>
      <c r="P43" t="s">
        <v>3102</v>
      </c>
      <c r="Q43" t="s">
        <v>3036</v>
      </c>
      <c r="R43" t="s">
        <v>4977</v>
      </c>
      <c r="S43" t="s">
        <v>4992</v>
      </c>
      <c r="T43" t="s">
        <v>4992</v>
      </c>
    </row>
    <row r="44" spans="1:20" x14ac:dyDescent="0.25">
      <c r="A44" t="s">
        <v>145</v>
      </c>
      <c r="B44" t="s">
        <v>146</v>
      </c>
      <c r="C44" s="1">
        <v>46035.994780092595</v>
      </c>
      <c r="D44">
        <v>2333.15</v>
      </c>
      <c r="E44" t="s">
        <v>19</v>
      </c>
      <c r="F44" t="s">
        <v>20</v>
      </c>
      <c r="G44" t="s">
        <v>26</v>
      </c>
      <c r="H44" t="s">
        <v>147</v>
      </c>
      <c r="I44" t="s">
        <v>3103</v>
      </c>
      <c r="J44" t="s">
        <v>3034</v>
      </c>
      <c r="K44" s="1">
        <v>46036.00172453704</v>
      </c>
      <c r="L44">
        <v>2333.15</v>
      </c>
      <c r="M44">
        <v>67.959999999999994</v>
      </c>
      <c r="N44">
        <v>2265.19</v>
      </c>
      <c r="O44" t="s">
        <v>25</v>
      </c>
      <c r="P44" t="s">
        <v>3104</v>
      </c>
      <c r="Q44" t="s">
        <v>3036</v>
      </c>
      <c r="R44" t="s">
        <v>4977</v>
      </c>
      <c r="S44" t="s">
        <v>4992</v>
      </c>
      <c r="T44" t="s">
        <v>4993</v>
      </c>
    </row>
    <row r="45" spans="1:20" x14ac:dyDescent="0.25">
      <c r="A45" t="s">
        <v>148</v>
      </c>
      <c r="B45" t="s">
        <v>149</v>
      </c>
      <c r="C45" s="1">
        <v>46037.085358796299</v>
      </c>
      <c r="D45">
        <v>802.72</v>
      </c>
      <c r="E45" t="s">
        <v>25</v>
      </c>
      <c r="F45" t="s">
        <v>20</v>
      </c>
      <c r="G45" t="s">
        <v>30</v>
      </c>
      <c r="H45" t="s">
        <v>150</v>
      </c>
      <c r="I45" t="s">
        <v>3105</v>
      </c>
      <c r="J45" t="s">
        <v>3034</v>
      </c>
      <c r="K45" s="1">
        <v>46037.092303240737</v>
      </c>
      <c r="L45">
        <v>802.72</v>
      </c>
      <c r="M45">
        <v>23.58</v>
      </c>
      <c r="N45">
        <v>779.14</v>
      </c>
      <c r="O45" t="s">
        <v>25</v>
      </c>
      <c r="P45" t="s">
        <v>3062</v>
      </c>
      <c r="Q45" t="s">
        <v>3036</v>
      </c>
      <c r="R45" t="s">
        <v>4977</v>
      </c>
      <c r="S45" t="s">
        <v>4992</v>
      </c>
      <c r="T45" t="s">
        <v>4992</v>
      </c>
    </row>
    <row r="46" spans="1:20" x14ac:dyDescent="0.25">
      <c r="A46" t="s">
        <v>148</v>
      </c>
      <c r="B46" t="s">
        <v>149</v>
      </c>
      <c r="C46" s="1">
        <v>46037.085358796299</v>
      </c>
      <c r="D46">
        <v>802.72</v>
      </c>
      <c r="E46" t="s">
        <v>25</v>
      </c>
      <c r="F46" t="s">
        <v>20</v>
      </c>
      <c r="G46" t="s">
        <v>30</v>
      </c>
      <c r="H46" t="s">
        <v>150</v>
      </c>
      <c r="I46" t="s">
        <v>3105</v>
      </c>
      <c r="J46" t="s">
        <v>3034</v>
      </c>
      <c r="K46" s="1">
        <v>46037.092303240737</v>
      </c>
      <c r="L46">
        <v>802.72</v>
      </c>
      <c r="M46">
        <v>23.58</v>
      </c>
      <c r="N46">
        <v>779.14</v>
      </c>
      <c r="O46" t="s">
        <v>25</v>
      </c>
      <c r="P46" t="s">
        <v>3062</v>
      </c>
      <c r="Q46" t="s">
        <v>3036</v>
      </c>
      <c r="R46" t="s">
        <v>4977</v>
      </c>
      <c r="S46" t="s">
        <v>4992</v>
      </c>
      <c r="T46" t="s">
        <v>4992</v>
      </c>
    </row>
    <row r="47" spans="1:20" x14ac:dyDescent="0.25">
      <c r="A47" t="s">
        <v>151</v>
      </c>
      <c r="B47" t="s">
        <v>152</v>
      </c>
      <c r="C47" s="1">
        <v>46024.199745370373</v>
      </c>
      <c r="D47">
        <v>596.11</v>
      </c>
      <c r="E47" t="s">
        <v>25</v>
      </c>
      <c r="F47" t="s">
        <v>20</v>
      </c>
      <c r="G47" t="s">
        <v>21</v>
      </c>
      <c r="H47" t="s">
        <v>153</v>
      </c>
      <c r="I47" t="s">
        <v>3106</v>
      </c>
      <c r="J47" t="s">
        <v>3034</v>
      </c>
      <c r="K47" s="1">
        <v>46024.206689814811</v>
      </c>
      <c r="L47">
        <v>596.11</v>
      </c>
      <c r="M47">
        <v>17.59</v>
      </c>
      <c r="N47">
        <v>578.52</v>
      </c>
      <c r="O47" t="s">
        <v>25</v>
      </c>
      <c r="P47" t="s">
        <v>3064</v>
      </c>
      <c r="Q47" t="s">
        <v>3036</v>
      </c>
      <c r="R47" t="s">
        <v>4977</v>
      </c>
      <c r="S47" t="s">
        <v>4992</v>
      </c>
      <c r="T47" t="s">
        <v>4992</v>
      </c>
    </row>
    <row r="48" spans="1:20" x14ac:dyDescent="0.25">
      <c r="A48" t="s">
        <v>154</v>
      </c>
      <c r="B48" t="s">
        <v>155</v>
      </c>
      <c r="C48" s="1">
        <v>46024.286550925928</v>
      </c>
      <c r="D48">
        <v>888.02</v>
      </c>
      <c r="E48" t="s">
        <v>25</v>
      </c>
      <c r="F48" t="s">
        <v>20</v>
      </c>
      <c r="G48" t="s">
        <v>26</v>
      </c>
      <c r="H48" t="s">
        <v>156</v>
      </c>
      <c r="I48" t="s">
        <v>3107</v>
      </c>
      <c r="J48" t="s">
        <v>3034</v>
      </c>
      <c r="K48" s="1">
        <v>46024.293495370373</v>
      </c>
      <c r="L48">
        <v>888.02</v>
      </c>
      <c r="M48">
        <v>26.05</v>
      </c>
      <c r="N48">
        <v>861.97</v>
      </c>
      <c r="O48" t="s">
        <v>25</v>
      </c>
      <c r="P48" t="s">
        <v>3038</v>
      </c>
      <c r="Q48" t="s">
        <v>3036</v>
      </c>
      <c r="R48" t="s">
        <v>4977</v>
      </c>
      <c r="S48" t="s">
        <v>4992</v>
      </c>
      <c r="T48" t="s">
        <v>4992</v>
      </c>
    </row>
    <row r="49" spans="1:20" x14ac:dyDescent="0.25">
      <c r="A49" t="s">
        <v>157</v>
      </c>
      <c r="B49" t="s">
        <v>158</v>
      </c>
      <c r="C49" s="1">
        <v>46025.386944444443</v>
      </c>
      <c r="D49">
        <v>308.61</v>
      </c>
      <c r="E49" t="s">
        <v>25</v>
      </c>
      <c r="F49" t="s">
        <v>20</v>
      </c>
      <c r="G49" t="s">
        <v>30</v>
      </c>
      <c r="H49" t="s">
        <v>159</v>
      </c>
      <c r="I49" t="s">
        <v>3108</v>
      </c>
      <c r="J49" t="s">
        <v>3034</v>
      </c>
      <c r="K49" s="1">
        <v>46025.393888888888</v>
      </c>
      <c r="L49">
        <v>308.61</v>
      </c>
      <c r="M49">
        <v>9.25</v>
      </c>
      <c r="N49">
        <v>299.36</v>
      </c>
      <c r="O49" t="s">
        <v>25</v>
      </c>
      <c r="P49" t="s">
        <v>3040</v>
      </c>
      <c r="Q49" t="s">
        <v>3036</v>
      </c>
      <c r="R49" t="s">
        <v>4977</v>
      </c>
      <c r="S49" t="s">
        <v>4992</v>
      </c>
      <c r="T49" t="s">
        <v>4992</v>
      </c>
    </row>
    <row r="50" spans="1:20" x14ac:dyDescent="0.25">
      <c r="A50" t="s">
        <v>160</v>
      </c>
      <c r="B50" t="s">
        <v>161</v>
      </c>
      <c r="C50" s="1">
        <v>46026.451261574075</v>
      </c>
      <c r="D50">
        <v>1365.15</v>
      </c>
      <c r="E50" t="s">
        <v>25</v>
      </c>
      <c r="F50" t="s">
        <v>20</v>
      </c>
      <c r="G50" t="s">
        <v>21</v>
      </c>
      <c r="H50" t="s">
        <v>162</v>
      </c>
      <c r="I50" t="s">
        <v>3109</v>
      </c>
      <c r="J50" t="s">
        <v>3034</v>
      </c>
      <c r="K50" s="1">
        <v>46026.45820601852</v>
      </c>
      <c r="L50">
        <v>1365.15</v>
      </c>
      <c r="M50">
        <v>39.89</v>
      </c>
      <c r="N50">
        <v>1325.26</v>
      </c>
      <c r="O50" t="s">
        <v>52</v>
      </c>
      <c r="P50" t="s">
        <v>3110</v>
      </c>
      <c r="Q50" t="s">
        <v>3036</v>
      </c>
      <c r="R50" t="s">
        <v>4977</v>
      </c>
      <c r="S50" t="s">
        <v>4992</v>
      </c>
      <c r="T50" t="s">
        <v>4993</v>
      </c>
    </row>
    <row r="51" spans="1:20" x14ac:dyDescent="0.25">
      <c r="A51" t="s">
        <v>163</v>
      </c>
      <c r="B51" t="s">
        <v>164</v>
      </c>
      <c r="C51" s="1">
        <v>46027.57408564815</v>
      </c>
      <c r="D51">
        <v>2191.81</v>
      </c>
      <c r="E51" t="s">
        <v>25</v>
      </c>
      <c r="F51" t="s">
        <v>20</v>
      </c>
      <c r="G51" t="s">
        <v>26</v>
      </c>
      <c r="H51" t="s">
        <v>165</v>
      </c>
      <c r="I51" t="s">
        <v>3111</v>
      </c>
      <c r="J51" t="s">
        <v>3034</v>
      </c>
      <c r="K51" s="1">
        <v>46027.581030092595</v>
      </c>
      <c r="L51">
        <v>2191.81</v>
      </c>
      <c r="M51">
        <v>63.86</v>
      </c>
      <c r="N51">
        <v>2127.9499999999998</v>
      </c>
      <c r="O51" t="s">
        <v>25</v>
      </c>
      <c r="P51" t="s">
        <v>3068</v>
      </c>
      <c r="Q51" t="s">
        <v>3036</v>
      </c>
      <c r="R51" t="s">
        <v>4977</v>
      </c>
      <c r="S51" t="s">
        <v>4992</v>
      </c>
      <c r="T51" t="s">
        <v>4992</v>
      </c>
    </row>
    <row r="52" spans="1:20" x14ac:dyDescent="0.25">
      <c r="A52" t="s">
        <v>166</v>
      </c>
      <c r="B52" t="s">
        <v>167</v>
      </c>
      <c r="C52" s="1">
        <v>46028.664652777778</v>
      </c>
      <c r="D52">
        <v>460.95</v>
      </c>
      <c r="E52" t="s">
        <v>25</v>
      </c>
      <c r="F52" t="s">
        <v>20</v>
      </c>
      <c r="G52" t="s">
        <v>30</v>
      </c>
      <c r="H52" t="s">
        <v>168</v>
      </c>
      <c r="I52" t="s">
        <v>3112</v>
      </c>
      <c r="J52" t="s">
        <v>3034</v>
      </c>
      <c r="K52" s="1">
        <v>46028.671597222223</v>
      </c>
      <c r="L52">
        <v>460.95</v>
      </c>
      <c r="M52">
        <v>13.67</v>
      </c>
      <c r="N52">
        <v>447.28</v>
      </c>
      <c r="O52" t="s">
        <v>25</v>
      </c>
      <c r="P52" t="s">
        <v>3046</v>
      </c>
      <c r="Q52" t="s">
        <v>3036</v>
      </c>
      <c r="R52" t="s">
        <v>4977</v>
      </c>
      <c r="S52" t="s">
        <v>4992</v>
      </c>
      <c r="T52" t="s">
        <v>4992</v>
      </c>
    </row>
    <row r="53" spans="1:20" x14ac:dyDescent="0.25">
      <c r="A53" t="s">
        <v>169</v>
      </c>
      <c r="B53" t="s">
        <v>170</v>
      </c>
      <c r="C53" s="1">
        <v>46029.737372685187</v>
      </c>
      <c r="D53">
        <v>1040.18</v>
      </c>
      <c r="E53" t="s">
        <v>25</v>
      </c>
      <c r="F53" t="s">
        <v>20</v>
      </c>
      <c r="G53" t="s">
        <v>21</v>
      </c>
      <c r="H53" t="s">
        <v>171</v>
      </c>
      <c r="I53" t="s">
        <v>3113</v>
      </c>
      <c r="J53" t="s">
        <v>3034</v>
      </c>
      <c r="K53" s="1">
        <v>46029.744317129633</v>
      </c>
      <c r="L53">
        <v>1040.18</v>
      </c>
      <c r="M53">
        <v>30.47</v>
      </c>
      <c r="N53">
        <v>1009.71</v>
      </c>
      <c r="O53" t="s">
        <v>25</v>
      </c>
      <c r="P53" t="s">
        <v>3048</v>
      </c>
      <c r="Q53" t="s">
        <v>3036</v>
      </c>
      <c r="R53" t="s">
        <v>4977</v>
      </c>
      <c r="S53" t="s">
        <v>4992</v>
      </c>
      <c r="T53" t="s">
        <v>4992</v>
      </c>
    </row>
    <row r="54" spans="1:20" x14ac:dyDescent="0.25">
      <c r="A54" t="s">
        <v>172</v>
      </c>
      <c r="B54" t="s">
        <v>173</v>
      </c>
      <c r="C54" s="1">
        <v>46030.835949074077</v>
      </c>
      <c r="D54">
        <v>89.08</v>
      </c>
      <c r="E54" t="s">
        <v>52</v>
      </c>
      <c r="F54" t="s">
        <v>20</v>
      </c>
      <c r="G54" t="s">
        <v>26</v>
      </c>
      <c r="H54" t="s">
        <v>174</v>
      </c>
      <c r="I54" t="s">
        <v>3114</v>
      </c>
      <c r="J54" t="s">
        <v>3034</v>
      </c>
      <c r="K54" s="1">
        <v>46030.842893518522</v>
      </c>
      <c r="L54">
        <v>89.08</v>
      </c>
      <c r="M54">
        <v>2.88</v>
      </c>
      <c r="N54">
        <v>86.2</v>
      </c>
      <c r="O54" t="s">
        <v>52</v>
      </c>
      <c r="P54" t="s">
        <v>3115</v>
      </c>
      <c r="Q54" t="s">
        <v>3036</v>
      </c>
      <c r="R54" t="s">
        <v>4977</v>
      </c>
      <c r="S54" t="s">
        <v>4992</v>
      </c>
      <c r="T54" t="s">
        <v>4992</v>
      </c>
    </row>
    <row r="55" spans="1:20" x14ac:dyDescent="0.25">
      <c r="A55" t="s">
        <v>175</v>
      </c>
      <c r="B55" t="s">
        <v>176</v>
      </c>
      <c r="C55" s="1">
        <v>46031.929305555554</v>
      </c>
      <c r="D55">
        <v>1615.84</v>
      </c>
      <c r="E55" t="s">
        <v>19</v>
      </c>
      <c r="F55" t="s">
        <v>20</v>
      </c>
      <c r="G55" t="s">
        <v>30</v>
      </c>
      <c r="H55" t="s">
        <v>177</v>
      </c>
      <c r="I55" t="s">
        <v>3116</v>
      </c>
      <c r="J55" t="s">
        <v>3034</v>
      </c>
      <c r="K55" s="1">
        <v>46031.936249999999</v>
      </c>
      <c r="L55">
        <v>1615.84</v>
      </c>
      <c r="M55">
        <v>47.16</v>
      </c>
      <c r="N55">
        <v>1568.68</v>
      </c>
      <c r="O55" t="s">
        <v>19</v>
      </c>
      <c r="P55" t="s">
        <v>3117</v>
      </c>
      <c r="Q55" t="s">
        <v>3036</v>
      </c>
      <c r="R55" t="s">
        <v>4977</v>
      </c>
      <c r="S55" t="s">
        <v>4992</v>
      </c>
      <c r="T55" t="s">
        <v>4992</v>
      </c>
    </row>
    <row r="56" spans="1:20" x14ac:dyDescent="0.25">
      <c r="A56" t="s">
        <v>178</v>
      </c>
      <c r="B56" t="s">
        <v>179</v>
      </c>
      <c r="C56" s="1">
        <v>46033.033761574072</v>
      </c>
      <c r="D56">
        <v>212.38</v>
      </c>
      <c r="E56" t="s">
        <v>25</v>
      </c>
      <c r="F56" t="s">
        <v>20</v>
      </c>
      <c r="G56" t="s">
        <v>21</v>
      </c>
      <c r="H56" t="s">
        <v>180</v>
      </c>
      <c r="I56" t="s">
        <v>3118</v>
      </c>
      <c r="J56" t="s">
        <v>3034</v>
      </c>
      <c r="K56" s="1">
        <v>46033.040706018517</v>
      </c>
      <c r="L56">
        <v>212.38</v>
      </c>
      <c r="M56">
        <v>6.46</v>
      </c>
      <c r="N56">
        <v>205.92</v>
      </c>
      <c r="O56" t="s">
        <v>25</v>
      </c>
      <c r="P56" t="s">
        <v>3079</v>
      </c>
      <c r="Q56" t="s">
        <v>3036</v>
      </c>
      <c r="R56" t="s">
        <v>4977</v>
      </c>
      <c r="S56" t="s">
        <v>4992</v>
      </c>
      <c r="T56" t="s">
        <v>4992</v>
      </c>
    </row>
    <row r="57" spans="1:20" x14ac:dyDescent="0.25">
      <c r="A57" t="s">
        <v>181</v>
      </c>
      <c r="B57" t="s">
        <v>182</v>
      </c>
      <c r="C57" s="1">
        <v>46034.094467592593</v>
      </c>
      <c r="D57">
        <v>2297.9699999999998</v>
      </c>
      <c r="E57" t="s">
        <v>25</v>
      </c>
      <c r="F57" t="s">
        <v>20</v>
      </c>
      <c r="G57" t="s">
        <v>26</v>
      </c>
      <c r="H57" t="s">
        <v>183</v>
      </c>
      <c r="I57" t="s">
        <v>3119</v>
      </c>
      <c r="J57" t="s">
        <v>3034</v>
      </c>
      <c r="K57" s="1">
        <v>46034.101412037038</v>
      </c>
      <c r="L57">
        <v>2297.9699999999998</v>
      </c>
      <c r="M57">
        <v>66.94</v>
      </c>
      <c r="N57">
        <v>2231.0300000000002</v>
      </c>
      <c r="O57" t="s">
        <v>25</v>
      </c>
      <c r="P57" t="s">
        <v>3081</v>
      </c>
      <c r="Q57" t="s">
        <v>3036</v>
      </c>
      <c r="R57" t="s">
        <v>4977</v>
      </c>
      <c r="S57" t="s">
        <v>4992</v>
      </c>
      <c r="T57" t="s">
        <v>4992</v>
      </c>
    </row>
    <row r="58" spans="1:20" x14ac:dyDescent="0.25">
      <c r="A58" t="s">
        <v>184</v>
      </c>
      <c r="B58" t="s">
        <v>185</v>
      </c>
      <c r="C58" s="1">
        <v>46035.216643518521</v>
      </c>
      <c r="D58">
        <v>1077.69</v>
      </c>
      <c r="E58" t="s">
        <v>25</v>
      </c>
      <c r="F58" t="s">
        <v>20</v>
      </c>
      <c r="G58" t="s">
        <v>30</v>
      </c>
      <c r="H58" t="s">
        <v>186</v>
      </c>
      <c r="I58" t="s">
        <v>3120</v>
      </c>
      <c r="J58" t="s">
        <v>3034</v>
      </c>
      <c r="K58" s="1">
        <v>46035.223587962966</v>
      </c>
      <c r="L58">
        <v>1077.69</v>
      </c>
      <c r="M58">
        <v>31.55</v>
      </c>
      <c r="N58">
        <v>1046.1400000000001</v>
      </c>
      <c r="O58" t="s">
        <v>25</v>
      </c>
      <c r="P58" t="s">
        <v>3058</v>
      </c>
      <c r="Q58" t="s">
        <v>3036</v>
      </c>
      <c r="R58" t="s">
        <v>4977</v>
      </c>
      <c r="S58" t="s">
        <v>4992</v>
      </c>
      <c r="T58" t="s">
        <v>4992</v>
      </c>
    </row>
    <row r="59" spans="1:20" x14ac:dyDescent="0.25">
      <c r="A59" t="s">
        <v>187</v>
      </c>
      <c r="B59" t="s">
        <v>188</v>
      </c>
      <c r="C59" s="1">
        <v>46035.303090277775</v>
      </c>
      <c r="D59">
        <v>1653.82</v>
      </c>
      <c r="E59" t="s">
        <v>25</v>
      </c>
      <c r="F59" t="s">
        <v>20</v>
      </c>
      <c r="G59" t="s">
        <v>21</v>
      </c>
      <c r="H59" t="s">
        <v>189</v>
      </c>
      <c r="I59" t="s">
        <v>3121</v>
      </c>
      <c r="J59" t="s">
        <v>3034</v>
      </c>
      <c r="K59" s="1">
        <v>46035.310034722221</v>
      </c>
      <c r="L59">
        <v>1653.82</v>
      </c>
      <c r="M59">
        <v>48.26</v>
      </c>
      <c r="N59">
        <v>1605.56</v>
      </c>
      <c r="O59" t="s">
        <v>25</v>
      </c>
      <c r="P59" t="s">
        <v>3060</v>
      </c>
      <c r="Q59" t="s">
        <v>3036</v>
      </c>
      <c r="R59" t="s">
        <v>4977</v>
      </c>
      <c r="S59" t="s">
        <v>4992</v>
      </c>
      <c r="T59" t="s">
        <v>4992</v>
      </c>
    </row>
    <row r="60" spans="1:20" x14ac:dyDescent="0.25">
      <c r="A60" t="s">
        <v>190</v>
      </c>
      <c r="B60" t="s">
        <v>191</v>
      </c>
      <c r="C60" s="1">
        <v>46036.39271990741</v>
      </c>
      <c r="D60">
        <v>1581.67</v>
      </c>
      <c r="E60" t="s">
        <v>25</v>
      </c>
      <c r="F60" t="s">
        <v>20</v>
      </c>
      <c r="G60" t="s">
        <v>26</v>
      </c>
      <c r="H60" t="s">
        <v>192</v>
      </c>
      <c r="I60" t="s">
        <v>3122</v>
      </c>
      <c r="J60" t="s">
        <v>3034</v>
      </c>
      <c r="K60" s="1">
        <v>46036.399664351855</v>
      </c>
      <c r="L60">
        <v>1581.67</v>
      </c>
      <c r="M60">
        <v>46.17</v>
      </c>
      <c r="N60">
        <v>1535.5</v>
      </c>
      <c r="O60" t="s">
        <v>25</v>
      </c>
      <c r="P60" t="s">
        <v>3062</v>
      </c>
      <c r="Q60" t="s">
        <v>3036</v>
      </c>
      <c r="R60" t="s">
        <v>4977</v>
      </c>
      <c r="S60" t="s">
        <v>4992</v>
      </c>
      <c r="T60" t="s">
        <v>4992</v>
      </c>
    </row>
    <row r="61" spans="1:20" x14ac:dyDescent="0.25">
      <c r="A61" t="s">
        <v>193</v>
      </c>
      <c r="B61" t="s">
        <v>194</v>
      </c>
      <c r="C61" s="1">
        <v>46023.484780092593</v>
      </c>
      <c r="D61">
        <v>277.33</v>
      </c>
      <c r="E61" t="s">
        <v>25</v>
      </c>
      <c r="F61" t="s">
        <v>20</v>
      </c>
      <c r="G61" t="s">
        <v>30</v>
      </c>
      <c r="H61" t="s">
        <v>195</v>
      </c>
      <c r="I61" t="s">
        <v>3123</v>
      </c>
      <c r="J61" t="s">
        <v>3034</v>
      </c>
      <c r="K61" s="1">
        <v>46023.491724537038</v>
      </c>
      <c r="L61">
        <v>277.33</v>
      </c>
      <c r="M61">
        <v>8.34</v>
      </c>
      <c r="N61">
        <v>268.99</v>
      </c>
      <c r="O61" t="s">
        <v>25</v>
      </c>
      <c r="P61" t="s">
        <v>3124</v>
      </c>
      <c r="Q61" t="s">
        <v>3036</v>
      </c>
      <c r="R61" t="s">
        <v>4977</v>
      </c>
      <c r="S61" t="s">
        <v>4992</v>
      </c>
      <c r="T61" t="s">
        <v>4992</v>
      </c>
    </row>
    <row r="62" spans="1:20" x14ac:dyDescent="0.25">
      <c r="A62" t="s">
        <v>196</v>
      </c>
      <c r="B62" t="s">
        <v>197</v>
      </c>
      <c r="C62" s="1">
        <v>46024.584490740737</v>
      </c>
      <c r="D62">
        <v>1903.21</v>
      </c>
      <c r="E62" t="s">
        <v>25</v>
      </c>
      <c r="F62" t="s">
        <v>20</v>
      </c>
      <c r="G62" t="s">
        <v>21</v>
      </c>
      <c r="H62" t="s">
        <v>198</v>
      </c>
      <c r="I62" t="s">
        <v>3125</v>
      </c>
      <c r="J62" t="s">
        <v>3034</v>
      </c>
      <c r="K62" s="1">
        <v>46024.591435185182</v>
      </c>
      <c r="L62">
        <v>1903.21</v>
      </c>
      <c r="M62">
        <v>55.49</v>
      </c>
      <c r="N62">
        <v>1847.72</v>
      </c>
      <c r="O62" t="s">
        <v>25</v>
      </c>
      <c r="P62" t="s">
        <v>3038</v>
      </c>
      <c r="Q62" t="s">
        <v>3036</v>
      </c>
      <c r="R62" t="s">
        <v>4977</v>
      </c>
      <c r="S62" t="s">
        <v>4992</v>
      </c>
      <c r="T62" t="s">
        <v>4992</v>
      </c>
    </row>
    <row r="63" spans="1:20" x14ac:dyDescent="0.25">
      <c r="A63" t="s">
        <v>199</v>
      </c>
      <c r="B63" t="s">
        <v>200</v>
      </c>
      <c r="C63" s="1">
        <v>46025.654050925928</v>
      </c>
      <c r="D63">
        <v>2495.8000000000002</v>
      </c>
      <c r="E63" t="s">
        <v>25</v>
      </c>
      <c r="F63" t="s">
        <v>20</v>
      </c>
      <c r="G63" t="s">
        <v>26</v>
      </c>
      <c r="H63" t="s">
        <v>201</v>
      </c>
      <c r="I63" t="s">
        <v>3126</v>
      </c>
      <c r="J63" t="s">
        <v>3034</v>
      </c>
      <c r="K63" s="1">
        <v>46025.660995370374</v>
      </c>
      <c r="L63">
        <v>2495.8000000000002</v>
      </c>
      <c r="M63">
        <v>72.680000000000007</v>
      </c>
      <c r="N63">
        <v>2423.12</v>
      </c>
      <c r="O63" t="s">
        <v>25</v>
      </c>
      <c r="P63" t="s">
        <v>3040</v>
      </c>
      <c r="Q63" t="s">
        <v>3036</v>
      </c>
      <c r="R63" t="s">
        <v>4977</v>
      </c>
      <c r="S63" t="s">
        <v>4992</v>
      </c>
      <c r="T63" t="s">
        <v>4992</v>
      </c>
    </row>
    <row r="64" spans="1:20" x14ac:dyDescent="0.25">
      <c r="A64" t="s">
        <v>202</v>
      </c>
      <c r="B64" t="s">
        <v>203</v>
      </c>
      <c r="C64" s="1">
        <v>46026.758483796293</v>
      </c>
      <c r="D64">
        <v>714.24</v>
      </c>
      <c r="E64" t="s">
        <v>52</v>
      </c>
      <c r="F64" t="s">
        <v>20</v>
      </c>
      <c r="G64" t="s">
        <v>30</v>
      </c>
      <c r="H64" t="s">
        <v>204</v>
      </c>
      <c r="I64" t="s">
        <v>3127</v>
      </c>
      <c r="J64" t="s">
        <v>3034</v>
      </c>
      <c r="K64" s="1">
        <v>46026.765428240738</v>
      </c>
      <c r="L64">
        <v>714.24</v>
      </c>
      <c r="M64">
        <v>21.01</v>
      </c>
      <c r="N64">
        <v>693.23</v>
      </c>
      <c r="O64" t="s">
        <v>52</v>
      </c>
      <c r="P64" t="s">
        <v>3128</v>
      </c>
      <c r="Q64" t="s">
        <v>3036</v>
      </c>
      <c r="R64" t="s">
        <v>4977</v>
      </c>
      <c r="S64" t="s">
        <v>4992</v>
      </c>
      <c r="T64" t="s">
        <v>4992</v>
      </c>
    </row>
    <row r="65" spans="1:20" x14ac:dyDescent="0.25">
      <c r="A65" t="s">
        <v>205</v>
      </c>
      <c r="B65" t="s">
        <v>206</v>
      </c>
      <c r="C65" s="1">
        <v>46027.84951388889</v>
      </c>
      <c r="D65">
        <v>1271.68</v>
      </c>
      <c r="E65" t="s">
        <v>19</v>
      </c>
      <c r="F65" t="s">
        <v>20</v>
      </c>
      <c r="G65" t="s">
        <v>21</v>
      </c>
      <c r="H65" t="s">
        <v>207</v>
      </c>
      <c r="I65" t="s">
        <v>3129</v>
      </c>
      <c r="J65" t="s">
        <v>3034</v>
      </c>
      <c r="K65" s="1">
        <v>46027.856458333335</v>
      </c>
      <c r="L65">
        <v>1271.68</v>
      </c>
      <c r="M65">
        <v>37.18</v>
      </c>
      <c r="N65">
        <v>1234.5</v>
      </c>
      <c r="O65" t="s">
        <v>19</v>
      </c>
      <c r="P65" t="s">
        <v>3130</v>
      </c>
      <c r="Q65" t="s">
        <v>3036</v>
      </c>
      <c r="R65" t="s">
        <v>4977</v>
      </c>
      <c r="S65" t="s">
        <v>4992</v>
      </c>
      <c r="T65" t="s">
        <v>4992</v>
      </c>
    </row>
    <row r="66" spans="1:20" x14ac:dyDescent="0.25">
      <c r="A66" t="s">
        <v>208</v>
      </c>
      <c r="B66" t="s">
        <v>209</v>
      </c>
      <c r="C66" s="1">
        <v>46028.942974537036</v>
      </c>
      <c r="D66">
        <v>1839.72</v>
      </c>
      <c r="E66" t="s">
        <v>25</v>
      </c>
      <c r="F66" t="s">
        <v>20</v>
      </c>
      <c r="G66" t="s">
        <v>26</v>
      </c>
      <c r="H66" t="s">
        <v>210</v>
      </c>
      <c r="I66" t="s">
        <v>3131</v>
      </c>
      <c r="J66" t="s">
        <v>3034</v>
      </c>
      <c r="K66" s="1">
        <v>46028.949918981481</v>
      </c>
      <c r="L66">
        <v>1839.72</v>
      </c>
      <c r="M66">
        <v>53.65</v>
      </c>
      <c r="N66">
        <v>1786.07</v>
      </c>
      <c r="O66" t="s">
        <v>25</v>
      </c>
      <c r="P66" t="s">
        <v>3046</v>
      </c>
      <c r="Q66" t="s">
        <v>3036</v>
      </c>
      <c r="R66" t="s">
        <v>4977</v>
      </c>
      <c r="S66" t="s">
        <v>4992</v>
      </c>
      <c r="T66" t="s">
        <v>4992</v>
      </c>
    </row>
    <row r="67" spans="1:20" x14ac:dyDescent="0.25">
      <c r="A67" t="s">
        <v>211</v>
      </c>
      <c r="B67" t="s">
        <v>212</v>
      </c>
      <c r="C67" s="1">
        <v>46030.044814814813</v>
      </c>
      <c r="D67">
        <v>2472.3200000000002</v>
      </c>
      <c r="E67" t="s">
        <v>25</v>
      </c>
      <c r="F67" t="s">
        <v>20</v>
      </c>
      <c r="G67" t="s">
        <v>30</v>
      </c>
      <c r="H67" t="s">
        <v>213</v>
      </c>
      <c r="I67" t="s">
        <v>3132</v>
      </c>
      <c r="J67" t="s">
        <v>3034</v>
      </c>
      <c r="K67" s="1">
        <v>46030.051759259259</v>
      </c>
      <c r="L67">
        <v>2472.3200000000002</v>
      </c>
      <c r="M67">
        <v>72</v>
      </c>
      <c r="N67">
        <v>2400.3200000000002</v>
      </c>
      <c r="O67" t="s">
        <v>25</v>
      </c>
      <c r="P67" t="s">
        <v>3048</v>
      </c>
      <c r="Q67" t="s">
        <v>3036</v>
      </c>
      <c r="R67" t="s">
        <v>4977</v>
      </c>
      <c r="S67" t="s">
        <v>4992</v>
      </c>
      <c r="T67" t="s">
        <v>4992</v>
      </c>
    </row>
    <row r="68" spans="1:20" x14ac:dyDescent="0.25">
      <c r="A68" t="s">
        <v>214</v>
      </c>
      <c r="B68" t="s">
        <v>215</v>
      </c>
      <c r="C68" s="1">
        <v>46031.134953703702</v>
      </c>
      <c r="D68">
        <v>133</v>
      </c>
      <c r="E68" t="s">
        <v>25</v>
      </c>
      <c r="F68" t="s">
        <v>20</v>
      </c>
      <c r="G68" t="s">
        <v>21</v>
      </c>
      <c r="H68" t="s">
        <v>216</v>
      </c>
      <c r="I68" t="s">
        <v>3133</v>
      </c>
      <c r="J68" t="s">
        <v>3034</v>
      </c>
      <c r="K68" s="1">
        <v>46031.141898148147</v>
      </c>
      <c r="L68">
        <v>133</v>
      </c>
      <c r="M68">
        <v>4.16</v>
      </c>
      <c r="N68">
        <v>128.84</v>
      </c>
      <c r="O68" t="s">
        <v>25</v>
      </c>
      <c r="P68" t="s">
        <v>3050</v>
      </c>
      <c r="Q68" t="s">
        <v>3036</v>
      </c>
      <c r="R68" t="s">
        <v>4977</v>
      </c>
      <c r="S68" t="s">
        <v>4992</v>
      </c>
      <c r="T68" t="s">
        <v>4992</v>
      </c>
    </row>
    <row r="69" spans="1:20" x14ac:dyDescent="0.25">
      <c r="A69" t="s">
        <v>217</v>
      </c>
      <c r="B69" t="s">
        <v>218</v>
      </c>
      <c r="C69" s="1">
        <v>46032.200486111113</v>
      </c>
      <c r="D69">
        <v>1473.4</v>
      </c>
      <c r="E69" t="s">
        <v>25</v>
      </c>
      <c r="F69" t="s">
        <v>20</v>
      </c>
      <c r="G69" t="s">
        <v>26</v>
      </c>
      <c r="H69" t="s">
        <v>219</v>
      </c>
      <c r="I69" t="s">
        <v>3134</v>
      </c>
      <c r="J69" t="s">
        <v>3034</v>
      </c>
      <c r="K69" s="1">
        <v>46032.207430555558</v>
      </c>
      <c r="L69">
        <v>1473.4</v>
      </c>
      <c r="M69">
        <v>43.03</v>
      </c>
      <c r="N69">
        <v>1430.37</v>
      </c>
      <c r="O69" t="s">
        <v>25</v>
      </c>
      <c r="P69" t="s">
        <v>3052</v>
      </c>
      <c r="Q69" t="s">
        <v>3036</v>
      </c>
      <c r="R69" t="s">
        <v>4977</v>
      </c>
      <c r="S69" t="s">
        <v>4992</v>
      </c>
      <c r="T69" t="s">
        <v>4992</v>
      </c>
    </row>
    <row r="70" spans="1:20" x14ac:dyDescent="0.25">
      <c r="A70" t="s">
        <v>220</v>
      </c>
      <c r="B70" t="s">
        <v>221</v>
      </c>
      <c r="C70" s="1">
        <v>46032.311898148146</v>
      </c>
      <c r="D70">
        <v>1256.1199999999999</v>
      </c>
      <c r="E70" t="s">
        <v>25</v>
      </c>
      <c r="F70" t="s">
        <v>20</v>
      </c>
      <c r="G70" t="s">
        <v>30</v>
      </c>
      <c r="H70" t="s">
        <v>222</v>
      </c>
      <c r="I70" t="s">
        <v>3135</v>
      </c>
      <c r="J70" t="s">
        <v>3034</v>
      </c>
      <c r="K70" s="1">
        <v>46032.318842592591</v>
      </c>
      <c r="L70">
        <v>1256.1199999999999</v>
      </c>
      <c r="M70">
        <v>36.729999999999997</v>
      </c>
      <c r="N70">
        <v>1219.3900000000001</v>
      </c>
      <c r="O70" t="s">
        <v>25</v>
      </c>
      <c r="P70" t="s">
        <v>3079</v>
      </c>
      <c r="Q70" t="s">
        <v>3036</v>
      </c>
      <c r="R70" t="s">
        <v>4977</v>
      </c>
      <c r="S70" t="s">
        <v>4992</v>
      </c>
      <c r="T70" t="s">
        <v>4992</v>
      </c>
    </row>
    <row r="71" spans="1:20" x14ac:dyDescent="0.25">
      <c r="A71" t="s">
        <v>223</v>
      </c>
      <c r="B71" t="s">
        <v>224</v>
      </c>
      <c r="C71" s="1">
        <v>46033.39702546296</v>
      </c>
      <c r="D71">
        <v>99.91</v>
      </c>
      <c r="E71" t="s">
        <v>25</v>
      </c>
      <c r="F71" t="s">
        <v>20</v>
      </c>
      <c r="G71" t="s">
        <v>21</v>
      </c>
      <c r="H71" t="s">
        <v>225</v>
      </c>
      <c r="I71" t="s">
        <v>3136</v>
      </c>
      <c r="J71" t="s">
        <v>3034</v>
      </c>
      <c r="K71" s="1">
        <v>46033.403969907406</v>
      </c>
      <c r="L71">
        <v>99.91</v>
      </c>
      <c r="M71">
        <v>3.2</v>
      </c>
      <c r="N71">
        <v>96.71</v>
      </c>
      <c r="O71" t="s">
        <v>25</v>
      </c>
      <c r="P71" t="s">
        <v>3081</v>
      </c>
      <c r="Q71" t="s">
        <v>3036</v>
      </c>
      <c r="R71" t="s">
        <v>4977</v>
      </c>
      <c r="S71" t="s">
        <v>4992</v>
      </c>
      <c r="T71" t="s">
        <v>4992</v>
      </c>
    </row>
    <row r="72" spans="1:20" x14ac:dyDescent="0.25">
      <c r="A72" t="s">
        <v>226</v>
      </c>
      <c r="B72" t="s">
        <v>227</v>
      </c>
      <c r="C72" s="1">
        <v>46034.471053240741</v>
      </c>
      <c r="D72">
        <v>770.25</v>
      </c>
      <c r="E72" t="s">
        <v>25</v>
      </c>
      <c r="F72" t="s">
        <v>20</v>
      </c>
      <c r="G72" t="s">
        <v>26</v>
      </c>
      <c r="H72" t="s">
        <v>228</v>
      </c>
      <c r="I72" t="s">
        <v>3137</v>
      </c>
      <c r="J72" t="s">
        <v>3034</v>
      </c>
      <c r="K72" s="1">
        <v>46034.477997685186</v>
      </c>
      <c r="L72">
        <v>770.25</v>
      </c>
      <c r="M72">
        <v>22.64</v>
      </c>
      <c r="N72">
        <v>747.61</v>
      </c>
      <c r="O72" t="s">
        <v>25</v>
      </c>
      <c r="P72" t="s">
        <v>3058</v>
      </c>
      <c r="Q72" t="s">
        <v>3036</v>
      </c>
      <c r="R72" t="s">
        <v>4977</v>
      </c>
      <c r="S72" t="s">
        <v>4992</v>
      </c>
      <c r="T72" t="s">
        <v>4992</v>
      </c>
    </row>
    <row r="73" spans="1:20" x14ac:dyDescent="0.25">
      <c r="A73" t="s">
        <v>229</v>
      </c>
      <c r="B73" t="s">
        <v>230</v>
      </c>
      <c r="C73" s="1">
        <v>46035.591319444444</v>
      </c>
      <c r="D73">
        <v>532.47</v>
      </c>
      <c r="E73" t="s">
        <v>25</v>
      </c>
      <c r="F73" t="s">
        <v>20</v>
      </c>
      <c r="G73" t="s">
        <v>30</v>
      </c>
      <c r="H73" t="s">
        <v>231</v>
      </c>
      <c r="I73" t="s">
        <v>3138</v>
      </c>
      <c r="J73" t="s">
        <v>3034</v>
      </c>
      <c r="K73" s="1">
        <v>46035.598263888889</v>
      </c>
      <c r="L73">
        <v>532.47</v>
      </c>
      <c r="M73">
        <v>15.74</v>
      </c>
      <c r="N73">
        <v>516.73</v>
      </c>
      <c r="O73" t="s">
        <v>25</v>
      </c>
      <c r="P73" t="s">
        <v>3060</v>
      </c>
      <c r="Q73" t="s">
        <v>3036</v>
      </c>
      <c r="R73" t="s">
        <v>4977</v>
      </c>
      <c r="S73" t="s">
        <v>4992</v>
      </c>
      <c r="T73" t="s">
        <v>4992</v>
      </c>
    </row>
    <row r="74" spans="1:20" x14ac:dyDescent="0.25">
      <c r="A74" t="s">
        <v>232</v>
      </c>
      <c r="B74" t="s">
        <v>233</v>
      </c>
      <c r="C74" s="1">
        <v>46036.674814814818</v>
      </c>
      <c r="D74">
        <v>378.23</v>
      </c>
      <c r="E74" t="s">
        <v>52</v>
      </c>
      <c r="F74" t="s">
        <v>20</v>
      </c>
      <c r="G74" t="s">
        <v>21</v>
      </c>
      <c r="H74" t="s">
        <v>234</v>
      </c>
      <c r="I74" t="s">
        <v>3139</v>
      </c>
      <c r="J74" t="s">
        <v>3034</v>
      </c>
      <c r="K74" s="1">
        <v>46036.681759259256</v>
      </c>
      <c r="L74">
        <v>378.23</v>
      </c>
      <c r="M74">
        <v>11.27</v>
      </c>
      <c r="N74">
        <v>366.96</v>
      </c>
      <c r="O74" t="s">
        <v>52</v>
      </c>
      <c r="P74" t="s">
        <v>3140</v>
      </c>
      <c r="Q74" t="s">
        <v>3036</v>
      </c>
      <c r="R74" t="s">
        <v>4977</v>
      </c>
      <c r="S74" t="s">
        <v>4992</v>
      </c>
      <c r="T74" t="s">
        <v>4992</v>
      </c>
    </row>
    <row r="75" spans="1:20" x14ac:dyDescent="0.25">
      <c r="A75" t="s">
        <v>235</v>
      </c>
      <c r="B75" t="s">
        <v>236</v>
      </c>
      <c r="C75" s="1">
        <v>46023.774560185186</v>
      </c>
      <c r="D75">
        <v>132.62</v>
      </c>
      <c r="E75" t="s">
        <v>19</v>
      </c>
      <c r="F75" t="s">
        <v>20</v>
      </c>
      <c r="G75" t="s">
        <v>26</v>
      </c>
      <c r="H75" t="s">
        <v>237</v>
      </c>
      <c r="I75" t="s">
        <v>3141</v>
      </c>
      <c r="J75" t="s">
        <v>3034</v>
      </c>
      <c r="K75" s="1">
        <v>46023.781504629631</v>
      </c>
      <c r="L75">
        <v>132.62</v>
      </c>
      <c r="M75">
        <v>4.1500000000000004</v>
      </c>
      <c r="N75">
        <v>128.47</v>
      </c>
      <c r="O75" t="s">
        <v>19</v>
      </c>
      <c r="P75" t="s">
        <v>3035</v>
      </c>
      <c r="Q75" t="s">
        <v>3036</v>
      </c>
      <c r="R75" t="s">
        <v>4977</v>
      </c>
      <c r="S75" t="s">
        <v>4992</v>
      </c>
      <c r="T75" t="s">
        <v>4992</v>
      </c>
    </row>
    <row r="76" spans="1:20" x14ac:dyDescent="0.25">
      <c r="A76" t="s">
        <v>238</v>
      </c>
      <c r="B76" t="s">
        <v>239</v>
      </c>
      <c r="C76" s="1">
        <v>46024.866875</v>
      </c>
      <c r="D76">
        <v>625.41999999999996</v>
      </c>
      <c r="E76" t="s">
        <v>25</v>
      </c>
      <c r="F76" t="s">
        <v>20</v>
      </c>
      <c r="G76" t="s">
        <v>30</v>
      </c>
      <c r="H76" t="s">
        <v>240</v>
      </c>
      <c r="I76" t="s">
        <v>3142</v>
      </c>
      <c r="J76" t="s">
        <v>3034</v>
      </c>
      <c r="K76" s="1">
        <v>46024.873819444445</v>
      </c>
      <c r="L76">
        <v>625.41999999999996</v>
      </c>
      <c r="M76">
        <v>18.440000000000001</v>
      </c>
      <c r="N76">
        <v>606.98</v>
      </c>
      <c r="O76" t="s">
        <v>52</v>
      </c>
      <c r="P76" t="s">
        <v>3143</v>
      </c>
      <c r="Q76" t="s">
        <v>3036</v>
      </c>
      <c r="R76" t="s">
        <v>4977</v>
      </c>
      <c r="S76" t="s">
        <v>4992</v>
      </c>
      <c r="T76" t="s">
        <v>4993</v>
      </c>
    </row>
    <row r="77" spans="1:20" x14ac:dyDescent="0.25">
      <c r="A77" t="s">
        <v>241</v>
      </c>
      <c r="B77" t="s">
        <v>242</v>
      </c>
      <c r="C77" s="1">
        <v>46025.957962962966</v>
      </c>
      <c r="D77">
        <v>1889.05</v>
      </c>
      <c r="E77" t="s">
        <v>25</v>
      </c>
      <c r="F77" t="s">
        <v>20</v>
      </c>
      <c r="G77" t="s">
        <v>21</v>
      </c>
      <c r="H77" t="s">
        <v>243</v>
      </c>
      <c r="I77" t="s">
        <v>3144</v>
      </c>
      <c r="J77" t="s">
        <v>3034</v>
      </c>
      <c r="K77" s="1">
        <v>46025.964907407404</v>
      </c>
      <c r="L77">
        <v>1889.05</v>
      </c>
      <c r="M77">
        <v>55.08</v>
      </c>
      <c r="N77">
        <v>1833.97</v>
      </c>
      <c r="O77" t="s">
        <v>25</v>
      </c>
      <c r="P77" t="s">
        <v>3040</v>
      </c>
      <c r="Q77" t="s">
        <v>3036</v>
      </c>
      <c r="R77" t="s">
        <v>4977</v>
      </c>
      <c r="S77" t="s">
        <v>4992</v>
      </c>
      <c r="T77" t="s">
        <v>4992</v>
      </c>
    </row>
    <row r="78" spans="1:20" x14ac:dyDescent="0.25">
      <c r="A78" t="s">
        <v>244</v>
      </c>
      <c r="B78" t="s">
        <v>245</v>
      </c>
      <c r="C78" s="1">
        <v>46027.024143518516</v>
      </c>
      <c r="D78">
        <v>538.35</v>
      </c>
      <c r="E78" t="s">
        <v>25</v>
      </c>
      <c r="F78" t="s">
        <v>20</v>
      </c>
      <c r="G78" t="s">
        <v>26</v>
      </c>
      <c r="H78" t="s">
        <v>246</v>
      </c>
      <c r="I78" t="s">
        <v>3145</v>
      </c>
      <c r="J78" t="s">
        <v>3034</v>
      </c>
      <c r="K78" s="1">
        <v>46027.031087962961</v>
      </c>
      <c r="L78">
        <v>538.35</v>
      </c>
      <c r="M78">
        <v>15.91</v>
      </c>
      <c r="N78">
        <v>522.44000000000005</v>
      </c>
      <c r="O78" t="s">
        <v>25</v>
      </c>
      <c r="P78" t="s">
        <v>3042</v>
      </c>
      <c r="Q78" t="s">
        <v>3036</v>
      </c>
      <c r="R78" t="s">
        <v>4977</v>
      </c>
      <c r="S78" t="s">
        <v>4992</v>
      </c>
      <c r="T78" t="s">
        <v>4992</v>
      </c>
    </row>
    <row r="79" spans="1:20" x14ac:dyDescent="0.25">
      <c r="A79" t="s">
        <v>247</v>
      </c>
      <c r="B79" t="s">
        <v>248</v>
      </c>
      <c r="C79" s="1">
        <v>46028.107488425929</v>
      </c>
      <c r="D79">
        <v>370.45</v>
      </c>
      <c r="E79" t="s">
        <v>25</v>
      </c>
      <c r="F79" t="s">
        <v>20</v>
      </c>
      <c r="G79" t="s">
        <v>30</v>
      </c>
      <c r="H79" t="s">
        <v>249</v>
      </c>
      <c r="I79" t="s">
        <v>3146</v>
      </c>
      <c r="J79" t="s">
        <v>3034</v>
      </c>
      <c r="K79" s="1">
        <v>46028.114432870374</v>
      </c>
      <c r="L79">
        <v>370.45</v>
      </c>
      <c r="M79">
        <v>11.04</v>
      </c>
      <c r="N79">
        <v>359.41</v>
      </c>
      <c r="O79" t="s">
        <v>25</v>
      </c>
      <c r="P79" t="s">
        <v>3068</v>
      </c>
      <c r="Q79" t="s">
        <v>3036</v>
      </c>
      <c r="R79" t="s">
        <v>4977</v>
      </c>
      <c r="S79" t="s">
        <v>4992</v>
      </c>
      <c r="T79" t="s">
        <v>4992</v>
      </c>
    </row>
    <row r="80" spans="1:20" x14ac:dyDescent="0.25">
      <c r="A80" t="s">
        <v>250</v>
      </c>
      <c r="B80" t="s">
        <v>251</v>
      </c>
      <c r="C80" s="1">
        <v>46029.204756944448</v>
      </c>
      <c r="D80">
        <v>119.49</v>
      </c>
      <c r="E80" t="s">
        <v>25</v>
      </c>
      <c r="F80" t="s">
        <v>20</v>
      </c>
      <c r="G80" t="s">
        <v>21</v>
      </c>
      <c r="H80" t="s">
        <v>252</v>
      </c>
      <c r="I80" t="s">
        <v>3147</v>
      </c>
      <c r="J80" t="s">
        <v>3034</v>
      </c>
      <c r="K80" s="1">
        <v>46029.211701388886</v>
      </c>
      <c r="L80">
        <v>119.49</v>
      </c>
      <c r="M80">
        <v>3.77</v>
      </c>
      <c r="N80">
        <v>115.72</v>
      </c>
      <c r="O80" t="s">
        <v>25</v>
      </c>
      <c r="P80" t="s">
        <v>3046</v>
      </c>
      <c r="Q80" t="s">
        <v>3036</v>
      </c>
      <c r="R80" t="s">
        <v>4977</v>
      </c>
      <c r="S80" t="s">
        <v>4992</v>
      </c>
      <c r="T80" t="s">
        <v>4992</v>
      </c>
    </row>
    <row r="81" spans="1:20" x14ac:dyDescent="0.25">
      <c r="A81" t="s">
        <v>253</v>
      </c>
      <c r="B81" t="s">
        <v>254</v>
      </c>
      <c r="C81" s="1">
        <v>46029.312407407408</v>
      </c>
      <c r="D81">
        <v>1805.83</v>
      </c>
      <c r="E81" t="s">
        <v>25</v>
      </c>
      <c r="F81" t="s">
        <v>20</v>
      </c>
      <c r="G81" t="s">
        <v>26</v>
      </c>
      <c r="H81" t="s">
        <v>255</v>
      </c>
      <c r="I81" t="s">
        <v>3148</v>
      </c>
      <c r="J81" t="s">
        <v>3034</v>
      </c>
      <c r="K81" s="1">
        <v>46029.319351851853</v>
      </c>
      <c r="L81">
        <v>1805.83</v>
      </c>
      <c r="M81">
        <v>52.67</v>
      </c>
      <c r="N81">
        <v>1753.16</v>
      </c>
      <c r="O81" t="s">
        <v>25</v>
      </c>
      <c r="P81" t="s">
        <v>3048</v>
      </c>
      <c r="Q81" t="s">
        <v>3036</v>
      </c>
      <c r="R81" t="s">
        <v>4977</v>
      </c>
      <c r="S81" t="s">
        <v>4992</v>
      </c>
      <c r="T81" t="s">
        <v>4992</v>
      </c>
    </row>
    <row r="82" spans="1:20" x14ac:dyDescent="0.25">
      <c r="A82" t="s">
        <v>256</v>
      </c>
      <c r="B82" t="s">
        <v>257</v>
      </c>
      <c r="C82" s="1">
        <v>46030.408125000002</v>
      </c>
      <c r="D82">
        <v>970.87</v>
      </c>
      <c r="E82" t="s">
        <v>25</v>
      </c>
      <c r="F82" t="s">
        <v>20</v>
      </c>
      <c r="G82" t="s">
        <v>30</v>
      </c>
      <c r="H82" t="s">
        <v>258</v>
      </c>
      <c r="I82" t="s">
        <v>3149</v>
      </c>
      <c r="J82" t="s">
        <v>3034</v>
      </c>
      <c r="K82" s="1">
        <v>46030.415069444447</v>
      </c>
      <c r="L82">
        <v>970.87</v>
      </c>
      <c r="M82">
        <v>28.46</v>
      </c>
      <c r="N82">
        <v>942.41</v>
      </c>
      <c r="O82" t="s">
        <v>25</v>
      </c>
      <c r="P82" t="s">
        <v>3050</v>
      </c>
      <c r="Q82" t="s">
        <v>3036</v>
      </c>
      <c r="R82" t="s">
        <v>4977</v>
      </c>
      <c r="S82" t="s">
        <v>4992</v>
      </c>
      <c r="T82" t="s">
        <v>4992</v>
      </c>
    </row>
    <row r="83" spans="1:20" x14ac:dyDescent="0.25">
      <c r="A83" t="s">
        <v>259</v>
      </c>
      <c r="B83" t="s">
        <v>260</v>
      </c>
      <c r="C83" s="1">
        <v>46031.472511574073</v>
      </c>
      <c r="D83">
        <v>317.72000000000003</v>
      </c>
      <c r="E83" t="s">
        <v>25</v>
      </c>
      <c r="F83" t="s">
        <v>20</v>
      </c>
      <c r="G83" t="s">
        <v>21</v>
      </c>
      <c r="H83" t="s">
        <v>261</v>
      </c>
      <c r="I83" t="s">
        <v>3150</v>
      </c>
      <c r="J83" t="s">
        <v>3034</v>
      </c>
      <c r="K83" s="1">
        <v>46031.479456018518</v>
      </c>
      <c r="L83">
        <v>317.72000000000003</v>
      </c>
      <c r="M83">
        <v>9.51</v>
      </c>
      <c r="N83">
        <v>308.20999999999998</v>
      </c>
      <c r="O83" t="s">
        <v>25</v>
      </c>
      <c r="P83" t="s">
        <v>3052</v>
      </c>
      <c r="Q83" t="s">
        <v>3036</v>
      </c>
      <c r="R83" t="s">
        <v>4977</v>
      </c>
      <c r="S83" t="s">
        <v>4992</v>
      </c>
      <c r="T83" t="s">
        <v>4992</v>
      </c>
    </row>
    <row r="84" spans="1:20" x14ac:dyDescent="0.25">
      <c r="A84" t="s">
        <v>259</v>
      </c>
      <c r="B84" t="s">
        <v>260</v>
      </c>
      <c r="C84" s="1">
        <v>46031.472511574073</v>
      </c>
      <c r="D84">
        <v>317.72000000000003</v>
      </c>
      <c r="E84" t="s">
        <v>25</v>
      </c>
      <c r="F84" t="s">
        <v>20</v>
      </c>
      <c r="G84" t="s">
        <v>21</v>
      </c>
      <c r="H84" t="s">
        <v>261</v>
      </c>
      <c r="I84" t="s">
        <v>3150</v>
      </c>
      <c r="J84" t="s">
        <v>3034</v>
      </c>
      <c r="K84" s="1">
        <v>46031.479456018518</v>
      </c>
      <c r="L84">
        <v>317.72000000000003</v>
      </c>
      <c r="M84">
        <v>9.51</v>
      </c>
      <c r="N84">
        <v>308.20999999999998</v>
      </c>
      <c r="O84" t="s">
        <v>25</v>
      </c>
      <c r="P84" t="s">
        <v>3052</v>
      </c>
      <c r="Q84" t="s">
        <v>3036</v>
      </c>
      <c r="R84" t="s">
        <v>4977</v>
      </c>
      <c r="S84" t="s">
        <v>4992</v>
      </c>
      <c r="T84" t="s">
        <v>4992</v>
      </c>
    </row>
    <row r="85" spans="1:20" x14ac:dyDescent="0.25">
      <c r="A85" t="s">
        <v>262</v>
      </c>
      <c r="B85" t="s">
        <v>263</v>
      </c>
      <c r="C85" s="1">
        <v>46032.600902777776</v>
      </c>
      <c r="D85">
        <v>418.48</v>
      </c>
      <c r="E85" t="s">
        <v>52</v>
      </c>
      <c r="F85" t="s">
        <v>20</v>
      </c>
      <c r="G85" t="s">
        <v>26</v>
      </c>
      <c r="H85" t="s">
        <v>264</v>
      </c>
      <c r="I85" t="s">
        <v>3151</v>
      </c>
      <c r="J85" t="s">
        <v>3034</v>
      </c>
      <c r="K85" s="1">
        <v>46032.607847222222</v>
      </c>
      <c r="L85">
        <v>418.48</v>
      </c>
      <c r="M85">
        <v>12.44</v>
      </c>
      <c r="N85">
        <v>406.04</v>
      </c>
      <c r="O85" t="s">
        <v>52</v>
      </c>
      <c r="P85" t="s">
        <v>3054</v>
      </c>
      <c r="Q85" t="s">
        <v>3036</v>
      </c>
      <c r="R85" t="s">
        <v>4977</v>
      </c>
      <c r="S85" t="s">
        <v>4992</v>
      </c>
      <c r="T85" t="s">
        <v>4992</v>
      </c>
    </row>
    <row r="86" spans="1:20" x14ac:dyDescent="0.25">
      <c r="A86" t="s">
        <v>265</v>
      </c>
      <c r="B86" t="s">
        <v>266</v>
      </c>
      <c r="C86" s="1">
        <v>46033.675069444442</v>
      </c>
      <c r="D86">
        <v>1853.19</v>
      </c>
      <c r="E86" t="s">
        <v>19</v>
      </c>
      <c r="F86" t="s">
        <v>20</v>
      </c>
      <c r="G86" t="s">
        <v>30</v>
      </c>
      <c r="H86" t="s">
        <v>267</v>
      </c>
      <c r="I86" t="s">
        <v>3152</v>
      </c>
      <c r="J86" t="s">
        <v>3034</v>
      </c>
      <c r="K86" s="1">
        <v>46033.682013888887</v>
      </c>
      <c r="L86">
        <v>1853.19</v>
      </c>
      <c r="M86">
        <v>54.04</v>
      </c>
      <c r="N86">
        <v>1799.15</v>
      </c>
      <c r="O86" t="s">
        <v>19</v>
      </c>
      <c r="P86" t="s">
        <v>3056</v>
      </c>
      <c r="Q86" t="s">
        <v>3036</v>
      </c>
      <c r="R86" t="s">
        <v>4977</v>
      </c>
      <c r="S86" t="s">
        <v>4992</v>
      </c>
      <c r="T86" t="s">
        <v>4992</v>
      </c>
    </row>
    <row r="87" spans="1:20" x14ac:dyDescent="0.25">
      <c r="A87" t="s">
        <v>271</v>
      </c>
      <c r="B87" t="s">
        <v>272</v>
      </c>
      <c r="C87" s="1">
        <v>46035.84715277778</v>
      </c>
      <c r="D87">
        <v>1566.81</v>
      </c>
      <c r="E87" t="s">
        <v>25</v>
      </c>
      <c r="F87" t="s">
        <v>20</v>
      </c>
      <c r="G87" t="s">
        <v>26</v>
      </c>
      <c r="H87" t="s">
        <v>273</v>
      </c>
      <c r="I87" t="s">
        <v>3153</v>
      </c>
      <c r="J87" t="s">
        <v>3034</v>
      </c>
      <c r="K87" s="1">
        <v>46035.854097222225</v>
      </c>
      <c r="L87">
        <v>1566.81</v>
      </c>
      <c r="M87">
        <v>45.74</v>
      </c>
      <c r="N87">
        <v>1521.07</v>
      </c>
      <c r="O87" t="s">
        <v>25</v>
      </c>
      <c r="P87" t="s">
        <v>3060</v>
      </c>
      <c r="Q87" t="s">
        <v>3036</v>
      </c>
      <c r="R87" t="s">
        <v>4977</v>
      </c>
      <c r="S87" t="s">
        <v>4992</v>
      </c>
      <c r="T87" t="s">
        <v>4992</v>
      </c>
    </row>
    <row r="88" spans="1:20" x14ac:dyDescent="0.25">
      <c r="A88" t="s">
        <v>274</v>
      </c>
      <c r="B88" t="s">
        <v>275</v>
      </c>
      <c r="C88" s="1">
        <v>46036.946168981478</v>
      </c>
      <c r="D88">
        <v>1437.79</v>
      </c>
      <c r="E88" t="s">
        <v>25</v>
      </c>
      <c r="F88" t="s">
        <v>20</v>
      </c>
      <c r="G88" t="s">
        <v>30</v>
      </c>
      <c r="H88" t="s">
        <v>276</v>
      </c>
      <c r="I88" t="s">
        <v>3154</v>
      </c>
      <c r="J88" t="s">
        <v>3034</v>
      </c>
      <c r="K88" s="1">
        <v>46036.953113425923</v>
      </c>
      <c r="L88">
        <v>1437.79</v>
      </c>
      <c r="M88">
        <v>42</v>
      </c>
      <c r="N88">
        <v>1395.79</v>
      </c>
      <c r="O88" t="s">
        <v>25</v>
      </c>
      <c r="P88" t="s">
        <v>3062</v>
      </c>
      <c r="Q88" t="s">
        <v>3036</v>
      </c>
      <c r="R88" t="s">
        <v>4977</v>
      </c>
      <c r="S88" t="s">
        <v>4992</v>
      </c>
      <c r="T88" t="s">
        <v>4992</v>
      </c>
    </row>
    <row r="89" spans="1:20" x14ac:dyDescent="0.25">
      <c r="A89" t="s">
        <v>277</v>
      </c>
      <c r="B89" t="s">
        <v>278</v>
      </c>
      <c r="C89" s="1">
        <v>46024.051504629628</v>
      </c>
      <c r="D89">
        <v>1706.24</v>
      </c>
      <c r="E89" t="s">
        <v>25</v>
      </c>
      <c r="F89" t="s">
        <v>20</v>
      </c>
      <c r="G89" t="s">
        <v>21</v>
      </c>
      <c r="H89" t="s">
        <v>279</v>
      </c>
      <c r="I89" t="s">
        <v>3155</v>
      </c>
      <c r="J89" t="s">
        <v>3034</v>
      </c>
      <c r="K89" s="1">
        <v>46024.058449074073</v>
      </c>
      <c r="L89">
        <v>1706.24</v>
      </c>
      <c r="M89">
        <v>49.78</v>
      </c>
      <c r="N89">
        <v>1656.46</v>
      </c>
      <c r="O89" t="s">
        <v>25</v>
      </c>
      <c r="P89" t="s">
        <v>3064</v>
      </c>
      <c r="Q89" t="s">
        <v>3036</v>
      </c>
      <c r="R89" t="s">
        <v>4977</v>
      </c>
      <c r="S89" t="s">
        <v>4992</v>
      </c>
      <c r="T89" t="s">
        <v>4992</v>
      </c>
    </row>
    <row r="90" spans="1:20" x14ac:dyDescent="0.25">
      <c r="A90" t="s">
        <v>280</v>
      </c>
      <c r="B90" t="s">
        <v>281</v>
      </c>
      <c r="C90" s="1">
        <v>46025.133784722224</v>
      </c>
      <c r="D90">
        <v>2382.2399999999998</v>
      </c>
      <c r="E90" t="s">
        <v>25</v>
      </c>
      <c r="F90" t="s">
        <v>20</v>
      </c>
      <c r="G90" t="s">
        <v>26</v>
      </c>
      <c r="H90" t="s">
        <v>282</v>
      </c>
      <c r="I90" t="s">
        <v>3156</v>
      </c>
      <c r="J90" t="s">
        <v>3034</v>
      </c>
      <c r="K90" s="1">
        <v>46025.140729166669</v>
      </c>
      <c r="L90">
        <v>2382.2399999999998</v>
      </c>
      <c r="M90">
        <v>69.38</v>
      </c>
      <c r="N90">
        <v>2312.86</v>
      </c>
      <c r="O90" t="s">
        <v>25</v>
      </c>
      <c r="P90" t="s">
        <v>3038</v>
      </c>
      <c r="Q90" t="s">
        <v>3036</v>
      </c>
      <c r="R90" t="s">
        <v>4977</v>
      </c>
      <c r="S90" t="s">
        <v>4992</v>
      </c>
      <c r="T90" t="s">
        <v>4992</v>
      </c>
    </row>
    <row r="91" spans="1:20" x14ac:dyDescent="0.25">
      <c r="A91" t="s">
        <v>283</v>
      </c>
      <c r="B91" t="s">
        <v>284</v>
      </c>
      <c r="C91" s="1">
        <v>46025.240127314813</v>
      </c>
      <c r="D91">
        <v>467.12</v>
      </c>
      <c r="E91" t="s">
        <v>25</v>
      </c>
      <c r="F91" t="s">
        <v>20</v>
      </c>
      <c r="G91" t="s">
        <v>30</v>
      </c>
      <c r="H91" t="s">
        <v>285</v>
      </c>
      <c r="I91" t="s">
        <v>3157</v>
      </c>
      <c r="J91" t="s">
        <v>3034</v>
      </c>
      <c r="K91" s="1">
        <v>46025.247071759259</v>
      </c>
      <c r="L91">
        <v>467.12</v>
      </c>
      <c r="M91">
        <v>13.85</v>
      </c>
      <c r="N91">
        <v>453.27</v>
      </c>
      <c r="O91" t="s">
        <v>25</v>
      </c>
      <c r="P91" t="s">
        <v>3040</v>
      </c>
      <c r="Q91" t="s">
        <v>3036</v>
      </c>
      <c r="R91" t="s">
        <v>4977</v>
      </c>
      <c r="S91" t="s">
        <v>4992</v>
      </c>
      <c r="T91" t="s">
        <v>4992</v>
      </c>
    </row>
    <row r="92" spans="1:20" x14ac:dyDescent="0.25">
      <c r="A92" t="s">
        <v>286</v>
      </c>
      <c r="B92" t="s">
        <v>287</v>
      </c>
      <c r="C92" s="1">
        <v>46026.307280092595</v>
      </c>
      <c r="D92">
        <v>1359.12</v>
      </c>
      <c r="E92" t="s">
        <v>25</v>
      </c>
      <c r="F92" t="s">
        <v>20</v>
      </c>
      <c r="G92" t="s">
        <v>21</v>
      </c>
      <c r="H92" t="s">
        <v>288</v>
      </c>
      <c r="I92" t="s">
        <v>3158</v>
      </c>
      <c r="J92" t="s">
        <v>3034</v>
      </c>
      <c r="K92" s="1">
        <v>46026.31422453704</v>
      </c>
      <c r="L92">
        <v>1359.12</v>
      </c>
      <c r="M92">
        <v>39.71</v>
      </c>
      <c r="N92">
        <v>1319.41</v>
      </c>
      <c r="O92" t="s">
        <v>25</v>
      </c>
      <c r="P92" t="s">
        <v>3042</v>
      </c>
      <c r="Q92" t="s">
        <v>3036</v>
      </c>
      <c r="R92" t="s">
        <v>4977</v>
      </c>
      <c r="S92" t="s">
        <v>4992</v>
      </c>
      <c r="T92" t="s">
        <v>4992</v>
      </c>
    </row>
    <row r="93" spans="1:20" x14ac:dyDescent="0.25">
      <c r="A93" t="s">
        <v>289</v>
      </c>
      <c r="B93" t="s">
        <v>290</v>
      </c>
      <c r="C93" s="1">
        <v>46027.40896990741</v>
      </c>
      <c r="D93">
        <v>616.07000000000005</v>
      </c>
      <c r="E93" t="s">
        <v>25</v>
      </c>
      <c r="F93" t="s">
        <v>20</v>
      </c>
      <c r="G93" t="s">
        <v>26</v>
      </c>
      <c r="H93" t="s">
        <v>291</v>
      </c>
      <c r="I93" t="s">
        <v>3159</v>
      </c>
      <c r="J93" t="s">
        <v>3034</v>
      </c>
      <c r="K93" s="1">
        <v>46027.415914351855</v>
      </c>
      <c r="L93">
        <v>616.07000000000005</v>
      </c>
      <c r="M93">
        <v>18.170000000000002</v>
      </c>
      <c r="N93">
        <v>597.9</v>
      </c>
      <c r="O93" t="s">
        <v>25</v>
      </c>
      <c r="P93" t="s">
        <v>3068</v>
      </c>
      <c r="Q93" t="s">
        <v>3036</v>
      </c>
      <c r="R93" t="s">
        <v>4977</v>
      </c>
      <c r="S93" t="s">
        <v>4992</v>
      </c>
      <c r="T93" t="s">
        <v>4992</v>
      </c>
    </row>
    <row r="94" spans="1:20" x14ac:dyDescent="0.25">
      <c r="A94" t="s">
        <v>292</v>
      </c>
      <c r="B94" t="s">
        <v>293</v>
      </c>
      <c r="C94" s="1">
        <v>46028.501909722225</v>
      </c>
      <c r="D94">
        <v>2369.81</v>
      </c>
      <c r="E94" t="s">
        <v>52</v>
      </c>
      <c r="F94" t="s">
        <v>20</v>
      </c>
      <c r="G94" t="s">
        <v>30</v>
      </c>
      <c r="H94" t="s">
        <v>294</v>
      </c>
      <c r="I94" t="s">
        <v>3160</v>
      </c>
      <c r="J94" t="s">
        <v>3034</v>
      </c>
      <c r="K94" s="1">
        <v>46028.50885416667</v>
      </c>
      <c r="L94">
        <v>2369.81</v>
      </c>
      <c r="M94">
        <v>69.02</v>
      </c>
      <c r="N94">
        <v>2300.79</v>
      </c>
      <c r="O94" t="s">
        <v>52</v>
      </c>
      <c r="P94" t="s">
        <v>3070</v>
      </c>
      <c r="Q94" t="s">
        <v>3036</v>
      </c>
      <c r="R94" t="s">
        <v>4977</v>
      </c>
      <c r="S94" t="s">
        <v>4992</v>
      </c>
      <c r="T94" t="s">
        <v>4992</v>
      </c>
    </row>
    <row r="95" spans="1:20" x14ac:dyDescent="0.25">
      <c r="A95" t="s">
        <v>295</v>
      </c>
      <c r="B95" t="s">
        <v>296</v>
      </c>
      <c r="C95" s="1">
        <v>46029.595370370371</v>
      </c>
      <c r="D95">
        <v>1918.27</v>
      </c>
      <c r="E95" t="s">
        <v>19</v>
      </c>
      <c r="F95" t="s">
        <v>20</v>
      </c>
      <c r="G95" t="s">
        <v>21</v>
      </c>
      <c r="H95" t="s">
        <v>297</v>
      </c>
      <c r="I95" t="s">
        <v>3161</v>
      </c>
      <c r="J95" t="s">
        <v>3034</v>
      </c>
      <c r="K95" s="1">
        <v>46029.602314814816</v>
      </c>
      <c r="L95">
        <v>1918.27</v>
      </c>
      <c r="M95">
        <v>55.93</v>
      </c>
      <c r="N95">
        <v>1862.34</v>
      </c>
      <c r="O95" t="s">
        <v>19</v>
      </c>
      <c r="P95" t="s">
        <v>3072</v>
      </c>
      <c r="Q95" t="s">
        <v>3036</v>
      </c>
      <c r="R95" t="s">
        <v>4977</v>
      </c>
      <c r="S95" t="s">
        <v>4992</v>
      </c>
      <c r="T95" t="s">
        <v>4992</v>
      </c>
    </row>
    <row r="96" spans="1:20" x14ac:dyDescent="0.25">
      <c r="A96" t="s">
        <v>298</v>
      </c>
      <c r="B96" t="s">
        <v>299</v>
      </c>
      <c r="C96" s="1">
        <v>46030.662662037037</v>
      </c>
      <c r="D96">
        <v>291.83</v>
      </c>
      <c r="E96" t="s">
        <v>25</v>
      </c>
      <c r="F96" t="s">
        <v>20</v>
      </c>
      <c r="G96" t="s">
        <v>26</v>
      </c>
      <c r="H96" t="s">
        <v>300</v>
      </c>
      <c r="I96" t="s">
        <v>3162</v>
      </c>
      <c r="J96" t="s">
        <v>3034</v>
      </c>
      <c r="K96" s="1">
        <v>46030.669606481482</v>
      </c>
      <c r="L96">
        <v>291.83</v>
      </c>
      <c r="M96">
        <v>8.76</v>
      </c>
      <c r="N96">
        <v>283.07</v>
      </c>
      <c r="O96" t="s">
        <v>25</v>
      </c>
      <c r="P96" t="s">
        <v>3050</v>
      </c>
      <c r="Q96" t="s">
        <v>3036</v>
      </c>
      <c r="R96" t="s">
        <v>4977</v>
      </c>
      <c r="S96" t="s">
        <v>4992</v>
      </c>
      <c r="T96" t="s">
        <v>4992</v>
      </c>
    </row>
    <row r="97" spans="1:20" x14ac:dyDescent="0.25">
      <c r="A97" t="s">
        <v>301</v>
      </c>
      <c r="B97" t="s">
        <v>302</v>
      </c>
      <c r="C97" s="1">
        <v>46031.754803240743</v>
      </c>
      <c r="D97">
        <v>219.41</v>
      </c>
      <c r="E97" t="s">
        <v>25</v>
      </c>
      <c r="F97" t="s">
        <v>20</v>
      </c>
      <c r="G97" t="s">
        <v>30</v>
      </c>
      <c r="H97" t="s">
        <v>303</v>
      </c>
      <c r="I97" t="s">
        <v>3163</v>
      </c>
      <c r="J97" t="s">
        <v>3034</v>
      </c>
      <c r="K97" s="1">
        <v>46031.761747685188</v>
      </c>
      <c r="L97">
        <v>219.41</v>
      </c>
      <c r="M97">
        <v>6.66</v>
      </c>
      <c r="N97">
        <v>212.75</v>
      </c>
      <c r="O97" t="s">
        <v>25</v>
      </c>
      <c r="P97" t="s">
        <v>3164</v>
      </c>
      <c r="Q97" t="s">
        <v>3036</v>
      </c>
      <c r="R97" t="s">
        <v>4977</v>
      </c>
      <c r="S97" t="s">
        <v>4992</v>
      </c>
      <c r="T97" t="s">
        <v>4992</v>
      </c>
    </row>
    <row r="98" spans="1:20" x14ac:dyDescent="0.25">
      <c r="A98" t="s">
        <v>307</v>
      </c>
      <c r="B98" t="s">
        <v>308</v>
      </c>
      <c r="C98" s="1">
        <v>46033.944675925923</v>
      </c>
      <c r="D98">
        <v>1608.12</v>
      </c>
      <c r="E98" t="s">
        <v>25</v>
      </c>
      <c r="F98" t="s">
        <v>20</v>
      </c>
      <c r="G98" t="s">
        <v>26</v>
      </c>
      <c r="H98" t="s">
        <v>309</v>
      </c>
      <c r="I98" t="s">
        <v>3165</v>
      </c>
      <c r="J98" t="s">
        <v>3034</v>
      </c>
      <c r="K98" s="1">
        <v>46033.951620370368</v>
      </c>
      <c r="L98">
        <v>1608.12</v>
      </c>
      <c r="M98">
        <v>46.94</v>
      </c>
      <c r="N98">
        <v>1561.18</v>
      </c>
      <c r="O98" t="s">
        <v>25</v>
      </c>
      <c r="P98" t="s">
        <v>3081</v>
      </c>
      <c r="Q98" t="s">
        <v>3036</v>
      </c>
      <c r="R98" t="s">
        <v>4977</v>
      </c>
      <c r="S98" t="s">
        <v>4992</v>
      </c>
      <c r="T98" t="s">
        <v>4992</v>
      </c>
    </row>
    <row r="99" spans="1:20" x14ac:dyDescent="0.25">
      <c r="A99" t="s">
        <v>310</v>
      </c>
      <c r="B99" t="s">
        <v>311</v>
      </c>
      <c r="C99" s="1">
        <v>46035.05263888889</v>
      </c>
      <c r="D99">
        <v>1065.94</v>
      </c>
      <c r="E99" t="s">
        <v>25</v>
      </c>
      <c r="F99" t="s">
        <v>20</v>
      </c>
      <c r="G99" t="s">
        <v>30</v>
      </c>
      <c r="H99" t="s">
        <v>312</v>
      </c>
      <c r="I99" t="s">
        <v>3166</v>
      </c>
      <c r="J99" t="s">
        <v>3034</v>
      </c>
      <c r="K99" s="1">
        <v>46035.059583333335</v>
      </c>
      <c r="L99">
        <v>1065.94</v>
      </c>
      <c r="M99">
        <v>31.21</v>
      </c>
      <c r="N99">
        <v>1034.73</v>
      </c>
      <c r="O99" t="s">
        <v>25</v>
      </c>
      <c r="P99" t="s">
        <v>3058</v>
      </c>
      <c r="Q99" t="s">
        <v>3036</v>
      </c>
      <c r="R99" t="s">
        <v>4977</v>
      </c>
      <c r="S99" t="s">
        <v>4992</v>
      </c>
      <c r="T99" t="s">
        <v>4992</v>
      </c>
    </row>
    <row r="100" spans="1:20" x14ac:dyDescent="0.25">
      <c r="A100" t="s">
        <v>313</v>
      </c>
      <c r="B100" t="s">
        <v>314</v>
      </c>
      <c r="C100" s="1">
        <v>46036.123310185183</v>
      </c>
      <c r="D100">
        <v>1337.96</v>
      </c>
      <c r="E100" t="s">
        <v>25</v>
      </c>
      <c r="F100" t="s">
        <v>20</v>
      </c>
      <c r="G100" t="s">
        <v>21</v>
      </c>
      <c r="H100" t="s">
        <v>315</v>
      </c>
      <c r="I100" t="s">
        <v>3167</v>
      </c>
      <c r="J100" t="s">
        <v>3034</v>
      </c>
      <c r="K100" s="1">
        <v>46036.130254629628</v>
      </c>
      <c r="L100">
        <v>1337.96</v>
      </c>
      <c r="M100">
        <v>39.1</v>
      </c>
      <c r="N100">
        <v>1298.8599999999999</v>
      </c>
      <c r="O100" t="s">
        <v>25</v>
      </c>
      <c r="P100" t="s">
        <v>3060</v>
      </c>
      <c r="Q100" t="s">
        <v>3036</v>
      </c>
      <c r="R100" t="s">
        <v>4977</v>
      </c>
      <c r="S100" t="s">
        <v>4992</v>
      </c>
      <c r="T100" t="s">
        <v>4992</v>
      </c>
    </row>
    <row r="101" spans="1:20" x14ac:dyDescent="0.25">
      <c r="A101" t="s">
        <v>316</v>
      </c>
      <c r="B101" t="s">
        <v>317</v>
      </c>
      <c r="C101" s="1">
        <v>46036.229363425926</v>
      </c>
      <c r="D101">
        <v>141.66999999999999</v>
      </c>
      <c r="E101" t="s">
        <v>25</v>
      </c>
      <c r="F101" t="s">
        <v>20</v>
      </c>
      <c r="G101" t="s">
        <v>26</v>
      </c>
      <c r="H101" t="s">
        <v>318</v>
      </c>
      <c r="I101" t="s">
        <v>3168</v>
      </c>
      <c r="J101" t="s">
        <v>3034</v>
      </c>
      <c r="K101" s="1">
        <v>46036.236307870371</v>
      </c>
      <c r="L101">
        <v>141.66999999999999</v>
      </c>
      <c r="M101">
        <v>4.41</v>
      </c>
      <c r="N101">
        <v>137.26</v>
      </c>
      <c r="O101" t="s">
        <v>25</v>
      </c>
      <c r="P101" t="s">
        <v>3169</v>
      </c>
      <c r="Q101" t="s">
        <v>3036</v>
      </c>
      <c r="R101" t="s">
        <v>4977</v>
      </c>
      <c r="S101" t="s">
        <v>4992</v>
      </c>
      <c r="T101" t="s">
        <v>4992</v>
      </c>
    </row>
    <row r="102" spans="1:20" x14ac:dyDescent="0.25">
      <c r="A102" t="s">
        <v>319</v>
      </c>
      <c r="B102" t="s">
        <v>320</v>
      </c>
      <c r="C102" s="1">
        <v>46023.323483796295</v>
      </c>
      <c r="D102">
        <v>2255.06</v>
      </c>
      <c r="E102" t="s">
        <v>25</v>
      </c>
      <c r="F102" t="s">
        <v>20</v>
      </c>
      <c r="G102" t="s">
        <v>30</v>
      </c>
      <c r="H102" t="s">
        <v>321</v>
      </c>
      <c r="I102" t="s">
        <v>3170</v>
      </c>
      <c r="J102" t="s">
        <v>3034</v>
      </c>
      <c r="K102" s="1">
        <v>46023.330428240741</v>
      </c>
      <c r="L102">
        <v>2255.06</v>
      </c>
      <c r="M102">
        <v>65.7</v>
      </c>
      <c r="N102">
        <v>2189.36</v>
      </c>
      <c r="O102" t="s">
        <v>25</v>
      </c>
      <c r="P102" t="s">
        <v>3064</v>
      </c>
      <c r="Q102" t="s">
        <v>3036</v>
      </c>
      <c r="R102" t="s">
        <v>4977</v>
      </c>
      <c r="S102" t="s">
        <v>4992</v>
      </c>
      <c r="T102" t="s">
        <v>4992</v>
      </c>
    </row>
    <row r="103" spans="1:20" x14ac:dyDescent="0.25">
      <c r="A103" t="s">
        <v>322</v>
      </c>
      <c r="B103" t="s">
        <v>323</v>
      </c>
      <c r="C103" s="1">
        <v>46024.395902777775</v>
      </c>
      <c r="D103">
        <v>2258.3200000000002</v>
      </c>
      <c r="E103" t="s">
        <v>52</v>
      </c>
      <c r="F103" t="s">
        <v>20</v>
      </c>
      <c r="G103" t="s">
        <v>21</v>
      </c>
      <c r="H103" t="s">
        <v>324</v>
      </c>
      <c r="I103" t="s">
        <v>3171</v>
      </c>
      <c r="J103" t="s">
        <v>3034</v>
      </c>
      <c r="K103" s="1">
        <v>46024.40284722222</v>
      </c>
      <c r="L103">
        <v>2258.3200000000002</v>
      </c>
      <c r="M103">
        <v>65.790000000000006</v>
      </c>
      <c r="N103">
        <v>2192.5300000000002</v>
      </c>
      <c r="O103" t="s">
        <v>52</v>
      </c>
      <c r="P103" t="s">
        <v>3172</v>
      </c>
      <c r="Q103" t="s">
        <v>3036</v>
      </c>
      <c r="R103" t="s">
        <v>4977</v>
      </c>
      <c r="S103" t="s">
        <v>4992</v>
      </c>
      <c r="T103" t="s">
        <v>4992</v>
      </c>
    </row>
    <row r="104" spans="1:20" x14ac:dyDescent="0.25">
      <c r="A104" t="s">
        <v>325</v>
      </c>
      <c r="B104" t="s">
        <v>326</v>
      </c>
      <c r="C104" s="1">
        <v>46025.526678240742</v>
      </c>
      <c r="D104">
        <v>1533.65</v>
      </c>
      <c r="E104" t="s">
        <v>19</v>
      </c>
      <c r="F104" t="s">
        <v>20</v>
      </c>
      <c r="G104" t="s">
        <v>26</v>
      </c>
      <c r="H104" t="s">
        <v>327</v>
      </c>
      <c r="I104" t="s">
        <v>3173</v>
      </c>
      <c r="J104" t="s">
        <v>3034</v>
      </c>
      <c r="K104" s="1">
        <v>46025.533622685187</v>
      </c>
      <c r="L104">
        <v>1533.65</v>
      </c>
      <c r="M104">
        <v>44.78</v>
      </c>
      <c r="N104">
        <v>1488.87</v>
      </c>
      <c r="O104" t="s">
        <v>19</v>
      </c>
      <c r="P104" t="s">
        <v>3174</v>
      </c>
      <c r="Q104" t="s">
        <v>3036</v>
      </c>
      <c r="R104" t="s">
        <v>4977</v>
      </c>
      <c r="S104" t="s">
        <v>4992</v>
      </c>
      <c r="T104" t="s">
        <v>4992</v>
      </c>
    </row>
    <row r="105" spans="1:20" x14ac:dyDescent="0.25">
      <c r="A105" t="s">
        <v>328</v>
      </c>
      <c r="B105" t="s">
        <v>329</v>
      </c>
      <c r="C105" s="1">
        <v>46026.606481481482</v>
      </c>
      <c r="D105">
        <v>1165.1300000000001</v>
      </c>
      <c r="E105" t="s">
        <v>25</v>
      </c>
      <c r="F105" t="s">
        <v>20</v>
      </c>
      <c r="G105" t="s">
        <v>30</v>
      </c>
      <c r="H105" t="s">
        <v>330</v>
      </c>
      <c r="I105" t="s">
        <v>3175</v>
      </c>
      <c r="J105" t="s">
        <v>3034</v>
      </c>
      <c r="K105" s="1">
        <v>46026.613425925927</v>
      </c>
      <c r="L105">
        <v>1165.1300000000001</v>
      </c>
      <c r="M105">
        <v>34.090000000000003</v>
      </c>
      <c r="N105">
        <v>1131.04</v>
      </c>
      <c r="O105" t="s">
        <v>25</v>
      </c>
      <c r="P105" t="s">
        <v>3042</v>
      </c>
      <c r="Q105" t="s">
        <v>3036</v>
      </c>
      <c r="R105" t="s">
        <v>4977</v>
      </c>
      <c r="S105" t="s">
        <v>4992</v>
      </c>
      <c r="T105" t="s">
        <v>4992</v>
      </c>
    </row>
    <row r="106" spans="1:20" x14ac:dyDescent="0.25">
      <c r="A106" t="s">
        <v>331</v>
      </c>
      <c r="B106" t="s">
        <v>332</v>
      </c>
      <c r="C106" s="1">
        <v>46027.678622685184</v>
      </c>
      <c r="D106">
        <v>617.96</v>
      </c>
      <c r="E106" t="s">
        <v>25</v>
      </c>
      <c r="F106" t="s">
        <v>20</v>
      </c>
      <c r="G106" t="s">
        <v>21</v>
      </c>
      <c r="H106" t="s">
        <v>333</v>
      </c>
      <c r="I106" t="s">
        <v>3176</v>
      </c>
      <c r="J106" t="s">
        <v>3034</v>
      </c>
      <c r="K106" s="1">
        <v>46027.685567129629</v>
      </c>
      <c r="L106">
        <v>617.96</v>
      </c>
      <c r="M106">
        <v>18.22</v>
      </c>
      <c r="N106">
        <v>599.74</v>
      </c>
      <c r="O106" t="s">
        <v>25</v>
      </c>
      <c r="P106" t="s">
        <v>3068</v>
      </c>
      <c r="Q106" t="s">
        <v>3036</v>
      </c>
      <c r="R106" t="s">
        <v>4977</v>
      </c>
      <c r="S106" t="s">
        <v>4992</v>
      </c>
      <c r="T106" t="s">
        <v>4992</v>
      </c>
    </row>
    <row r="107" spans="1:20" x14ac:dyDescent="0.25">
      <c r="A107" t="s">
        <v>334</v>
      </c>
      <c r="B107" t="s">
        <v>335</v>
      </c>
      <c r="C107" s="1">
        <v>46028.78769675926</v>
      </c>
      <c r="D107">
        <v>442.26</v>
      </c>
      <c r="E107" t="s">
        <v>25</v>
      </c>
      <c r="F107" t="s">
        <v>20</v>
      </c>
      <c r="G107" t="s">
        <v>26</v>
      </c>
      <c r="H107" t="s">
        <v>336</v>
      </c>
      <c r="I107" t="s">
        <v>3177</v>
      </c>
      <c r="J107" t="s">
        <v>3034</v>
      </c>
      <c r="K107" s="1">
        <v>46028.794641203705</v>
      </c>
      <c r="L107">
        <v>442.26</v>
      </c>
      <c r="M107">
        <v>13.13</v>
      </c>
      <c r="N107">
        <v>429.13</v>
      </c>
      <c r="O107" t="s">
        <v>25</v>
      </c>
      <c r="P107" t="s">
        <v>3046</v>
      </c>
      <c r="Q107" t="s">
        <v>3036</v>
      </c>
      <c r="R107" t="s">
        <v>4977</v>
      </c>
      <c r="S107" t="s">
        <v>4992</v>
      </c>
      <c r="T107" t="s">
        <v>4992</v>
      </c>
    </row>
    <row r="108" spans="1:20" x14ac:dyDescent="0.25">
      <c r="A108" t="s">
        <v>337</v>
      </c>
      <c r="B108" t="s">
        <v>338</v>
      </c>
      <c r="C108" s="1">
        <v>46029.862083333333</v>
      </c>
      <c r="D108">
        <v>429.04</v>
      </c>
      <c r="E108" t="s">
        <v>25</v>
      </c>
      <c r="F108" t="s">
        <v>20</v>
      </c>
      <c r="G108" t="s">
        <v>30</v>
      </c>
      <c r="H108" t="s">
        <v>339</v>
      </c>
      <c r="I108" t="s">
        <v>3178</v>
      </c>
      <c r="J108" t="s">
        <v>3034</v>
      </c>
      <c r="K108" s="1">
        <v>46029.869027777779</v>
      </c>
      <c r="L108">
        <v>429.04</v>
      </c>
      <c r="M108">
        <v>12.74</v>
      </c>
      <c r="N108">
        <v>416.3</v>
      </c>
      <c r="O108" t="s">
        <v>25</v>
      </c>
      <c r="P108" t="s">
        <v>3048</v>
      </c>
      <c r="Q108" t="s">
        <v>3036</v>
      </c>
      <c r="R108" t="s">
        <v>4977</v>
      </c>
      <c r="S108" t="s">
        <v>4992</v>
      </c>
      <c r="T108" t="s">
        <v>4992</v>
      </c>
    </row>
    <row r="109" spans="1:20" x14ac:dyDescent="0.25">
      <c r="A109" t="s">
        <v>340</v>
      </c>
      <c r="B109" t="s">
        <v>341</v>
      </c>
      <c r="C109" s="1">
        <v>46030.977847222224</v>
      </c>
      <c r="D109">
        <v>1388.02</v>
      </c>
      <c r="E109" t="s">
        <v>25</v>
      </c>
      <c r="F109" t="s">
        <v>20</v>
      </c>
      <c r="G109" t="s">
        <v>21</v>
      </c>
      <c r="H109" t="s">
        <v>342</v>
      </c>
      <c r="I109" t="s">
        <v>3179</v>
      </c>
      <c r="J109" t="s">
        <v>3034</v>
      </c>
      <c r="K109" s="1">
        <v>46030.984791666669</v>
      </c>
      <c r="L109">
        <v>1388.02</v>
      </c>
      <c r="M109">
        <v>40.549999999999997</v>
      </c>
      <c r="N109">
        <v>1347.47</v>
      </c>
      <c r="O109" t="s">
        <v>25</v>
      </c>
      <c r="P109" t="s">
        <v>3050</v>
      </c>
      <c r="Q109" t="s">
        <v>3036</v>
      </c>
      <c r="R109" t="s">
        <v>4977</v>
      </c>
      <c r="S109" t="s">
        <v>4992</v>
      </c>
      <c r="T109" t="s">
        <v>4992</v>
      </c>
    </row>
    <row r="110" spans="1:20" x14ac:dyDescent="0.25">
      <c r="A110" t="s">
        <v>343</v>
      </c>
      <c r="B110" t="s">
        <v>344</v>
      </c>
      <c r="C110" s="1">
        <v>46032.071875000001</v>
      </c>
      <c r="D110">
        <v>1436.9</v>
      </c>
      <c r="E110" t="s">
        <v>25</v>
      </c>
      <c r="F110" t="s">
        <v>20</v>
      </c>
      <c r="G110" t="s">
        <v>26</v>
      </c>
      <c r="H110" t="s">
        <v>345</v>
      </c>
      <c r="I110" t="s">
        <v>3180</v>
      </c>
      <c r="J110" t="s">
        <v>3034</v>
      </c>
      <c r="K110" s="1">
        <v>46032.078819444447</v>
      </c>
      <c r="L110">
        <v>1436.9</v>
      </c>
      <c r="M110">
        <v>41.97</v>
      </c>
      <c r="N110">
        <v>1394.93</v>
      </c>
      <c r="O110" t="s">
        <v>25</v>
      </c>
      <c r="P110" t="s">
        <v>3052</v>
      </c>
      <c r="Q110" t="s">
        <v>3036</v>
      </c>
      <c r="R110" t="s">
        <v>4977</v>
      </c>
      <c r="S110" t="s">
        <v>4992</v>
      </c>
      <c r="T110" t="s">
        <v>4992</v>
      </c>
    </row>
    <row r="111" spans="1:20" x14ac:dyDescent="0.25">
      <c r="A111" t="s">
        <v>346</v>
      </c>
      <c r="B111" t="s">
        <v>347</v>
      </c>
      <c r="C111" s="1">
        <v>46033.150925925926</v>
      </c>
      <c r="D111">
        <v>296.95</v>
      </c>
      <c r="E111" t="s">
        <v>25</v>
      </c>
      <c r="F111" t="s">
        <v>20</v>
      </c>
      <c r="G111" t="s">
        <v>30</v>
      </c>
      <c r="H111" t="s">
        <v>348</v>
      </c>
      <c r="I111" t="s">
        <v>3181</v>
      </c>
      <c r="J111" t="s">
        <v>3034</v>
      </c>
      <c r="K111" s="1">
        <v>46033.157870370371</v>
      </c>
      <c r="L111">
        <v>296.95</v>
      </c>
      <c r="M111">
        <v>8.91</v>
      </c>
      <c r="N111">
        <v>288.04000000000002</v>
      </c>
      <c r="O111" t="s">
        <v>25</v>
      </c>
      <c r="P111" t="s">
        <v>3079</v>
      </c>
      <c r="Q111" t="s">
        <v>3036</v>
      </c>
      <c r="R111" t="s">
        <v>4977</v>
      </c>
      <c r="S111" t="s">
        <v>4992</v>
      </c>
      <c r="T111" t="s">
        <v>4992</v>
      </c>
    </row>
    <row r="112" spans="1:20" x14ac:dyDescent="0.25">
      <c r="A112" t="s">
        <v>349</v>
      </c>
      <c r="B112" t="s">
        <v>350</v>
      </c>
      <c r="C112" s="1">
        <v>46033.24690972222</v>
      </c>
      <c r="D112">
        <v>253.02</v>
      </c>
      <c r="E112" t="s">
        <v>25</v>
      </c>
      <c r="F112" t="s">
        <v>20</v>
      </c>
      <c r="G112" t="s">
        <v>21</v>
      </c>
      <c r="H112" t="s">
        <v>351</v>
      </c>
      <c r="I112" t="s">
        <v>3182</v>
      </c>
      <c r="J112" t="s">
        <v>3034</v>
      </c>
      <c r="K112" s="1">
        <v>46033.253854166665</v>
      </c>
      <c r="L112">
        <v>253.02</v>
      </c>
      <c r="M112">
        <v>7.64</v>
      </c>
      <c r="N112">
        <v>245.38</v>
      </c>
      <c r="O112" t="s">
        <v>25</v>
      </c>
      <c r="P112" t="s">
        <v>3081</v>
      </c>
      <c r="Q112" t="s">
        <v>3036</v>
      </c>
      <c r="R112" t="s">
        <v>4977</v>
      </c>
      <c r="S112" t="s">
        <v>4992</v>
      </c>
      <c r="T112" t="s">
        <v>4992</v>
      </c>
    </row>
    <row r="113" spans="1:20" x14ac:dyDescent="0.25">
      <c r="A113" t="s">
        <v>352</v>
      </c>
      <c r="B113" t="s">
        <v>353</v>
      </c>
      <c r="C113" s="1">
        <v>46034.324537037035</v>
      </c>
      <c r="D113">
        <v>790.35</v>
      </c>
      <c r="E113" t="s">
        <v>52</v>
      </c>
      <c r="F113" t="s">
        <v>20</v>
      </c>
      <c r="G113" t="s">
        <v>26</v>
      </c>
      <c r="H113" t="s">
        <v>354</v>
      </c>
      <c r="I113" t="s">
        <v>3183</v>
      </c>
      <c r="J113" t="s">
        <v>3034</v>
      </c>
      <c r="K113" s="1">
        <v>46034.33148148148</v>
      </c>
      <c r="L113">
        <v>790.35</v>
      </c>
      <c r="M113">
        <v>23.22</v>
      </c>
      <c r="N113">
        <v>767.13</v>
      </c>
      <c r="O113" t="s">
        <v>52</v>
      </c>
      <c r="P113" t="s">
        <v>3184</v>
      </c>
      <c r="Q113" t="s">
        <v>3036</v>
      </c>
      <c r="R113" t="s">
        <v>4977</v>
      </c>
      <c r="S113" t="s">
        <v>4992</v>
      </c>
      <c r="T113" t="s">
        <v>4992</v>
      </c>
    </row>
    <row r="114" spans="1:20" x14ac:dyDescent="0.25">
      <c r="A114" t="s">
        <v>355</v>
      </c>
      <c r="B114" t="s">
        <v>356</v>
      </c>
      <c r="C114" s="1">
        <v>46035.422465277778</v>
      </c>
      <c r="D114">
        <v>610.09</v>
      </c>
      <c r="E114" t="s">
        <v>19</v>
      </c>
      <c r="F114" t="s">
        <v>20</v>
      </c>
      <c r="G114" t="s">
        <v>30</v>
      </c>
      <c r="H114" t="s">
        <v>357</v>
      </c>
      <c r="I114" t="s">
        <v>3185</v>
      </c>
      <c r="J114" t="s">
        <v>3034</v>
      </c>
      <c r="K114" s="1">
        <v>46035.429409722223</v>
      </c>
      <c r="L114">
        <v>610.09</v>
      </c>
      <c r="M114">
        <v>17.989999999999998</v>
      </c>
      <c r="N114">
        <v>592.1</v>
      </c>
      <c r="O114" t="s">
        <v>19</v>
      </c>
      <c r="P114" t="s">
        <v>3186</v>
      </c>
      <c r="Q114" t="s">
        <v>3036</v>
      </c>
      <c r="R114" t="s">
        <v>4977</v>
      </c>
      <c r="S114" t="s">
        <v>4992</v>
      </c>
      <c r="T114" t="s">
        <v>4992</v>
      </c>
    </row>
    <row r="115" spans="1:20" x14ac:dyDescent="0.25">
      <c r="A115" t="s">
        <v>358</v>
      </c>
      <c r="B115" t="s">
        <v>359</v>
      </c>
      <c r="C115" s="1">
        <v>46036.529444444444</v>
      </c>
      <c r="D115">
        <v>1139.8699999999999</v>
      </c>
      <c r="E115" t="s">
        <v>25</v>
      </c>
      <c r="F115" t="s">
        <v>20</v>
      </c>
      <c r="G115" t="s">
        <v>21</v>
      </c>
      <c r="H115" t="s">
        <v>360</v>
      </c>
      <c r="I115" t="s">
        <v>3187</v>
      </c>
      <c r="J115" t="s">
        <v>3034</v>
      </c>
      <c r="K115" s="1">
        <v>46036.53638888889</v>
      </c>
      <c r="L115">
        <v>1139.8699999999999</v>
      </c>
      <c r="M115">
        <v>33.36</v>
      </c>
      <c r="N115">
        <v>1106.51</v>
      </c>
      <c r="O115" t="s">
        <v>25</v>
      </c>
      <c r="P115" t="s">
        <v>3062</v>
      </c>
      <c r="Q115" t="s">
        <v>3036</v>
      </c>
      <c r="R115" t="s">
        <v>4977</v>
      </c>
      <c r="S115" t="s">
        <v>4992</v>
      </c>
      <c r="T115" t="s">
        <v>4992</v>
      </c>
    </row>
    <row r="116" spans="1:20" x14ac:dyDescent="0.25">
      <c r="A116" t="s">
        <v>361</v>
      </c>
      <c r="B116" t="s">
        <v>362</v>
      </c>
      <c r="C116" s="1">
        <v>46023.609178240738</v>
      </c>
      <c r="D116">
        <v>1026.48</v>
      </c>
      <c r="E116" t="s">
        <v>25</v>
      </c>
      <c r="F116" t="s">
        <v>20</v>
      </c>
      <c r="G116" t="s">
        <v>26</v>
      </c>
      <c r="H116" t="s">
        <v>363</v>
      </c>
      <c r="I116" t="s">
        <v>3188</v>
      </c>
      <c r="J116" t="s">
        <v>3034</v>
      </c>
      <c r="K116" s="1">
        <v>46023.616122685184</v>
      </c>
      <c r="L116">
        <v>1026.48</v>
      </c>
      <c r="M116">
        <v>30.07</v>
      </c>
      <c r="N116">
        <v>996.41</v>
      </c>
      <c r="O116" t="s">
        <v>25</v>
      </c>
      <c r="P116" t="s">
        <v>3064</v>
      </c>
      <c r="Q116" t="s">
        <v>3036</v>
      </c>
      <c r="R116" t="s">
        <v>4977</v>
      </c>
      <c r="S116" t="s">
        <v>4992</v>
      </c>
      <c r="T116" t="s">
        <v>4992</v>
      </c>
    </row>
    <row r="117" spans="1:20" x14ac:dyDescent="0.25">
      <c r="A117" t="s">
        <v>364</v>
      </c>
      <c r="B117" t="s">
        <v>365</v>
      </c>
      <c r="C117" s="1">
        <v>46024.687164351853</v>
      </c>
      <c r="D117">
        <v>2481.2800000000002</v>
      </c>
      <c r="E117" t="s">
        <v>25</v>
      </c>
      <c r="F117" t="s">
        <v>20</v>
      </c>
      <c r="G117" t="s">
        <v>30</v>
      </c>
      <c r="H117" t="s">
        <v>366</v>
      </c>
      <c r="I117" t="s">
        <v>3189</v>
      </c>
      <c r="J117" t="s">
        <v>3034</v>
      </c>
      <c r="K117" s="1">
        <v>46024.694108796299</v>
      </c>
      <c r="L117">
        <v>2481.2800000000002</v>
      </c>
      <c r="M117">
        <v>72.260000000000005</v>
      </c>
      <c r="N117">
        <v>2409.02</v>
      </c>
      <c r="O117" t="s">
        <v>25</v>
      </c>
      <c r="P117" t="s">
        <v>3038</v>
      </c>
      <c r="Q117" t="s">
        <v>3036</v>
      </c>
      <c r="R117" t="s">
        <v>4977</v>
      </c>
      <c r="S117" t="s">
        <v>4992</v>
      </c>
      <c r="T117" t="s">
        <v>4992</v>
      </c>
    </row>
    <row r="118" spans="1:20" x14ac:dyDescent="0.25">
      <c r="A118" t="s">
        <v>367</v>
      </c>
      <c r="B118" t="s">
        <v>368</v>
      </c>
      <c r="C118" s="1">
        <v>46025.802569444444</v>
      </c>
      <c r="D118">
        <v>213</v>
      </c>
      <c r="E118" t="s">
        <v>25</v>
      </c>
      <c r="F118" t="s">
        <v>20</v>
      </c>
      <c r="G118" t="s">
        <v>21</v>
      </c>
      <c r="H118" t="s">
        <v>369</v>
      </c>
      <c r="I118" t="s">
        <v>3190</v>
      </c>
      <c r="J118" t="s">
        <v>3034</v>
      </c>
      <c r="K118" s="1">
        <v>46025.809513888889</v>
      </c>
      <c r="L118">
        <v>213</v>
      </c>
      <c r="M118">
        <v>6.48</v>
      </c>
      <c r="N118">
        <v>206.52</v>
      </c>
      <c r="O118" t="s">
        <v>25</v>
      </c>
      <c r="P118" t="s">
        <v>3040</v>
      </c>
      <c r="Q118" t="s">
        <v>3036</v>
      </c>
      <c r="R118" t="s">
        <v>4977</v>
      </c>
      <c r="S118" t="s">
        <v>4992</v>
      </c>
      <c r="T118" t="s">
        <v>4992</v>
      </c>
    </row>
    <row r="119" spans="1:20" x14ac:dyDescent="0.25">
      <c r="A119" t="s">
        <v>370</v>
      </c>
      <c r="B119" t="s">
        <v>371</v>
      </c>
      <c r="C119" s="1">
        <v>46026.868634259263</v>
      </c>
      <c r="D119">
        <v>1262.99</v>
      </c>
      <c r="E119" t="s">
        <v>25</v>
      </c>
      <c r="F119" t="s">
        <v>20</v>
      </c>
      <c r="G119" t="s">
        <v>26</v>
      </c>
      <c r="H119" t="s">
        <v>372</v>
      </c>
      <c r="I119" t="s">
        <v>3191</v>
      </c>
      <c r="J119" t="s">
        <v>3034</v>
      </c>
      <c r="K119" s="1">
        <v>46026.875578703701</v>
      </c>
      <c r="L119">
        <v>1262.99</v>
      </c>
      <c r="M119">
        <v>36.93</v>
      </c>
      <c r="N119">
        <v>1226.06</v>
      </c>
      <c r="O119" t="s">
        <v>25</v>
      </c>
      <c r="P119" t="s">
        <v>3042</v>
      </c>
      <c r="Q119" t="s">
        <v>3036</v>
      </c>
      <c r="R119" t="s">
        <v>4977</v>
      </c>
      <c r="S119" t="s">
        <v>4992</v>
      </c>
      <c r="T119" t="s">
        <v>4992</v>
      </c>
    </row>
    <row r="120" spans="1:20" x14ac:dyDescent="0.25">
      <c r="A120" t="s">
        <v>373</v>
      </c>
      <c r="B120" t="s">
        <v>374</v>
      </c>
      <c r="C120" s="1">
        <v>46027.976145833331</v>
      </c>
      <c r="D120">
        <v>913.34</v>
      </c>
      <c r="E120" t="s">
        <v>25</v>
      </c>
      <c r="F120" t="s">
        <v>20</v>
      </c>
      <c r="G120" t="s">
        <v>30</v>
      </c>
      <c r="H120" t="s">
        <v>375</v>
      </c>
      <c r="I120" t="s">
        <v>3192</v>
      </c>
      <c r="J120" t="s">
        <v>3034</v>
      </c>
      <c r="K120" s="1">
        <v>46027.983090277776</v>
      </c>
      <c r="L120">
        <v>913.34</v>
      </c>
      <c r="M120">
        <v>26.79</v>
      </c>
      <c r="N120">
        <v>886.55</v>
      </c>
      <c r="O120" t="s">
        <v>25</v>
      </c>
      <c r="P120" t="s">
        <v>3068</v>
      </c>
      <c r="Q120" t="s">
        <v>3036</v>
      </c>
      <c r="R120" t="s">
        <v>4977</v>
      </c>
      <c r="S120" t="s">
        <v>4992</v>
      </c>
      <c r="T120" t="s">
        <v>4992</v>
      </c>
    </row>
    <row r="121" spans="1:20" x14ac:dyDescent="0.25">
      <c r="A121" t="s">
        <v>376</v>
      </c>
      <c r="B121" t="s">
        <v>377</v>
      </c>
      <c r="C121" s="1">
        <v>46029.083229166667</v>
      </c>
      <c r="D121">
        <v>435.03</v>
      </c>
      <c r="E121" t="s">
        <v>25</v>
      </c>
      <c r="F121" t="s">
        <v>20</v>
      </c>
      <c r="G121" t="s">
        <v>21</v>
      </c>
      <c r="H121" t="s">
        <v>378</v>
      </c>
      <c r="I121" t="s">
        <v>3193</v>
      </c>
      <c r="J121" t="s">
        <v>3034</v>
      </c>
      <c r="K121" s="1">
        <v>46029.090173611112</v>
      </c>
      <c r="L121">
        <v>435.03</v>
      </c>
      <c r="M121">
        <v>12.92</v>
      </c>
      <c r="N121">
        <v>422.11</v>
      </c>
      <c r="O121" t="s">
        <v>25</v>
      </c>
      <c r="P121" t="s">
        <v>3046</v>
      </c>
      <c r="Q121" t="s">
        <v>3036</v>
      </c>
      <c r="R121" t="s">
        <v>4977</v>
      </c>
      <c r="S121" t="s">
        <v>4992</v>
      </c>
      <c r="T121" t="s">
        <v>4992</v>
      </c>
    </row>
    <row r="122" spans="1:20" x14ac:dyDescent="0.25">
      <c r="A122" t="s">
        <v>379</v>
      </c>
      <c r="B122" t="s">
        <v>380</v>
      </c>
      <c r="C122" s="1">
        <v>46030.159224537034</v>
      </c>
      <c r="D122">
        <v>2354.6799999999998</v>
      </c>
      <c r="E122" t="s">
        <v>25</v>
      </c>
      <c r="F122" t="s">
        <v>20</v>
      </c>
      <c r="G122" t="s">
        <v>26</v>
      </c>
      <c r="H122" t="s">
        <v>381</v>
      </c>
      <c r="I122" t="s">
        <v>3194</v>
      </c>
      <c r="J122" t="s">
        <v>3034</v>
      </c>
      <c r="K122" s="1">
        <v>46030.166168981479</v>
      </c>
      <c r="L122">
        <v>2354.6799999999998</v>
      </c>
      <c r="M122">
        <v>68.59</v>
      </c>
      <c r="N122">
        <v>2286.09</v>
      </c>
      <c r="O122" t="s">
        <v>25</v>
      </c>
      <c r="P122" t="s">
        <v>3048</v>
      </c>
      <c r="Q122" t="s">
        <v>3036</v>
      </c>
      <c r="R122" t="s">
        <v>4977</v>
      </c>
      <c r="S122" t="s">
        <v>4992</v>
      </c>
      <c r="T122" t="s">
        <v>4992</v>
      </c>
    </row>
    <row r="123" spans="1:20" x14ac:dyDescent="0.25">
      <c r="A123" t="s">
        <v>382</v>
      </c>
      <c r="B123" t="s">
        <v>383</v>
      </c>
      <c r="C123" s="1">
        <v>46030.230324074073</v>
      </c>
      <c r="D123">
        <v>1548.83</v>
      </c>
      <c r="E123" t="s">
        <v>52</v>
      </c>
      <c r="F123" t="s">
        <v>92</v>
      </c>
      <c r="G123" t="s">
        <v>30</v>
      </c>
      <c r="H123" t="s">
        <v>384</v>
      </c>
      <c r="I123" t="s">
        <v>3195</v>
      </c>
      <c r="J123" t="s">
        <v>3034</v>
      </c>
      <c r="K123" s="1">
        <v>46030.237268518518</v>
      </c>
      <c r="L123">
        <v>1548.83</v>
      </c>
      <c r="M123">
        <v>45.22</v>
      </c>
      <c r="N123">
        <v>1503.61</v>
      </c>
      <c r="O123" t="s">
        <v>52</v>
      </c>
      <c r="P123" t="s">
        <v>3115</v>
      </c>
      <c r="Q123" t="s">
        <v>3036</v>
      </c>
      <c r="R123" t="s">
        <v>4977</v>
      </c>
      <c r="S123" t="s">
        <v>4992</v>
      </c>
      <c r="T123" t="s">
        <v>4992</v>
      </c>
    </row>
    <row r="124" spans="1:20" x14ac:dyDescent="0.25">
      <c r="A124" t="s">
        <v>382</v>
      </c>
      <c r="B124" t="s">
        <v>383</v>
      </c>
      <c r="C124" s="1">
        <v>46030.230324074073</v>
      </c>
      <c r="D124">
        <v>1548.83</v>
      </c>
      <c r="E124" t="s">
        <v>52</v>
      </c>
      <c r="F124" t="s">
        <v>92</v>
      </c>
      <c r="G124" t="s">
        <v>30</v>
      </c>
      <c r="H124" t="s">
        <v>384</v>
      </c>
      <c r="I124" t="s">
        <v>3196</v>
      </c>
      <c r="J124" t="s">
        <v>3076</v>
      </c>
      <c r="K124" s="1">
        <v>46031.230324074073</v>
      </c>
      <c r="L124">
        <v>-774.42</v>
      </c>
      <c r="M124">
        <v>0</v>
      </c>
      <c r="N124">
        <v>-774.42</v>
      </c>
      <c r="O124" t="s">
        <v>52</v>
      </c>
      <c r="P124" t="s">
        <v>3197</v>
      </c>
      <c r="Q124" t="s">
        <v>3036</v>
      </c>
      <c r="R124" t="s">
        <v>4977</v>
      </c>
      <c r="S124" t="s">
        <v>4991</v>
      </c>
      <c r="T124" t="s">
        <v>4992</v>
      </c>
    </row>
    <row r="125" spans="1:20" x14ac:dyDescent="0.25">
      <c r="A125" t="s">
        <v>385</v>
      </c>
      <c r="B125" t="s">
        <v>386</v>
      </c>
      <c r="C125" s="1">
        <v>46031.36010416667</v>
      </c>
      <c r="D125">
        <v>1232.52</v>
      </c>
      <c r="E125" t="s">
        <v>19</v>
      </c>
      <c r="F125" t="s">
        <v>20</v>
      </c>
      <c r="G125" t="s">
        <v>21</v>
      </c>
      <c r="H125" t="s">
        <v>387</v>
      </c>
      <c r="I125" t="s">
        <v>3198</v>
      </c>
      <c r="J125" t="s">
        <v>3034</v>
      </c>
      <c r="K125" s="1">
        <v>46031.367048611108</v>
      </c>
      <c r="L125">
        <v>1232.52</v>
      </c>
      <c r="M125">
        <v>36.04</v>
      </c>
      <c r="N125">
        <v>1196.48</v>
      </c>
      <c r="O125" t="s">
        <v>19</v>
      </c>
      <c r="P125" t="s">
        <v>3117</v>
      </c>
      <c r="Q125" t="s">
        <v>3036</v>
      </c>
      <c r="R125" t="s">
        <v>4977</v>
      </c>
      <c r="S125" t="s">
        <v>4992</v>
      </c>
      <c r="T125" t="s">
        <v>4992</v>
      </c>
    </row>
    <row r="126" spans="1:20" x14ac:dyDescent="0.25">
      <c r="A126" t="s">
        <v>388</v>
      </c>
      <c r="B126" t="s">
        <v>389</v>
      </c>
      <c r="C126" s="1">
        <v>46032.448958333334</v>
      </c>
      <c r="D126">
        <v>1202.97</v>
      </c>
      <c r="E126" t="s">
        <v>25</v>
      </c>
      <c r="F126" t="s">
        <v>20</v>
      </c>
      <c r="G126" t="s">
        <v>26</v>
      </c>
      <c r="H126" t="s">
        <v>390</v>
      </c>
      <c r="I126" t="s">
        <v>3199</v>
      </c>
      <c r="J126" t="s">
        <v>3034</v>
      </c>
      <c r="K126" s="1">
        <v>46032.45590277778</v>
      </c>
      <c r="L126">
        <v>1204.08</v>
      </c>
      <c r="M126">
        <v>35.22</v>
      </c>
      <c r="N126">
        <v>1168.8599999999999</v>
      </c>
      <c r="O126" t="s">
        <v>25</v>
      </c>
      <c r="P126" t="s">
        <v>3079</v>
      </c>
      <c r="Q126" t="s">
        <v>3036</v>
      </c>
      <c r="R126" t="s">
        <v>4977</v>
      </c>
      <c r="S126" t="s">
        <v>4991</v>
      </c>
      <c r="T126" t="s">
        <v>4992</v>
      </c>
    </row>
    <row r="127" spans="1:20" x14ac:dyDescent="0.25">
      <c r="A127" t="s">
        <v>391</v>
      </c>
      <c r="B127" t="s">
        <v>392</v>
      </c>
      <c r="C127" s="1">
        <v>46033.50403935185</v>
      </c>
      <c r="D127">
        <v>1571.94</v>
      </c>
      <c r="E127" t="s">
        <v>25</v>
      </c>
      <c r="F127" t="s">
        <v>20</v>
      </c>
      <c r="G127" t="s">
        <v>30</v>
      </c>
      <c r="H127" t="s">
        <v>393</v>
      </c>
      <c r="I127" t="s">
        <v>3200</v>
      </c>
      <c r="J127" t="s">
        <v>3034</v>
      </c>
      <c r="K127" s="1">
        <v>46033.510983796295</v>
      </c>
      <c r="L127">
        <v>1571.94</v>
      </c>
      <c r="M127">
        <v>45.89</v>
      </c>
      <c r="N127">
        <v>1526.05</v>
      </c>
      <c r="O127" t="s">
        <v>25</v>
      </c>
      <c r="P127" t="s">
        <v>3081</v>
      </c>
      <c r="Q127" t="s">
        <v>3036</v>
      </c>
      <c r="R127" t="s">
        <v>4977</v>
      </c>
      <c r="S127" t="s">
        <v>4992</v>
      </c>
      <c r="T127" t="s">
        <v>4992</v>
      </c>
    </row>
    <row r="128" spans="1:20" x14ac:dyDescent="0.25">
      <c r="A128" t="s">
        <v>391</v>
      </c>
      <c r="B128" t="s">
        <v>392</v>
      </c>
      <c r="C128" s="1">
        <v>46033.50403935185</v>
      </c>
      <c r="D128">
        <v>1571.94</v>
      </c>
      <c r="E128" t="s">
        <v>25</v>
      </c>
      <c r="F128" t="s">
        <v>20</v>
      </c>
      <c r="G128" t="s">
        <v>30</v>
      </c>
      <c r="H128" t="s">
        <v>393</v>
      </c>
      <c r="I128" t="s">
        <v>3200</v>
      </c>
      <c r="J128" t="s">
        <v>3034</v>
      </c>
      <c r="K128" s="1">
        <v>46033.510983796295</v>
      </c>
      <c r="L128">
        <v>1571.94</v>
      </c>
      <c r="M128">
        <v>45.89</v>
      </c>
      <c r="N128">
        <v>1526.05</v>
      </c>
      <c r="O128" t="s">
        <v>25</v>
      </c>
      <c r="P128" t="s">
        <v>3081</v>
      </c>
      <c r="Q128" t="s">
        <v>3036</v>
      </c>
      <c r="R128" t="s">
        <v>4977</v>
      </c>
      <c r="S128" t="s">
        <v>4992</v>
      </c>
      <c r="T128" t="s">
        <v>4992</v>
      </c>
    </row>
    <row r="129" spans="1:20" x14ac:dyDescent="0.25">
      <c r="A129" t="s">
        <v>394</v>
      </c>
      <c r="B129" t="s">
        <v>395</v>
      </c>
      <c r="C129" s="1">
        <v>46034.612905092596</v>
      </c>
      <c r="D129">
        <v>902</v>
      </c>
      <c r="E129" t="s">
        <v>25</v>
      </c>
      <c r="F129" t="s">
        <v>20</v>
      </c>
      <c r="G129" t="s">
        <v>21</v>
      </c>
      <c r="H129" t="s">
        <v>396</v>
      </c>
      <c r="I129" t="s">
        <v>3201</v>
      </c>
      <c r="J129" t="s">
        <v>3034</v>
      </c>
      <c r="K129" s="1">
        <v>46034.619849537034</v>
      </c>
      <c r="L129">
        <v>902</v>
      </c>
      <c r="M129">
        <v>26.46</v>
      </c>
      <c r="N129">
        <v>875.54</v>
      </c>
      <c r="O129" t="s">
        <v>25</v>
      </c>
      <c r="P129" t="s">
        <v>3058</v>
      </c>
      <c r="Q129" t="s">
        <v>3036</v>
      </c>
      <c r="R129" t="s">
        <v>4977</v>
      </c>
      <c r="S129" t="s">
        <v>4992</v>
      </c>
      <c r="T129" t="s">
        <v>4992</v>
      </c>
    </row>
    <row r="130" spans="1:20" x14ac:dyDescent="0.25">
      <c r="A130" t="s">
        <v>397</v>
      </c>
      <c r="B130" t="s">
        <v>398</v>
      </c>
      <c r="C130" s="1">
        <v>46035.715428240743</v>
      </c>
      <c r="D130">
        <v>1684.38</v>
      </c>
      <c r="E130" t="s">
        <v>25</v>
      </c>
      <c r="F130" t="s">
        <v>20</v>
      </c>
      <c r="G130" t="s">
        <v>26</v>
      </c>
      <c r="H130" t="s">
        <v>399</v>
      </c>
      <c r="I130" t="s">
        <v>3202</v>
      </c>
      <c r="J130" t="s">
        <v>3034</v>
      </c>
      <c r="K130" s="1">
        <v>46035.722372685188</v>
      </c>
      <c r="L130">
        <v>1684.38</v>
      </c>
      <c r="M130">
        <v>49.15</v>
      </c>
      <c r="N130">
        <v>1635.23</v>
      </c>
      <c r="O130" t="s">
        <v>25</v>
      </c>
      <c r="P130" t="s">
        <v>3060</v>
      </c>
      <c r="Q130" t="s">
        <v>3036</v>
      </c>
      <c r="R130" t="s">
        <v>4977</v>
      </c>
      <c r="S130" t="s">
        <v>4992</v>
      </c>
      <c r="T130" t="s">
        <v>4992</v>
      </c>
    </row>
    <row r="131" spans="1:20" x14ac:dyDescent="0.25">
      <c r="A131" t="s">
        <v>400</v>
      </c>
      <c r="B131" t="s">
        <v>401</v>
      </c>
      <c r="C131" s="1">
        <v>46036.784814814811</v>
      </c>
      <c r="D131">
        <v>1071.68</v>
      </c>
      <c r="E131" t="s">
        <v>25</v>
      </c>
      <c r="F131" t="s">
        <v>20</v>
      </c>
      <c r="G131" t="s">
        <v>30</v>
      </c>
      <c r="H131" t="s">
        <v>402</v>
      </c>
      <c r="I131" t="s">
        <v>3203</v>
      </c>
      <c r="J131" t="s">
        <v>3034</v>
      </c>
      <c r="K131" s="1">
        <v>46036.791759259257</v>
      </c>
      <c r="L131">
        <v>1071.68</v>
      </c>
      <c r="M131">
        <v>31.38</v>
      </c>
      <c r="N131">
        <v>1040.3</v>
      </c>
      <c r="O131" t="s">
        <v>25</v>
      </c>
      <c r="P131" t="s">
        <v>3062</v>
      </c>
      <c r="Q131" t="s">
        <v>3036</v>
      </c>
      <c r="R131" t="s">
        <v>4977</v>
      </c>
      <c r="S131" t="s">
        <v>4992</v>
      </c>
      <c r="T131" t="s">
        <v>4992</v>
      </c>
    </row>
    <row r="132" spans="1:20" x14ac:dyDescent="0.25">
      <c r="A132" t="s">
        <v>403</v>
      </c>
      <c r="B132" t="s">
        <v>404</v>
      </c>
      <c r="C132" s="1">
        <v>46023.882037037038</v>
      </c>
      <c r="D132">
        <v>2424.6799999999998</v>
      </c>
      <c r="E132" t="s">
        <v>25</v>
      </c>
      <c r="F132" t="s">
        <v>20</v>
      </c>
      <c r="G132" t="s">
        <v>21</v>
      </c>
      <c r="H132" t="s">
        <v>405</v>
      </c>
      <c r="I132" t="s">
        <v>3204</v>
      </c>
      <c r="J132" t="s">
        <v>3034</v>
      </c>
      <c r="K132" s="1">
        <v>46023.888981481483</v>
      </c>
      <c r="L132">
        <v>2424.6799999999998</v>
      </c>
      <c r="M132">
        <v>70.62</v>
      </c>
      <c r="N132">
        <v>2354.06</v>
      </c>
      <c r="O132" t="s">
        <v>25</v>
      </c>
      <c r="P132" t="s">
        <v>3064</v>
      </c>
      <c r="Q132" t="s">
        <v>3036</v>
      </c>
      <c r="R132" t="s">
        <v>4977</v>
      </c>
      <c r="S132" t="s">
        <v>4992</v>
      </c>
      <c r="T132" t="s">
        <v>4992</v>
      </c>
    </row>
    <row r="133" spans="1:20" x14ac:dyDescent="0.25">
      <c r="A133" t="s">
        <v>406</v>
      </c>
      <c r="B133" t="s">
        <v>407</v>
      </c>
      <c r="C133" s="1">
        <v>46024.981099537035</v>
      </c>
      <c r="D133">
        <v>613.62</v>
      </c>
      <c r="E133" t="s">
        <v>25</v>
      </c>
      <c r="F133" t="s">
        <v>20</v>
      </c>
      <c r="G133" t="s">
        <v>26</v>
      </c>
      <c r="H133" t="s">
        <v>408</v>
      </c>
      <c r="I133" t="s">
        <v>3205</v>
      </c>
      <c r="J133" t="s">
        <v>3034</v>
      </c>
      <c r="K133" s="1">
        <v>46024.988043981481</v>
      </c>
      <c r="L133">
        <v>613.62</v>
      </c>
      <c r="M133">
        <v>18.09</v>
      </c>
      <c r="N133">
        <v>595.53</v>
      </c>
      <c r="O133" t="s">
        <v>25</v>
      </c>
      <c r="P133" t="s">
        <v>3038</v>
      </c>
      <c r="Q133" t="s">
        <v>3036</v>
      </c>
      <c r="R133" t="s">
        <v>4977</v>
      </c>
      <c r="S133" t="s">
        <v>4992</v>
      </c>
      <c r="T133" t="s">
        <v>4992</v>
      </c>
    </row>
    <row r="134" spans="1:20" x14ac:dyDescent="0.25">
      <c r="A134" t="s">
        <v>409</v>
      </c>
      <c r="B134" t="s">
        <v>410</v>
      </c>
      <c r="C134" s="1">
        <v>46026.053217592591</v>
      </c>
      <c r="D134">
        <v>673.44</v>
      </c>
      <c r="E134" t="s">
        <v>25</v>
      </c>
      <c r="F134" t="s">
        <v>20</v>
      </c>
      <c r="G134" t="s">
        <v>30</v>
      </c>
      <c r="H134" t="s">
        <v>411</v>
      </c>
      <c r="I134" t="s">
        <v>3206</v>
      </c>
      <c r="J134" t="s">
        <v>3034</v>
      </c>
      <c r="K134" s="1">
        <v>46026.060162037036</v>
      </c>
      <c r="L134">
        <v>673.44</v>
      </c>
      <c r="M134">
        <v>19.829999999999998</v>
      </c>
      <c r="N134">
        <v>653.61</v>
      </c>
      <c r="O134" t="s">
        <v>25</v>
      </c>
      <c r="P134" t="s">
        <v>3040</v>
      </c>
      <c r="Q134" t="s">
        <v>3036</v>
      </c>
      <c r="R134" t="s">
        <v>4977</v>
      </c>
      <c r="S134" t="s">
        <v>4992</v>
      </c>
      <c r="T134" t="s">
        <v>4992</v>
      </c>
    </row>
    <row r="135" spans="1:20" x14ac:dyDescent="0.25">
      <c r="A135" t="s">
        <v>412</v>
      </c>
      <c r="B135" t="s">
        <v>413</v>
      </c>
      <c r="C135" s="1">
        <v>46027.16511574074</v>
      </c>
      <c r="D135">
        <v>541.45000000000005</v>
      </c>
      <c r="E135" t="s">
        <v>52</v>
      </c>
      <c r="F135" t="s">
        <v>20</v>
      </c>
      <c r="G135" t="s">
        <v>21</v>
      </c>
      <c r="H135" t="s">
        <v>414</v>
      </c>
      <c r="I135" t="s">
        <v>3207</v>
      </c>
      <c r="J135" t="s">
        <v>3034</v>
      </c>
      <c r="K135" s="1">
        <v>46027.172060185185</v>
      </c>
      <c r="L135">
        <v>541.45000000000005</v>
      </c>
      <c r="M135">
        <v>16</v>
      </c>
      <c r="N135">
        <v>525.45000000000005</v>
      </c>
      <c r="O135" t="s">
        <v>52</v>
      </c>
      <c r="P135" t="s">
        <v>3128</v>
      </c>
      <c r="Q135" t="s">
        <v>3036</v>
      </c>
      <c r="R135" t="s">
        <v>4977</v>
      </c>
      <c r="S135" t="s">
        <v>4992</v>
      </c>
      <c r="T135" t="s">
        <v>4992</v>
      </c>
    </row>
    <row r="136" spans="1:20" x14ac:dyDescent="0.25">
      <c r="A136" t="s">
        <v>412</v>
      </c>
      <c r="B136" t="s">
        <v>413</v>
      </c>
      <c r="C136" s="1">
        <v>46027.16511574074</v>
      </c>
      <c r="D136">
        <v>541.45000000000005</v>
      </c>
      <c r="E136" t="s">
        <v>52</v>
      </c>
      <c r="F136" t="s">
        <v>20</v>
      </c>
      <c r="G136" t="s">
        <v>21</v>
      </c>
      <c r="H136" t="s">
        <v>414</v>
      </c>
      <c r="I136" t="s">
        <v>3207</v>
      </c>
      <c r="J136" t="s">
        <v>3034</v>
      </c>
      <c r="K136" s="1">
        <v>46027.172060185185</v>
      </c>
      <c r="L136">
        <v>541.45000000000005</v>
      </c>
      <c r="M136">
        <v>16</v>
      </c>
      <c r="N136">
        <v>525.45000000000005</v>
      </c>
      <c r="O136" t="s">
        <v>52</v>
      </c>
      <c r="P136" t="s">
        <v>3128</v>
      </c>
      <c r="Q136" t="s">
        <v>3036</v>
      </c>
      <c r="R136" t="s">
        <v>4977</v>
      </c>
      <c r="S136" t="s">
        <v>4992</v>
      </c>
      <c r="T136" t="s">
        <v>4992</v>
      </c>
    </row>
    <row r="137" spans="1:20" x14ac:dyDescent="0.25">
      <c r="A137" t="s">
        <v>415</v>
      </c>
      <c r="B137" t="s">
        <v>416</v>
      </c>
      <c r="C137" s="1">
        <v>46027.244976851849</v>
      </c>
      <c r="D137">
        <v>2113.13</v>
      </c>
      <c r="E137" t="s">
        <v>19</v>
      </c>
      <c r="F137" t="s">
        <v>20</v>
      </c>
      <c r="G137" t="s">
        <v>26</v>
      </c>
      <c r="H137" t="s">
        <v>417</v>
      </c>
      <c r="I137" t="s">
        <v>3208</v>
      </c>
      <c r="J137" t="s">
        <v>3034</v>
      </c>
      <c r="K137" s="1">
        <v>46027.251921296294</v>
      </c>
      <c r="L137">
        <v>2113.13</v>
      </c>
      <c r="M137">
        <v>61.58</v>
      </c>
      <c r="N137">
        <v>2051.5500000000002</v>
      </c>
      <c r="O137" t="s">
        <v>19</v>
      </c>
      <c r="P137" t="s">
        <v>3130</v>
      </c>
      <c r="Q137" t="s">
        <v>3036</v>
      </c>
      <c r="R137" t="s">
        <v>4977</v>
      </c>
      <c r="S137" t="s">
        <v>4992</v>
      </c>
      <c r="T137" t="s">
        <v>4992</v>
      </c>
    </row>
    <row r="138" spans="1:20" x14ac:dyDescent="0.25">
      <c r="A138" t="s">
        <v>418</v>
      </c>
      <c r="B138" t="s">
        <v>419</v>
      </c>
      <c r="C138" s="1">
        <v>46028.355925925927</v>
      </c>
      <c r="D138">
        <v>1088.03</v>
      </c>
      <c r="E138" t="s">
        <v>25</v>
      </c>
      <c r="F138" t="s">
        <v>20</v>
      </c>
      <c r="G138" t="s">
        <v>30</v>
      </c>
      <c r="H138" t="s">
        <v>420</v>
      </c>
      <c r="I138" t="s">
        <v>3209</v>
      </c>
      <c r="J138" t="s">
        <v>3034</v>
      </c>
      <c r="K138" s="1">
        <v>46028.362870370373</v>
      </c>
      <c r="L138">
        <v>1088.03</v>
      </c>
      <c r="M138">
        <v>31.85</v>
      </c>
      <c r="N138">
        <v>1056.18</v>
      </c>
      <c r="O138" t="s">
        <v>25</v>
      </c>
      <c r="P138" t="s">
        <v>3046</v>
      </c>
      <c r="Q138" t="s">
        <v>3036</v>
      </c>
      <c r="R138" t="s">
        <v>4977</v>
      </c>
      <c r="S138" t="s">
        <v>4992</v>
      </c>
      <c r="T138" t="s">
        <v>4992</v>
      </c>
    </row>
    <row r="139" spans="1:20" x14ac:dyDescent="0.25">
      <c r="A139" t="s">
        <v>421</v>
      </c>
      <c r="B139" t="s">
        <v>422</v>
      </c>
      <c r="C139" s="1">
        <v>46029.457002314812</v>
      </c>
      <c r="D139">
        <v>324.87</v>
      </c>
      <c r="E139" t="s">
        <v>25</v>
      </c>
      <c r="F139" t="s">
        <v>20</v>
      </c>
      <c r="G139" t="s">
        <v>21</v>
      </c>
      <c r="H139" t="s">
        <v>423</v>
      </c>
      <c r="I139" t="s">
        <v>3210</v>
      </c>
      <c r="J139" t="s">
        <v>3034</v>
      </c>
      <c r="K139" s="1">
        <v>46029.463946759257</v>
      </c>
      <c r="L139">
        <v>324.87</v>
      </c>
      <c r="M139">
        <v>9.7200000000000006</v>
      </c>
      <c r="N139">
        <v>315.14999999999998</v>
      </c>
      <c r="O139" t="s">
        <v>25</v>
      </c>
      <c r="P139" t="s">
        <v>3048</v>
      </c>
      <c r="Q139" t="s">
        <v>3036</v>
      </c>
      <c r="R139" t="s">
        <v>4977</v>
      </c>
      <c r="S139" t="s">
        <v>4992</v>
      </c>
      <c r="T139" t="s">
        <v>4992</v>
      </c>
    </row>
    <row r="140" spans="1:20" x14ac:dyDescent="0.25">
      <c r="A140" t="s">
        <v>424</v>
      </c>
      <c r="B140" t="s">
        <v>425</v>
      </c>
      <c r="C140" s="1">
        <v>46030.54892361111</v>
      </c>
      <c r="D140">
        <v>745.15</v>
      </c>
      <c r="E140" t="s">
        <v>25</v>
      </c>
      <c r="F140" t="s">
        <v>20</v>
      </c>
      <c r="G140" t="s">
        <v>26</v>
      </c>
      <c r="H140" t="s">
        <v>426</v>
      </c>
      <c r="I140" t="s">
        <v>3211</v>
      </c>
      <c r="J140" t="s">
        <v>3034</v>
      </c>
      <c r="K140" s="1">
        <v>46030.555868055555</v>
      </c>
      <c r="L140">
        <v>745.15</v>
      </c>
      <c r="M140">
        <v>21.91</v>
      </c>
      <c r="N140">
        <v>723.24</v>
      </c>
      <c r="O140" t="s">
        <v>25</v>
      </c>
      <c r="P140" t="s">
        <v>3050</v>
      </c>
      <c r="Q140" t="s">
        <v>3036</v>
      </c>
      <c r="R140" t="s">
        <v>4977</v>
      </c>
      <c r="S140" t="s">
        <v>4992</v>
      </c>
      <c r="T140" t="s">
        <v>4992</v>
      </c>
    </row>
    <row r="141" spans="1:20" x14ac:dyDescent="0.25">
      <c r="A141" t="s">
        <v>427</v>
      </c>
      <c r="B141" t="s">
        <v>428</v>
      </c>
      <c r="C141" s="1">
        <v>46031.619386574072</v>
      </c>
      <c r="D141">
        <v>631.87</v>
      </c>
      <c r="E141" t="s">
        <v>25</v>
      </c>
      <c r="F141" t="s">
        <v>429</v>
      </c>
      <c r="G141" t="s">
        <v>30</v>
      </c>
      <c r="H141" t="s">
        <v>430</v>
      </c>
      <c r="I141" t="s">
        <v>3212</v>
      </c>
      <c r="J141" t="s">
        <v>3034</v>
      </c>
      <c r="K141" s="1">
        <v>46031.626331018517</v>
      </c>
      <c r="L141">
        <v>631.87</v>
      </c>
      <c r="M141">
        <v>18.62</v>
      </c>
      <c r="N141">
        <v>613.25</v>
      </c>
      <c r="O141" t="s">
        <v>25</v>
      </c>
      <c r="P141" t="s">
        <v>3052</v>
      </c>
      <c r="Q141" t="s">
        <v>3036</v>
      </c>
      <c r="R141" t="s">
        <v>4977</v>
      </c>
      <c r="S141" t="s">
        <v>4992</v>
      </c>
      <c r="T141" t="s">
        <v>4992</v>
      </c>
    </row>
    <row r="142" spans="1:20" x14ac:dyDescent="0.25">
      <c r="A142" t="s">
        <v>427</v>
      </c>
      <c r="B142" t="s">
        <v>428</v>
      </c>
      <c r="C142" s="1">
        <v>46031.619386574072</v>
      </c>
      <c r="D142">
        <v>631.87</v>
      </c>
      <c r="E142" t="s">
        <v>25</v>
      </c>
      <c r="F142" t="s">
        <v>429</v>
      </c>
      <c r="G142" t="s">
        <v>30</v>
      </c>
      <c r="H142" t="s">
        <v>430</v>
      </c>
      <c r="I142" t="s">
        <v>3213</v>
      </c>
      <c r="J142" t="s">
        <v>3076</v>
      </c>
      <c r="K142" s="1">
        <v>46032.619386574072</v>
      </c>
      <c r="L142">
        <v>-631.87</v>
      </c>
      <c r="M142">
        <v>0</v>
      </c>
      <c r="N142">
        <v>-631.87</v>
      </c>
      <c r="O142" t="s">
        <v>25</v>
      </c>
      <c r="P142" t="s">
        <v>3214</v>
      </c>
      <c r="Q142" t="s">
        <v>3036</v>
      </c>
      <c r="R142" t="s">
        <v>4977</v>
      </c>
      <c r="S142" t="s">
        <v>4991</v>
      </c>
      <c r="T142" t="s">
        <v>4992</v>
      </c>
    </row>
    <row r="143" spans="1:20" x14ac:dyDescent="0.25">
      <c r="A143" t="s">
        <v>431</v>
      </c>
      <c r="B143" t="s">
        <v>432</v>
      </c>
      <c r="C143" s="1">
        <v>46032.718726851854</v>
      </c>
      <c r="D143">
        <v>2069.58</v>
      </c>
      <c r="E143" t="s">
        <v>25</v>
      </c>
      <c r="F143" t="s">
        <v>20</v>
      </c>
      <c r="G143" t="s">
        <v>21</v>
      </c>
      <c r="H143" t="s">
        <v>433</v>
      </c>
      <c r="I143" t="s">
        <v>3215</v>
      </c>
      <c r="J143" t="s">
        <v>3034</v>
      </c>
      <c r="K143" s="1">
        <v>46032.725671296299</v>
      </c>
      <c r="L143">
        <v>2069.58</v>
      </c>
      <c r="M143">
        <v>60.32</v>
      </c>
      <c r="N143">
        <v>2009.26</v>
      </c>
      <c r="O143" t="s">
        <v>25</v>
      </c>
      <c r="P143" t="s">
        <v>3079</v>
      </c>
      <c r="Q143" t="s">
        <v>3036</v>
      </c>
      <c r="R143" t="s">
        <v>4977</v>
      </c>
      <c r="S143" t="s">
        <v>4992</v>
      </c>
      <c r="T143" t="s">
        <v>4992</v>
      </c>
    </row>
    <row r="144" spans="1:20" x14ac:dyDescent="0.25">
      <c r="A144" t="s">
        <v>434</v>
      </c>
      <c r="B144" t="s">
        <v>435</v>
      </c>
      <c r="C144" s="1">
        <v>46033.811782407407</v>
      </c>
      <c r="D144">
        <v>1268.04</v>
      </c>
      <c r="E144" t="s">
        <v>25</v>
      </c>
      <c r="F144" t="s">
        <v>20</v>
      </c>
      <c r="G144" t="s">
        <v>26</v>
      </c>
      <c r="H144" t="s">
        <v>436</v>
      </c>
      <c r="I144" t="s">
        <v>3216</v>
      </c>
      <c r="J144" t="s">
        <v>3034</v>
      </c>
      <c r="K144" s="1">
        <v>46033.818726851852</v>
      </c>
      <c r="L144">
        <v>1268.04</v>
      </c>
      <c r="M144">
        <v>37.07</v>
      </c>
      <c r="N144">
        <v>1230.97</v>
      </c>
      <c r="O144" t="s">
        <v>25</v>
      </c>
      <c r="P144" t="s">
        <v>3081</v>
      </c>
      <c r="Q144" t="s">
        <v>3036</v>
      </c>
      <c r="R144" t="s">
        <v>4977</v>
      </c>
      <c r="S144" t="s">
        <v>4992</v>
      </c>
      <c r="T144" t="s">
        <v>4992</v>
      </c>
    </row>
    <row r="145" spans="1:20" x14ac:dyDescent="0.25">
      <c r="A145" t="s">
        <v>437</v>
      </c>
      <c r="B145" t="s">
        <v>438</v>
      </c>
      <c r="C145" s="1">
        <v>46034.903171296297</v>
      </c>
      <c r="D145">
        <v>733.11</v>
      </c>
      <c r="E145" t="s">
        <v>25</v>
      </c>
      <c r="F145" t="s">
        <v>20</v>
      </c>
      <c r="G145" t="s">
        <v>30</v>
      </c>
      <c r="H145" t="s">
        <v>439</v>
      </c>
      <c r="I145" t="s">
        <v>3217</v>
      </c>
      <c r="J145" t="s">
        <v>3034</v>
      </c>
      <c r="K145" s="1">
        <v>46034.910115740742</v>
      </c>
      <c r="L145">
        <v>733.11</v>
      </c>
      <c r="M145">
        <v>21.56</v>
      </c>
      <c r="N145">
        <v>711.55</v>
      </c>
      <c r="O145" t="s">
        <v>25</v>
      </c>
      <c r="P145" t="s">
        <v>3058</v>
      </c>
      <c r="Q145" t="s">
        <v>3036</v>
      </c>
      <c r="R145" t="s">
        <v>4977</v>
      </c>
      <c r="S145" t="s">
        <v>4992</v>
      </c>
      <c r="T145" t="s">
        <v>4992</v>
      </c>
    </row>
    <row r="146" spans="1:20" x14ac:dyDescent="0.25">
      <c r="A146" t="s">
        <v>440</v>
      </c>
      <c r="B146" t="s">
        <v>441</v>
      </c>
      <c r="C146" s="1">
        <v>46035.982372685183</v>
      </c>
      <c r="D146">
        <v>376.32</v>
      </c>
      <c r="E146" t="s">
        <v>25</v>
      </c>
      <c r="F146" t="s">
        <v>20</v>
      </c>
      <c r="G146" t="s">
        <v>21</v>
      </c>
      <c r="H146" t="s">
        <v>442</v>
      </c>
      <c r="I146" t="s">
        <v>3218</v>
      </c>
      <c r="J146" t="s">
        <v>3034</v>
      </c>
      <c r="K146" s="1">
        <v>46035.989317129628</v>
      </c>
      <c r="L146">
        <v>376.32</v>
      </c>
      <c r="M146">
        <v>11.21</v>
      </c>
      <c r="N146">
        <v>365.11</v>
      </c>
      <c r="O146" t="s">
        <v>25</v>
      </c>
      <c r="P146" t="s">
        <v>3060</v>
      </c>
      <c r="Q146" t="s">
        <v>3036</v>
      </c>
      <c r="R146" t="s">
        <v>4977</v>
      </c>
      <c r="S146" t="s">
        <v>4992</v>
      </c>
      <c r="T146" t="s">
        <v>4992</v>
      </c>
    </row>
    <row r="147" spans="1:20" x14ac:dyDescent="0.25">
      <c r="A147" t="s">
        <v>443</v>
      </c>
      <c r="B147" t="s">
        <v>444</v>
      </c>
      <c r="C147" s="1">
        <v>46037.062060185184</v>
      </c>
      <c r="D147">
        <v>1384.34</v>
      </c>
      <c r="E147" t="s">
        <v>52</v>
      </c>
      <c r="F147" t="s">
        <v>20</v>
      </c>
      <c r="G147" t="s">
        <v>26</v>
      </c>
      <c r="H147" t="s">
        <v>445</v>
      </c>
      <c r="I147" t="s">
        <v>3219</v>
      </c>
      <c r="J147" t="s">
        <v>3034</v>
      </c>
      <c r="K147" s="1">
        <v>46037.069004629629</v>
      </c>
      <c r="L147">
        <v>1384.34</v>
      </c>
      <c r="M147">
        <v>40.450000000000003</v>
      </c>
      <c r="N147">
        <v>1343.89</v>
      </c>
      <c r="O147" t="s">
        <v>52</v>
      </c>
      <c r="P147" t="s">
        <v>3140</v>
      </c>
      <c r="Q147" t="s">
        <v>3036</v>
      </c>
      <c r="R147" t="s">
        <v>4977</v>
      </c>
      <c r="S147" t="s">
        <v>4992</v>
      </c>
      <c r="T147" t="s">
        <v>4992</v>
      </c>
    </row>
    <row r="148" spans="1:20" x14ac:dyDescent="0.25">
      <c r="A148" t="s">
        <v>446</v>
      </c>
      <c r="B148" t="s">
        <v>447</v>
      </c>
      <c r="C148" s="1">
        <v>46024.156388888892</v>
      </c>
      <c r="D148">
        <v>56.53</v>
      </c>
      <c r="E148" t="s">
        <v>19</v>
      </c>
      <c r="F148" t="s">
        <v>20</v>
      </c>
      <c r="G148" t="s">
        <v>30</v>
      </c>
      <c r="H148" t="s">
        <v>448</v>
      </c>
      <c r="I148" t="s">
        <v>3220</v>
      </c>
      <c r="J148" t="s">
        <v>3034</v>
      </c>
      <c r="K148" s="1">
        <v>46024.16333333333</v>
      </c>
      <c r="L148">
        <v>56.53</v>
      </c>
      <c r="M148">
        <v>2.31</v>
      </c>
      <c r="N148">
        <v>54.22</v>
      </c>
      <c r="O148" t="s">
        <v>19</v>
      </c>
      <c r="P148" t="s">
        <v>3035</v>
      </c>
      <c r="Q148" t="s">
        <v>3036</v>
      </c>
      <c r="R148" t="s">
        <v>4977</v>
      </c>
      <c r="S148" t="s">
        <v>4992</v>
      </c>
      <c r="T148" t="s">
        <v>4992</v>
      </c>
    </row>
    <row r="149" spans="1:20" x14ac:dyDescent="0.25">
      <c r="A149" t="s">
        <v>449</v>
      </c>
      <c r="B149" t="s">
        <v>450</v>
      </c>
      <c r="C149" s="1">
        <v>46024.26703703704</v>
      </c>
      <c r="D149">
        <v>1571.63</v>
      </c>
      <c r="E149" t="s">
        <v>25</v>
      </c>
      <c r="F149" t="s">
        <v>20</v>
      </c>
      <c r="G149" t="s">
        <v>21</v>
      </c>
      <c r="H149" t="s">
        <v>451</v>
      </c>
      <c r="I149" t="s">
        <v>3221</v>
      </c>
      <c r="J149" t="s">
        <v>3034</v>
      </c>
      <c r="K149" s="1">
        <v>46024.273981481485</v>
      </c>
      <c r="L149">
        <v>1571.63</v>
      </c>
      <c r="M149">
        <v>45.88</v>
      </c>
      <c r="N149">
        <v>1525.75</v>
      </c>
      <c r="O149" t="s">
        <v>25</v>
      </c>
      <c r="P149" t="s">
        <v>3038</v>
      </c>
      <c r="Q149" t="s">
        <v>3036</v>
      </c>
      <c r="R149" t="s">
        <v>4977</v>
      </c>
      <c r="S149" t="s">
        <v>4992</v>
      </c>
      <c r="T149" t="s">
        <v>4992</v>
      </c>
    </row>
    <row r="150" spans="1:20" x14ac:dyDescent="0.25">
      <c r="A150" t="s">
        <v>452</v>
      </c>
      <c r="B150" t="s">
        <v>453</v>
      </c>
      <c r="C150" s="1">
        <v>46025.375196759262</v>
      </c>
      <c r="D150">
        <v>456.93</v>
      </c>
      <c r="E150" t="s">
        <v>25</v>
      </c>
      <c r="F150" t="s">
        <v>20</v>
      </c>
      <c r="G150" t="s">
        <v>26</v>
      </c>
      <c r="H150" t="s">
        <v>454</v>
      </c>
      <c r="I150" t="s">
        <v>3222</v>
      </c>
      <c r="J150" t="s">
        <v>3034</v>
      </c>
      <c r="K150" s="1">
        <v>46025.382141203707</v>
      </c>
      <c r="L150">
        <v>456.93</v>
      </c>
      <c r="M150">
        <v>13.55</v>
      </c>
      <c r="N150">
        <v>443.38</v>
      </c>
      <c r="O150" t="s">
        <v>25</v>
      </c>
      <c r="P150" t="s">
        <v>3040</v>
      </c>
      <c r="Q150" t="s">
        <v>3036</v>
      </c>
      <c r="R150" t="s">
        <v>4977</v>
      </c>
      <c r="S150" t="s">
        <v>4992</v>
      </c>
      <c r="T150" t="s">
        <v>4992</v>
      </c>
    </row>
    <row r="151" spans="1:20" x14ac:dyDescent="0.25">
      <c r="A151" t="s">
        <v>455</v>
      </c>
      <c r="B151" t="s">
        <v>456</v>
      </c>
      <c r="C151" s="1">
        <v>46026.437928240739</v>
      </c>
      <c r="D151">
        <v>1788.4</v>
      </c>
      <c r="E151" t="s">
        <v>25</v>
      </c>
      <c r="F151" t="s">
        <v>20</v>
      </c>
      <c r="G151" t="s">
        <v>30</v>
      </c>
      <c r="H151" t="s">
        <v>457</v>
      </c>
      <c r="I151" t="s">
        <v>3223</v>
      </c>
      <c r="J151" t="s">
        <v>3034</v>
      </c>
      <c r="K151" s="1">
        <v>46026.444872685184</v>
      </c>
      <c r="L151">
        <v>1788.4</v>
      </c>
      <c r="M151">
        <v>52.16</v>
      </c>
      <c r="N151">
        <v>1736.24</v>
      </c>
      <c r="O151" t="s">
        <v>25</v>
      </c>
      <c r="P151" t="s">
        <v>3042</v>
      </c>
      <c r="Q151" t="s">
        <v>3036</v>
      </c>
      <c r="R151" t="s">
        <v>4977</v>
      </c>
      <c r="S151" t="s">
        <v>4992</v>
      </c>
      <c r="T151" t="s">
        <v>4992</v>
      </c>
    </row>
    <row r="152" spans="1:20" x14ac:dyDescent="0.25">
      <c r="A152" t="s">
        <v>458</v>
      </c>
      <c r="B152" t="s">
        <v>459</v>
      </c>
      <c r="C152" s="1">
        <v>46027.556192129632</v>
      </c>
      <c r="D152">
        <v>318.39</v>
      </c>
      <c r="E152" t="s">
        <v>25</v>
      </c>
      <c r="F152" t="s">
        <v>20</v>
      </c>
      <c r="G152" t="s">
        <v>21</v>
      </c>
      <c r="H152" t="s">
        <v>460</v>
      </c>
      <c r="I152" t="s">
        <v>3224</v>
      </c>
      <c r="J152" t="s">
        <v>3034</v>
      </c>
      <c r="K152" s="1">
        <v>46027.563136574077</v>
      </c>
      <c r="L152">
        <v>318.39</v>
      </c>
      <c r="M152">
        <v>9.5299999999999994</v>
      </c>
      <c r="N152">
        <v>308.86</v>
      </c>
      <c r="O152" t="s">
        <v>25</v>
      </c>
      <c r="P152" t="s">
        <v>3068</v>
      </c>
      <c r="Q152" t="s">
        <v>3036</v>
      </c>
      <c r="R152" t="s">
        <v>4977</v>
      </c>
      <c r="S152" t="s">
        <v>4992</v>
      </c>
      <c r="T152" t="s">
        <v>4992</v>
      </c>
    </row>
    <row r="153" spans="1:20" x14ac:dyDescent="0.25">
      <c r="A153" t="s">
        <v>461</v>
      </c>
      <c r="B153" t="s">
        <v>462</v>
      </c>
      <c r="C153" s="1">
        <v>46028.634363425925</v>
      </c>
      <c r="D153">
        <v>1472.02</v>
      </c>
      <c r="E153" t="s">
        <v>25</v>
      </c>
      <c r="F153" t="s">
        <v>429</v>
      </c>
      <c r="G153" t="s">
        <v>26</v>
      </c>
      <c r="H153" t="s">
        <v>463</v>
      </c>
      <c r="I153" t="s">
        <v>3225</v>
      </c>
      <c r="J153" t="s">
        <v>3034</v>
      </c>
      <c r="K153" s="1">
        <v>46028.64130787037</v>
      </c>
      <c r="L153">
        <v>1472.02</v>
      </c>
      <c r="M153">
        <v>42.99</v>
      </c>
      <c r="N153">
        <v>1429.03</v>
      </c>
      <c r="O153" t="s">
        <v>25</v>
      </c>
      <c r="P153" t="s">
        <v>3046</v>
      </c>
      <c r="Q153" t="s">
        <v>3036</v>
      </c>
      <c r="R153" t="s">
        <v>4977</v>
      </c>
      <c r="S153" t="s">
        <v>4992</v>
      </c>
      <c r="T153" t="s">
        <v>4992</v>
      </c>
    </row>
    <row r="154" spans="1:20" x14ac:dyDescent="0.25">
      <c r="A154" t="s">
        <v>461</v>
      </c>
      <c r="B154" t="s">
        <v>462</v>
      </c>
      <c r="C154" s="1">
        <v>46028.634363425925</v>
      </c>
      <c r="D154">
        <v>1472.02</v>
      </c>
      <c r="E154" t="s">
        <v>25</v>
      </c>
      <c r="F154" t="s">
        <v>429</v>
      </c>
      <c r="G154" t="s">
        <v>26</v>
      </c>
      <c r="H154" t="s">
        <v>463</v>
      </c>
      <c r="I154" t="s">
        <v>3226</v>
      </c>
      <c r="J154" t="s">
        <v>3076</v>
      </c>
      <c r="K154" s="1">
        <v>46029.634363425925</v>
      </c>
      <c r="L154">
        <v>-1472.02</v>
      </c>
      <c r="M154">
        <v>0</v>
      </c>
      <c r="N154">
        <v>-1472.02</v>
      </c>
      <c r="O154" t="s">
        <v>25</v>
      </c>
      <c r="P154" t="s">
        <v>3227</v>
      </c>
      <c r="Q154" t="s">
        <v>3036</v>
      </c>
      <c r="R154" t="s">
        <v>4977</v>
      </c>
      <c r="S154" t="s">
        <v>4991</v>
      </c>
      <c r="T154" t="s">
        <v>4992</v>
      </c>
    </row>
    <row r="155" spans="1:20" x14ac:dyDescent="0.25">
      <c r="A155" t="s">
        <v>464</v>
      </c>
      <c r="B155" t="s">
        <v>465</v>
      </c>
      <c r="C155" s="1">
        <v>46029.720775462964</v>
      </c>
      <c r="D155">
        <v>1304.6600000000001</v>
      </c>
      <c r="E155" t="s">
        <v>25</v>
      </c>
      <c r="F155" t="s">
        <v>20</v>
      </c>
      <c r="G155" t="s">
        <v>30</v>
      </c>
      <c r="H155" t="s">
        <v>466</v>
      </c>
      <c r="I155" t="s">
        <v>3228</v>
      </c>
      <c r="J155" t="s">
        <v>3034</v>
      </c>
      <c r="K155" s="1">
        <v>46029.727719907409</v>
      </c>
      <c r="L155">
        <v>1304.6600000000001</v>
      </c>
      <c r="M155">
        <v>38.14</v>
      </c>
      <c r="N155">
        <v>1266.52</v>
      </c>
      <c r="O155" t="s">
        <v>25</v>
      </c>
      <c r="P155" t="s">
        <v>3048</v>
      </c>
      <c r="Q155" t="s">
        <v>3036</v>
      </c>
      <c r="R155" t="s">
        <v>4977</v>
      </c>
      <c r="S155" t="s">
        <v>4992</v>
      </c>
      <c r="T155" t="s">
        <v>4992</v>
      </c>
    </row>
    <row r="156" spans="1:20" x14ac:dyDescent="0.25">
      <c r="A156" t="s">
        <v>467</v>
      </c>
      <c r="B156" t="s">
        <v>468</v>
      </c>
      <c r="C156" s="1">
        <v>46030.809317129628</v>
      </c>
      <c r="D156">
        <v>1711.02</v>
      </c>
      <c r="E156" t="s">
        <v>25</v>
      </c>
      <c r="F156" t="s">
        <v>20</v>
      </c>
      <c r="G156" t="s">
        <v>21</v>
      </c>
      <c r="H156" t="s">
        <v>469</v>
      </c>
      <c r="I156" t="s">
        <v>3229</v>
      </c>
      <c r="J156" t="s">
        <v>3034</v>
      </c>
      <c r="K156" s="1">
        <v>46030.816261574073</v>
      </c>
      <c r="L156">
        <v>1711.02</v>
      </c>
      <c r="M156">
        <v>49.92</v>
      </c>
      <c r="N156">
        <v>1661.1</v>
      </c>
      <c r="O156" t="s">
        <v>25</v>
      </c>
      <c r="P156" t="s">
        <v>3050</v>
      </c>
      <c r="Q156" t="s">
        <v>3036</v>
      </c>
      <c r="R156" t="s">
        <v>4977</v>
      </c>
      <c r="S156" t="s">
        <v>4992</v>
      </c>
      <c r="T156" t="s">
        <v>4992</v>
      </c>
    </row>
    <row r="157" spans="1:20" x14ac:dyDescent="0.25">
      <c r="A157" t="s">
        <v>470</v>
      </c>
      <c r="B157" t="s">
        <v>471</v>
      </c>
      <c r="C157" s="1">
        <v>46031.905023148145</v>
      </c>
      <c r="D157">
        <v>1122.5899999999999</v>
      </c>
      <c r="E157" t="s">
        <v>25</v>
      </c>
      <c r="F157" t="s">
        <v>20</v>
      </c>
      <c r="G157" t="s">
        <v>26</v>
      </c>
      <c r="H157" t="s">
        <v>472</v>
      </c>
      <c r="I157" t="s">
        <v>3230</v>
      </c>
      <c r="J157" t="s">
        <v>3034</v>
      </c>
      <c r="K157" s="1">
        <v>46031.91196759259</v>
      </c>
      <c r="L157">
        <v>1122.5899999999999</v>
      </c>
      <c r="M157">
        <v>32.86</v>
      </c>
      <c r="N157">
        <v>1089.73</v>
      </c>
      <c r="O157" t="s">
        <v>25</v>
      </c>
      <c r="P157" t="s">
        <v>3052</v>
      </c>
      <c r="Q157" t="s">
        <v>3036</v>
      </c>
      <c r="R157" t="s">
        <v>4977</v>
      </c>
      <c r="S157" t="s">
        <v>4992</v>
      </c>
      <c r="T157" t="s">
        <v>4992</v>
      </c>
    </row>
    <row r="158" spans="1:20" x14ac:dyDescent="0.25">
      <c r="A158" t="s">
        <v>473</v>
      </c>
      <c r="B158" t="s">
        <v>474</v>
      </c>
      <c r="C158" s="1">
        <v>46033.006921296299</v>
      </c>
      <c r="D158">
        <v>808.53</v>
      </c>
      <c r="E158" t="s">
        <v>52</v>
      </c>
      <c r="F158" t="s">
        <v>20</v>
      </c>
      <c r="G158" t="s">
        <v>30</v>
      </c>
      <c r="H158" t="s">
        <v>475</v>
      </c>
      <c r="I158" t="s">
        <v>3231</v>
      </c>
      <c r="J158" t="s">
        <v>3034</v>
      </c>
      <c r="K158" s="1">
        <v>46033.013865740744</v>
      </c>
      <c r="L158">
        <v>808.53</v>
      </c>
      <c r="M158">
        <v>23.75</v>
      </c>
      <c r="N158">
        <v>784.78</v>
      </c>
      <c r="O158" t="s">
        <v>52</v>
      </c>
      <c r="P158" t="s">
        <v>3054</v>
      </c>
      <c r="Q158" t="s">
        <v>3036</v>
      </c>
      <c r="R158" t="s">
        <v>4977</v>
      </c>
      <c r="S158" t="s">
        <v>4992</v>
      </c>
      <c r="T158" t="s">
        <v>4992</v>
      </c>
    </row>
    <row r="159" spans="1:20" x14ac:dyDescent="0.25">
      <c r="A159" t="s">
        <v>476</v>
      </c>
      <c r="B159" t="s">
        <v>477</v>
      </c>
      <c r="C159" s="1">
        <v>46034.083854166667</v>
      </c>
      <c r="D159">
        <v>1210.43</v>
      </c>
      <c r="E159" t="s">
        <v>19</v>
      </c>
      <c r="F159" t="s">
        <v>20</v>
      </c>
      <c r="G159" t="s">
        <v>21</v>
      </c>
      <c r="H159" t="s">
        <v>478</v>
      </c>
      <c r="I159" t="s">
        <v>3232</v>
      </c>
      <c r="J159" t="s">
        <v>3034</v>
      </c>
      <c r="K159" s="1">
        <v>46034.090798611112</v>
      </c>
      <c r="L159">
        <v>1210.43</v>
      </c>
      <c r="M159">
        <v>35.4</v>
      </c>
      <c r="N159">
        <v>1175.03</v>
      </c>
      <c r="O159" t="s">
        <v>19</v>
      </c>
      <c r="P159" t="s">
        <v>3056</v>
      </c>
      <c r="Q159" t="s">
        <v>3036</v>
      </c>
      <c r="R159" t="s">
        <v>4977</v>
      </c>
      <c r="S159" t="s">
        <v>4992</v>
      </c>
      <c r="T159" t="s">
        <v>4992</v>
      </c>
    </row>
    <row r="160" spans="1:20" x14ac:dyDescent="0.25">
      <c r="A160" t="s">
        <v>479</v>
      </c>
      <c r="B160" t="s">
        <v>480</v>
      </c>
      <c r="C160" s="1">
        <v>46035.195902777778</v>
      </c>
      <c r="D160">
        <v>1797.62</v>
      </c>
      <c r="E160" t="s">
        <v>25</v>
      </c>
      <c r="F160" t="s">
        <v>20</v>
      </c>
      <c r="G160" t="s">
        <v>26</v>
      </c>
      <c r="H160" t="s">
        <v>481</v>
      </c>
      <c r="I160" t="s">
        <v>3233</v>
      </c>
      <c r="J160" t="s">
        <v>3034</v>
      </c>
      <c r="K160" s="1">
        <v>46035.202847222223</v>
      </c>
      <c r="L160">
        <v>1797.62</v>
      </c>
      <c r="M160">
        <v>52.43</v>
      </c>
      <c r="N160">
        <v>1745.19</v>
      </c>
      <c r="O160" t="s">
        <v>25</v>
      </c>
      <c r="P160" t="s">
        <v>3058</v>
      </c>
      <c r="Q160" t="s">
        <v>3036</v>
      </c>
      <c r="R160" t="s">
        <v>4977</v>
      </c>
      <c r="S160" t="s">
        <v>4992</v>
      </c>
      <c r="T160" t="s">
        <v>4992</v>
      </c>
    </row>
    <row r="161" spans="1:20" x14ac:dyDescent="0.25">
      <c r="A161" t="s">
        <v>482</v>
      </c>
      <c r="B161" t="s">
        <v>483</v>
      </c>
      <c r="C161" s="1">
        <v>46035.258136574077</v>
      </c>
      <c r="D161">
        <v>2021.47</v>
      </c>
      <c r="E161" t="s">
        <v>25</v>
      </c>
      <c r="F161" t="s">
        <v>20</v>
      </c>
      <c r="G161" t="s">
        <v>30</v>
      </c>
      <c r="H161" t="s">
        <v>484</v>
      </c>
      <c r="I161" t="s">
        <v>3234</v>
      </c>
      <c r="J161" t="s">
        <v>3034</v>
      </c>
      <c r="K161" s="1">
        <v>46035.265081018515</v>
      </c>
      <c r="L161">
        <v>2021.47</v>
      </c>
      <c r="M161">
        <v>58.92</v>
      </c>
      <c r="N161">
        <v>1962.55</v>
      </c>
      <c r="O161" t="s">
        <v>25</v>
      </c>
      <c r="P161" t="s">
        <v>3060</v>
      </c>
      <c r="Q161" t="s">
        <v>3036</v>
      </c>
      <c r="R161" t="s">
        <v>4977</v>
      </c>
      <c r="S161" t="s">
        <v>4992</v>
      </c>
      <c r="T161" t="s">
        <v>4992</v>
      </c>
    </row>
    <row r="162" spans="1:20" x14ac:dyDescent="0.25">
      <c r="A162" t="s">
        <v>485</v>
      </c>
      <c r="B162" t="s">
        <v>486</v>
      </c>
      <c r="C162" s="1">
        <v>46036.377789351849</v>
      </c>
      <c r="D162">
        <v>2166.52</v>
      </c>
      <c r="E162" t="s">
        <v>25</v>
      </c>
      <c r="F162" t="s">
        <v>20</v>
      </c>
      <c r="G162" t="s">
        <v>21</v>
      </c>
      <c r="H162" t="s">
        <v>487</v>
      </c>
      <c r="I162" t="s">
        <v>3235</v>
      </c>
      <c r="J162" t="s">
        <v>3034</v>
      </c>
      <c r="K162" s="1">
        <v>46036.384733796294</v>
      </c>
      <c r="L162">
        <v>2166.52</v>
      </c>
      <c r="M162">
        <v>63.13</v>
      </c>
      <c r="N162">
        <v>2103.39</v>
      </c>
      <c r="O162" t="s">
        <v>25</v>
      </c>
      <c r="P162" t="s">
        <v>3062</v>
      </c>
      <c r="Q162" t="s">
        <v>3036</v>
      </c>
      <c r="R162" t="s">
        <v>4977</v>
      </c>
      <c r="S162" t="s">
        <v>4992</v>
      </c>
      <c r="T162" t="s">
        <v>4992</v>
      </c>
    </row>
    <row r="163" spans="1:20" x14ac:dyDescent="0.25">
      <c r="A163" t="s">
        <v>488</v>
      </c>
      <c r="B163" t="s">
        <v>489</v>
      </c>
      <c r="C163" s="1">
        <v>46023.446157407408</v>
      </c>
      <c r="D163">
        <v>575.04</v>
      </c>
      <c r="E163" t="s">
        <v>25</v>
      </c>
      <c r="F163" t="s">
        <v>20</v>
      </c>
      <c r="G163" t="s">
        <v>26</v>
      </c>
      <c r="H163" t="s">
        <v>490</v>
      </c>
      <c r="I163" t="s">
        <v>3236</v>
      </c>
      <c r="J163" t="s">
        <v>3034</v>
      </c>
      <c r="K163" s="1">
        <v>46023.453101851854</v>
      </c>
      <c r="L163">
        <v>575.04</v>
      </c>
      <c r="M163">
        <v>16.98</v>
      </c>
      <c r="N163">
        <v>558.05999999999995</v>
      </c>
      <c r="O163" t="s">
        <v>25</v>
      </c>
      <c r="P163" t="s">
        <v>3064</v>
      </c>
      <c r="Q163" t="s">
        <v>3036</v>
      </c>
      <c r="R163" t="s">
        <v>4977</v>
      </c>
      <c r="S163" t="s">
        <v>4992</v>
      </c>
      <c r="T163" t="s">
        <v>4992</v>
      </c>
    </row>
    <row r="164" spans="1:20" x14ac:dyDescent="0.25">
      <c r="A164" t="s">
        <v>491</v>
      </c>
      <c r="B164" t="s">
        <v>492</v>
      </c>
      <c r="C164" s="1">
        <v>46024.552743055552</v>
      </c>
      <c r="D164">
        <v>1054.1500000000001</v>
      </c>
      <c r="E164" t="s">
        <v>25</v>
      </c>
      <c r="F164" t="s">
        <v>20</v>
      </c>
      <c r="G164" t="s">
        <v>30</v>
      </c>
      <c r="H164" t="s">
        <v>493</v>
      </c>
      <c r="I164" t="s">
        <v>3237</v>
      </c>
      <c r="J164" t="s">
        <v>3034</v>
      </c>
      <c r="K164" s="1">
        <v>46024.559687499997</v>
      </c>
      <c r="L164">
        <v>1054.1500000000001</v>
      </c>
      <c r="M164">
        <v>30.87</v>
      </c>
      <c r="N164">
        <v>1023.28</v>
      </c>
      <c r="O164" t="s">
        <v>25</v>
      </c>
      <c r="P164" t="s">
        <v>3038</v>
      </c>
      <c r="Q164" t="s">
        <v>3036</v>
      </c>
      <c r="R164" t="s">
        <v>4977</v>
      </c>
      <c r="S164" t="s">
        <v>4992</v>
      </c>
      <c r="T164" t="s">
        <v>4992</v>
      </c>
    </row>
    <row r="165" spans="1:20" x14ac:dyDescent="0.25">
      <c r="A165" t="s">
        <v>497</v>
      </c>
      <c r="B165" t="s">
        <v>498</v>
      </c>
      <c r="C165" s="1">
        <v>46026.715497685182</v>
      </c>
      <c r="D165">
        <v>1756.56</v>
      </c>
      <c r="E165" t="s">
        <v>25</v>
      </c>
      <c r="F165" t="s">
        <v>20</v>
      </c>
      <c r="G165" t="s">
        <v>26</v>
      </c>
      <c r="H165" t="s">
        <v>499</v>
      </c>
      <c r="I165" t="s">
        <v>3238</v>
      </c>
      <c r="J165" t="s">
        <v>3034</v>
      </c>
      <c r="K165" s="1">
        <v>46026.722442129627</v>
      </c>
      <c r="L165">
        <v>1756.56</v>
      </c>
      <c r="M165">
        <v>51.24</v>
      </c>
      <c r="N165">
        <v>1705.32</v>
      </c>
      <c r="O165" t="s">
        <v>25</v>
      </c>
      <c r="P165" t="s">
        <v>3042</v>
      </c>
      <c r="Q165" t="s">
        <v>3036</v>
      </c>
      <c r="R165" t="s">
        <v>4977</v>
      </c>
      <c r="S165" t="s">
        <v>4992</v>
      </c>
      <c r="T165" t="s">
        <v>4992</v>
      </c>
    </row>
    <row r="166" spans="1:20" x14ac:dyDescent="0.25">
      <c r="A166" t="s">
        <v>500</v>
      </c>
      <c r="B166" t="s">
        <v>501</v>
      </c>
      <c r="C166" s="1">
        <v>46027.843564814815</v>
      </c>
      <c r="D166">
        <v>354.84</v>
      </c>
      <c r="E166" t="s">
        <v>25</v>
      </c>
      <c r="F166" t="s">
        <v>20</v>
      </c>
      <c r="G166" t="s">
        <v>30</v>
      </c>
      <c r="H166" t="s">
        <v>502</v>
      </c>
      <c r="I166" t="s">
        <v>3239</v>
      </c>
      <c r="J166" t="s">
        <v>3034</v>
      </c>
      <c r="K166" s="1">
        <v>46027.85050925926</v>
      </c>
      <c r="L166">
        <v>354.84</v>
      </c>
      <c r="M166">
        <v>10.59</v>
      </c>
      <c r="N166">
        <v>344.25</v>
      </c>
      <c r="O166" t="s">
        <v>25</v>
      </c>
      <c r="P166" t="s">
        <v>3068</v>
      </c>
      <c r="Q166" t="s">
        <v>3036</v>
      </c>
      <c r="R166" t="s">
        <v>4977</v>
      </c>
      <c r="S166" t="s">
        <v>4992</v>
      </c>
      <c r="T166" t="s">
        <v>4992</v>
      </c>
    </row>
    <row r="167" spans="1:20" x14ac:dyDescent="0.25">
      <c r="A167" t="s">
        <v>503</v>
      </c>
      <c r="B167" t="s">
        <v>504</v>
      </c>
      <c r="C167" s="1">
        <v>46028.93540509259</v>
      </c>
      <c r="D167">
        <v>2393.91</v>
      </c>
      <c r="E167" t="s">
        <v>52</v>
      </c>
      <c r="F167" t="s">
        <v>20</v>
      </c>
      <c r="G167" t="s">
        <v>21</v>
      </c>
      <c r="H167" t="s">
        <v>505</v>
      </c>
      <c r="I167" t="s">
        <v>3240</v>
      </c>
      <c r="J167" t="s">
        <v>3034</v>
      </c>
      <c r="K167" s="1">
        <v>46028.942349537036</v>
      </c>
      <c r="L167">
        <v>2393.91</v>
      </c>
      <c r="M167">
        <v>69.72</v>
      </c>
      <c r="N167">
        <v>2324.19</v>
      </c>
      <c r="O167" t="s">
        <v>52</v>
      </c>
      <c r="P167" t="s">
        <v>3070</v>
      </c>
      <c r="Q167" t="s">
        <v>3036</v>
      </c>
      <c r="R167" t="s">
        <v>4977</v>
      </c>
      <c r="S167" t="s">
        <v>4992</v>
      </c>
      <c r="T167" t="s">
        <v>4992</v>
      </c>
    </row>
    <row r="168" spans="1:20" x14ac:dyDescent="0.25">
      <c r="A168" t="s">
        <v>506</v>
      </c>
      <c r="B168" t="s">
        <v>507</v>
      </c>
      <c r="C168" s="1">
        <v>46029.999201388891</v>
      </c>
      <c r="D168">
        <v>1265.67</v>
      </c>
      <c r="E168" t="s">
        <v>19</v>
      </c>
      <c r="F168" t="s">
        <v>20</v>
      </c>
      <c r="G168" t="s">
        <v>26</v>
      </c>
      <c r="H168" t="s">
        <v>508</v>
      </c>
      <c r="I168" t="s">
        <v>3241</v>
      </c>
      <c r="J168" t="s">
        <v>3034</v>
      </c>
      <c r="K168" s="1">
        <v>46030.006145833337</v>
      </c>
      <c r="L168">
        <v>1265.67</v>
      </c>
      <c r="M168">
        <v>37</v>
      </c>
      <c r="N168">
        <v>1228.67</v>
      </c>
      <c r="O168" t="s">
        <v>19</v>
      </c>
      <c r="P168" t="s">
        <v>3072</v>
      </c>
      <c r="Q168" t="s">
        <v>3036</v>
      </c>
      <c r="R168" t="s">
        <v>4977</v>
      </c>
      <c r="S168" t="s">
        <v>4992</v>
      </c>
      <c r="T168" t="s">
        <v>4992</v>
      </c>
    </row>
    <row r="169" spans="1:20" x14ac:dyDescent="0.25">
      <c r="A169" t="s">
        <v>509</v>
      </c>
      <c r="B169" t="s">
        <v>510</v>
      </c>
      <c r="C169" s="1">
        <v>46031.10769675926</v>
      </c>
      <c r="D169">
        <v>1781.21</v>
      </c>
      <c r="E169" t="s">
        <v>25</v>
      </c>
      <c r="F169" t="s">
        <v>20</v>
      </c>
      <c r="G169" t="s">
        <v>30</v>
      </c>
      <c r="H169" t="s">
        <v>511</v>
      </c>
      <c r="I169" t="s">
        <v>3242</v>
      </c>
      <c r="J169" t="s">
        <v>3034</v>
      </c>
      <c r="K169" s="1">
        <v>46031.114641203705</v>
      </c>
      <c r="L169">
        <v>1781.21</v>
      </c>
      <c r="M169">
        <v>51.96</v>
      </c>
      <c r="N169">
        <v>1729.25</v>
      </c>
      <c r="O169" t="s">
        <v>25</v>
      </c>
      <c r="P169" t="s">
        <v>3050</v>
      </c>
      <c r="Q169" t="s">
        <v>3036</v>
      </c>
      <c r="R169" t="s">
        <v>4977</v>
      </c>
      <c r="S169" t="s">
        <v>4992</v>
      </c>
      <c r="T169" t="s">
        <v>4992</v>
      </c>
    </row>
    <row r="170" spans="1:20" x14ac:dyDescent="0.25">
      <c r="A170" t="s">
        <v>512</v>
      </c>
      <c r="B170" t="s">
        <v>513</v>
      </c>
      <c r="C170" s="1">
        <v>46032.171446759261</v>
      </c>
      <c r="D170">
        <v>2188.0500000000002</v>
      </c>
      <c r="E170" t="s">
        <v>25</v>
      </c>
      <c r="F170" t="s">
        <v>20</v>
      </c>
      <c r="G170" t="s">
        <v>21</v>
      </c>
      <c r="H170" t="s">
        <v>514</v>
      </c>
      <c r="I170" t="s">
        <v>3243</v>
      </c>
      <c r="J170" t="s">
        <v>3034</v>
      </c>
      <c r="K170" s="1">
        <v>46032.178391203706</v>
      </c>
      <c r="L170">
        <v>2188.0500000000002</v>
      </c>
      <c r="M170">
        <v>63.75</v>
      </c>
      <c r="N170">
        <v>2124.3000000000002</v>
      </c>
      <c r="O170" t="s">
        <v>25</v>
      </c>
      <c r="P170" t="s">
        <v>3052</v>
      </c>
      <c r="Q170" t="s">
        <v>3036</v>
      </c>
      <c r="R170" t="s">
        <v>4977</v>
      </c>
      <c r="S170" t="s">
        <v>4992</v>
      </c>
      <c r="T170" t="s">
        <v>4992</v>
      </c>
    </row>
    <row r="171" spans="1:20" x14ac:dyDescent="0.25">
      <c r="A171" t="s">
        <v>515</v>
      </c>
      <c r="B171" t="s">
        <v>516</v>
      </c>
      <c r="C171" s="1">
        <v>46032.280127314814</v>
      </c>
      <c r="D171">
        <v>1530.61</v>
      </c>
      <c r="E171" t="s">
        <v>25</v>
      </c>
      <c r="F171" t="s">
        <v>20</v>
      </c>
      <c r="G171" t="s">
        <v>26</v>
      </c>
      <c r="H171" t="s">
        <v>517</v>
      </c>
      <c r="I171" t="s">
        <v>3244</v>
      </c>
      <c r="J171" t="s">
        <v>3034</v>
      </c>
      <c r="K171" s="1">
        <v>46032.28707175926</v>
      </c>
      <c r="L171">
        <v>1530.61</v>
      </c>
      <c r="M171">
        <v>44.69</v>
      </c>
      <c r="N171">
        <v>1485.92</v>
      </c>
      <c r="O171" t="s">
        <v>25</v>
      </c>
      <c r="P171" t="s">
        <v>3079</v>
      </c>
      <c r="Q171" t="s">
        <v>3036</v>
      </c>
      <c r="R171" t="s">
        <v>4977</v>
      </c>
      <c r="S171" t="s">
        <v>4992</v>
      </c>
      <c r="T171" t="s">
        <v>4992</v>
      </c>
    </row>
    <row r="172" spans="1:20" x14ac:dyDescent="0.25">
      <c r="A172" t="s">
        <v>518</v>
      </c>
      <c r="B172" t="s">
        <v>519</v>
      </c>
      <c r="C172" s="1">
        <v>46033.372395833336</v>
      </c>
      <c r="D172">
        <v>335.84</v>
      </c>
      <c r="E172" t="s">
        <v>25</v>
      </c>
      <c r="F172" t="s">
        <v>20</v>
      </c>
      <c r="G172" t="s">
        <v>30</v>
      </c>
      <c r="H172" t="s">
        <v>520</v>
      </c>
      <c r="I172" t="s">
        <v>3245</v>
      </c>
      <c r="J172" t="s">
        <v>3034</v>
      </c>
      <c r="K172" s="1">
        <v>46033.379340277781</v>
      </c>
      <c r="L172">
        <v>335.84</v>
      </c>
      <c r="M172">
        <v>10.039999999999999</v>
      </c>
      <c r="N172">
        <v>325.8</v>
      </c>
      <c r="O172" t="s">
        <v>25</v>
      </c>
      <c r="P172" t="s">
        <v>3081</v>
      </c>
      <c r="Q172" t="s">
        <v>3036</v>
      </c>
      <c r="R172" t="s">
        <v>4977</v>
      </c>
      <c r="S172" t="s">
        <v>4992</v>
      </c>
      <c r="T172" t="s">
        <v>4992</v>
      </c>
    </row>
    <row r="173" spans="1:20" x14ac:dyDescent="0.25">
      <c r="A173" t="s">
        <v>518</v>
      </c>
      <c r="B173" t="s">
        <v>519</v>
      </c>
      <c r="C173" s="1">
        <v>46033.372395833336</v>
      </c>
      <c r="D173">
        <v>335.84</v>
      </c>
      <c r="E173" t="s">
        <v>25</v>
      </c>
      <c r="F173" t="s">
        <v>20</v>
      </c>
      <c r="G173" t="s">
        <v>30</v>
      </c>
      <c r="H173" t="s">
        <v>520</v>
      </c>
      <c r="I173" t="s">
        <v>3245</v>
      </c>
      <c r="J173" t="s">
        <v>3034</v>
      </c>
      <c r="K173" s="1">
        <v>46033.379340277781</v>
      </c>
      <c r="L173">
        <v>335.84</v>
      </c>
      <c r="M173">
        <v>10.039999999999999</v>
      </c>
      <c r="N173">
        <v>325.8</v>
      </c>
      <c r="O173" t="s">
        <v>25</v>
      </c>
      <c r="P173" t="s">
        <v>3081</v>
      </c>
      <c r="Q173" t="s">
        <v>3036</v>
      </c>
      <c r="R173" t="s">
        <v>4977</v>
      </c>
      <c r="S173" t="s">
        <v>4992</v>
      </c>
      <c r="T173" t="s">
        <v>4992</v>
      </c>
    </row>
    <row r="174" spans="1:20" x14ac:dyDescent="0.25">
      <c r="A174" t="s">
        <v>521</v>
      </c>
      <c r="B174" t="s">
        <v>522</v>
      </c>
      <c r="C174" s="1">
        <v>46034.484814814816</v>
      </c>
      <c r="D174">
        <v>2427.5</v>
      </c>
      <c r="E174" t="s">
        <v>25</v>
      </c>
      <c r="F174" t="s">
        <v>20</v>
      </c>
      <c r="G174" t="s">
        <v>21</v>
      </c>
      <c r="H174" t="s">
        <v>523</v>
      </c>
      <c r="I174" t="s">
        <v>3246</v>
      </c>
      <c r="J174" t="s">
        <v>3034</v>
      </c>
      <c r="K174" s="1">
        <v>46034.491759259261</v>
      </c>
      <c r="L174">
        <v>2427.5</v>
      </c>
      <c r="M174">
        <v>70.7</v>
      </c>
      <c r="N174">
        <v>2356.8000000000002</v>
      </c>
      <c r="O174" t="s">
        <v>25</v>
      </c>
      <c r="P174" t="s">
        <v>3058</v>
      </c>
      <c r="Q174" t="s">
        <v>3036</v>
      </c>
      <c r="R174" t="s">
        <v>4977</v>
      </c>
      <c r="S174" t="s">
        <v>4992</v>
      </c>
      <c r="T174" t="s">
        <v>4992</v>
      </c>
    </row>
    <row r="175" spans="1:20" x14ac:dyDescent="0.25">
      <c r="A175" t="s">
        <v>524</v>
      </c>
      <c r="B175" t="s">
        <v>525</v>
      </c>
      <c r="C175" s="1">
        <v>46035.550405092596</v>
      </c>
      <c r="D175">
        <v>971.48</v>
      </c>
      <c r="E175" t="s">
        <v>25</v>
      </c>
      <c r="F175" t="s">
        <v>20</v>
      </c>
      <c r="G175" t="s">
        <v>26</v>
      </c>
      <c r="H175" t="s">
        <v>526</v>
      </c>
      <c r="I175" t="s">
        <v>3247</v>
      </c>
      <c r="J175" t="s">
        <v>3034</v>
      </c>
      <c r="K175" s="1">
        <v>46035.557349537034</v>
      </c>
      <c r="L175">
        <v>971.48</v>
      </c>
      <c r="M175">
        <v>28.47</v>
      </c>
      <c r="N175">
        <v>943.01</v>
      </c>
      <c r="O175" t="s">
        <v>25</v>
      </c>
      <c r="P175" t="s">
        <v>3060</v>
      </c>
      <c r="Q175" t="s">
        <v>3036</v>
      </c>
      <c r="R175" t="s">
        <v>4977</v>
      </c>
      <c r="S175" t="s">
        <v>4992</v>
      </c>
      <c r="T175" t="s">
        <v>4992</v>
      </c>
    </row>
    <row r="176" spans="1:20" x14ac:dyDescent="0.25">
      <c r="A176" t="s">
        <v>524</v>
      </c>
      <c r="B176" t="s">
        <v>525</v>
      </c>
      <c r="C176" s="1">
        <v>46035.550405092596</v>
      </c>
      <c r="D176">
        <v>971.48</v>
      </c>
      <c r="E176" t="s">
        <v>25</v>
      </c>
      <c r="F176" t="s">
        <v>20</v>
      </c>
      <c r="G176" t="s">
        <v>26</v>
      </c>
      <c r="H176" t="s">
        <v>526</v>
      </c>
      <c r="I176" t="s">
        <v>3248</v>
      </c>
      <c r="J176" t="s">
        <v>3034</v>
      </c>
      <c r="K176" s="1">
        <v>46035.55804398148</v>
      </c>
      <c r="L176">
        <v>971.48</v>
      </c>
      <c r="M176">
        <v>28.47</v>
      </c>
      <c r="N176">
        <v>943.01</v>
      </c>
      <c r="O176" t="s">
        <v>25</v>
      </c>
      <c r="P176" t="s">
        <v>3060</v>
      </c>
      <c r="Q176" t="s">
        <v>3036</v>
      </c>
      <c r="R176" t="s">
        <v>4977</v>
      </c>
      <c r="S176" t="s">
        <v>4992</v>
      </c>
      <c r="T176" t="s">
        <v>4992</v>
      </c>
    </row>
    <row r="177" spans="1:20" x14ac:dyDescent="0.25">
      <c r="A177" t="s">
        <v>527</v>
      </c>
      <c r="B177" t="s">
        <v>528</v>
      </c>
      <c r="C177" s="1">
        <v>46036.667199074072</v>
      </c>
      <c r="D177">
        <v>1106.7</v>
      </c>
      <c r="E177" t="s">
        <v>25</v>
      </c>
      <c r="F177" t="s">
        <v>20</v>
      </c>
      <c r="G177" t="s">
        <v>30</v>
      </c>
      <c r="H177" t="s">
        <v>529</v>
      </c>
      <c r="I177" t="s">
        <v>3249</v>
      </c>
      <c r="J177" t="s">
        <v>3034</v>
      </c>
      <c r="K177" s="1">
        <v>46036.674143518518</v>
      </c>
      <c r="L177">
        <v>1106.7</v>
      </c>
      <c r="M177">
        <v>32.39</v>
      </c>
      <c r="N177">
        <v>1074.31</v>
      </c>
      <c r="O177" t="s">
        <v>25</v>
      </c>
      <c r="P177" t="s">
        <v>3062</v>
      </c>
      <c r="Q177" t="s">
        <v>3036</v>
      </c>
      <c r="R177" t="s">
        <v>4977</v>
      </c>
      <c r="S177" t="s">
        <v>4992</v>
      </c>
      <c r="T177" t="s">
        <v>4992</v>
      </c>
    </row>
    <row r="178" spans="1:20" x14ac:dyDescent="0.25">
      <c r="A178" t="s">
        <v>530</v>
      </c>
      <c r="B178" t="s">
        <v>531</v>
      </c>
      <c r="C178" s="1">
        <v>46023.7346412037</v>
      </c>
      <c r="D178">
        <v>277.01</v>
      </c>
      <c r="E178" t="s">
        <v>25</v>
      </c>
      <c r="F178" t="s">
        <v>20</v>
      </c>
      <c r="G178" t="s">
        <v>21</v>
      </c>
      <c r="H178" t="s">
        <v>532</v>
      </c>
      <c r="I178" t="s">
        <v>3250</v>
      </c>
      <c r="J178" t="s">
        <v>3034</v>
      </c>
      <c r="K178" s="1">
        <v>46023.741585648146</v>
      </c>
      <c r="L178">
        <v>277.01</v>
      </c>
      <c r="M178">
        <v>8.33</v>
      </c>
      <c r="N178">
        <v>268.68</v>
      </c>
      <c r="O178" t="s">
        <v>25</v>
      </c>
      <c r="P178" t="s">
        <v>3064</v>
      </c>
      <c r="Q178" t="s">
        <v>3036</v>
      </c>
      <c r="R178" t="s">
        <v>4977</v>
      </c>
      <c r="S178" t="s">
        <v>4992</v>
      </c>
      <c r="T178" t="s">
        <v>4992</v>
      </c>
    </row>
    <row r="179" spans="1:20" x14ac:dyDescent="0.25">
      <c r="A179" t="s">
        <v>530</v>
      </c>
      <c r="B179" t="s">
        <v>531</v>
      </c>
      <c r="C179" s="1">
        <v>46023.7346412037</v>
      </c>
      <c r="D179">
        <v>277.01</v>
      </c>
      <c r="E179" t="s">
        <v>25</v>
      </c>
      <c r="F179" t="s">
        <v>20</v>
      </c>
      <c r="G179" t="s">
        <v>21</v>
      </c>
      <c r="H179" t="s">
        <v>532</v>
      </c>
      <c r="I179" t="s">
        <v>3250</v>
      </c>
      <c r="J179" t="s">
        <v>3034</v>
      </c>
      <c r="K179" s="1">
        <v>46023.741585648146</v>
      </c>
      <c r="L179">
        <v>277.01</v>
      </c>
      <c r="M179">
        <v>8.33</v>
      </c>
      <c r="N179">
        <v>268.68</v>
      </c>
      <c r="O179" t="s">
        <v>25</v>
      </c>
      <c r="P179" t="s">
        <v>3064</v>
      </c>
      <c r="Q179" t="s">
        <v>3036</v>
      </c>
      <c r="R179" t="s">
        <v>4977</v>
      </c>
      <c r="S179" t="s">
        <v>4992</v>
      </c>
      <c r="T179" t="s">
        <v>4992</v>
      </c>
    </row>
    <row r="180" spans="1:20" x14ac:dyDescent="0.25">
      <c r="A180" t="s">
        <v>533</v>
      </c>
      <c r="B180" t="s">
        <v>534</v>
      </c>
      <c r="C180" s="1">
        <v>46024.845011574071</v>
      </c>
      <c r="D180">
        <v>586.04</v>
      </c>
      <c r="E180" t="s">
        <v>52</v>
      </c>
      <c r="F180" t="s">
        <v>92</v>
      </c>
      <c r="G180" t="s">
        <v>26</v>
      </c>
      <c r="H180" t="s">
        <v>535</v>
      </c>
      <c r="I180" t="s">
        <v>3251</v>
      </c>
      <c r="J180" t="s">
        <v>3034</v>
      </c>
      <c r="K180" s="1">
        <v>46024.851956018516</v>
      </c>
      <c r="L180">
        <v>586.04</v>
      </c>
      <c r="M180">
        <v>17.3</v>
      </c>
      <c r="N180">
        <v>568.74</v>
      </c>
      <c r="O180" t="s">
        <v>52</v>
      </c>
      <c r="P180" t="s">
        <v>3172</v>
      </c>
      <c r="Q180" t="s">
        <v>3036</v>
      </c>
      <c r="R180" t="s">
        <v>4977</v>
      </c>
      <c r="S180" t="s">
        <v>4992</v>
      </c>
      <c r="T180" t="s">
        <v>4992</v>
      </c>
    </row>
    <row r="181" spans="1:20" x14ac:dyDescent="0.25">
      <c r="A181" t="s">
        <v>533</v>
      </c>
      <c r="B181" t="s">
        <v>534</v>
      </c>
      <c r="C181" s="1">
        <v>46024.845011574071</v>
      </c>
      <c r="D181">
        <v>586.04</v>
      </c>
      <c r="E181" t="s">
        <v>52</v>
      </c>
      <c r="F181" t="s">
        <v>92</v>
      </c>
      <c r="G181" t="s">
        <v>26</v>
      </c>
      <c r="H181" t="s">
        <v>535</v>
      </c>
      <c r="I181" t="s">
        <v>3252</v>
      </c>
      <c r="J181" t="s">
        <v>3076</v>
      </c>
      <c r="K181" s="1">
        <v>46025.845011574071</v>
      </c>
      <c r="L181">
        <v>-293.02</v>
      </c>
      <c r="M181">
        <v>0</v>
      </c>
      <c r="N181">
        <v>-293.02</v>
      </c>
      <c r="O181" t="s">
        <v>52</v>
      </c>
      <c r="P181" t="s">
        <v>3253</v>
      </c>
      <c r="Q181" t="s">
        <v>3036</v>
      </c>
      <c r="R181" t="s">
        <v>4977</v>
      </c>
      <c r="S181" t="s">
        <v>4991</v>
      </c>
      <c r="T181" t="s">
        <v>4992</v>
      </c>
    </row>
    <row r="182" spans="1:20" x14ac:dyDescent="0.25">
      <c r="A182" t="s">
        <v>536</v>
      </c>
      <c r="B182" t="s">
        <v>537</v>
      </c>
      <c r="C182" s="1">
        <v>46025.942407407405</v>
      </c>
      <c r="D182">
        <v>227.25</v>
      </c>
      <c r="E182" t="s">
        <v>19</v>
      </c>
      <c r="F182" t="s">
        <v>20</v>
      </c>
      <c r="G182" t="s">
        <v>30</v>
      </c>
      <c r="H182" t="s">
        <v>538</v>
      </c>
      <c r="I182" t="s">
        <v>3254</v>
      </c>
      <c r="J182" t="s">
        <v>3034</v>
      </c>
      <c r="K182" s="1">
        <v>46025.94935185185</v>
      </c>
      <c r="L182">
        <v>227.25</v>
      </c>
      <c r="M182">
        <v>6.89</v>
      </c>
      <c r="N182">
        <v>220.36</v>
      </c>
      <c r="O182" t="s">
        <v>19</v>
      </c>
      <c r="P182" t="s">
        <v>3174</v>
      </c>
      <c r="Q182" t="s">
        <v>3036</v>
      </c>
      <c r="R182" t="s">
        <v>4977</v>
      </c>
      <c r="S182" t="s">
        <v>4992</v>
      </c>
      <c r="T182" t="s">
        <v>4992</v>
      </c>
    </row>
    <row r="183" spans="1:20" x14ac:dyDescent="0.25">
      <c r="A183" t="s">
        <v>539</v>
      </c>
      <c r="B183" t="s">
        <v>540</v>
      </c>
      <c r="C183" s="1">
        <v>46027.001145833332</v>
      </c>
      <c r="D183">
        <v>123.15</v>
      </c>
      <c r="E183" t="s">
        <v>25</v>
      </c>
      <c r="F183" t="s">
        <v>20</v>
      </c>
      <c r="G183" t="s">
        <v>21</v>
      </c>
      <c r="H183" t="s">
        <v>541</v>
      </c>
      <c r="I183" t="s">
        <v>3255</v>
      </c>
      <c r="J183" t="s">
        <v>3034</v>
      </c>
      <c r="K183" s="1">
        <v>46027.008090277777</v>
      </c>
      <c r="L183">
        <v>123.15</v>
      </c>
      <c r="M183">
        <v>3.87</v>
      </c>
      <c r="N183">
        <v>119.28</v>
      </c>
      <c r="O183" t="s">
        <v>25</v>
      </c>
      <c r="P183" t="s">
        <v>3042</v>
      </c>
      <c r="Q183" t="s">
        <v>3036</v>
      </c>
      <c r="R183" t="s">
        <v>4977</v>
      </c>
      <c r="S183" t="s">
        <v>4992</v>
      </c>
      <c r="T183" t="s">
        <v>4992</v>
      </c>
    </row>
    <row r="184" spans="1:20" x14ac:dyDescent="0.25">
      <c r="A184" t="s">
        <v>542</v>
      </c>
      <c r="B184" t="s">
        <v>543</v>
      </c>
      <c r="C184" s="1">
        <v>46028.092118055552</v>
      </c>
      <c r="D184">
        <v>2116.92</v>
      </c>
      <c r="E184" t="s">
        <v>25</v>
      </c>
      <c r="F184" t="s">
        <v>20</v>
      </c>
      <c r="G184" t="s">
        <v>26</v>
      </c>
      <c r="H184" t="s">
        <v>544</v>
      </c>
      <c r="I184" t="s">
        <v>3256</v>
      </c>
      <c r="J184" t="s">
        <v>3034</v>
      </c>
      <c r="K184" s="1">
        <v>46028.099062499998</v>
      </c>
      <c r="L184">
        <v>2116.92</v>
      </c>
      <c r="M184">
        <v>61.69</v>
      </c>
      <c r="N184">
        <v>2055.23</v>
      </c>
      <c r="O184" t="s">
        <v>25</v>
      </c>
      <c r="P184" t="s">
        <v>3068</v>
      </c>
      <c r="Q184" t="s">
        <v>3036</v>
      </c>
      <c r="R184" t="s">
        <v>4977</v>
      </c>
      <c r="S184" t="s">
        <v>4992</v>
      </c>
      <c r="T184" t="s">
        <v>4992</v>
      </c>
    </row>
    <row r="185" spans="1:20" x14ac:dyDescent="0.25">
      <c r="A185" t="s">
        <v>545</v>
      </c>
      <c r="B185" t="s">
        <v>546</v>
      </c>
      <c r="C185" s="1">
        <v>46029.199699074074</v>
      </c>
      <c r="D185">
        <v>1762.77</v>
      </c>
      <c r="E185" t="s">
        <v>25</v>
      </c>
      <c r="F185" t="s">
        <v>20</v>
      </c>
      <c r="G185" t="s">
        <v>30</v>
      </c>
      <c r="H185" t="s">
        <v>547</v>
      </c>
      <c r="I185" t="s">
        <v>3257</v>
      </c>
      <c r="J185" t="s">
        <v>3034</v>
      </c>
      <c r="K185" s="1">
        <v>46029.206643518519</v>
      </c>
      <c r="L185">
        <v>1762.77</v>
      </c>
      <c r="M185">
        <v>51.42</v>
      </c>
      <c r="N185">
        <v>1711.35</v>
      </c>
      <c r="O185" t="s">
        <v>25</v>
      </c>
      <c r="P185" t="s">
        <v>3046</v>
      </c>
      <c r="Q185" t="s">
        <v>3036</v>
      </c>
      <c r="R185" t="s">
        <v>4977</v>
      </c>
      <c r="S185" t="s">
        <v>4992</v>
      </c>
      <c r="T185" t="s">
        <v>4992</v>
      </c>
    </row>
    <row r="186" spans="1:20" x14ac:dyDescent="0.25">
      <c r="A186" t="s">
        <v>548</v>
      </c>
      <c r="B186" t="s">
        <v>549</v>
      </c>
      <c r="C186" s="1">
        <v>46029.278715277775</v>
      </c>
      <c r="D186">
        <v>228.95</v>
      </c>
      <c r="E186" t="s">
        <v>25</v>
      </c>
      <c r="F186" t="s">
        <v>20</v>
      </c>
      <c r="G186" t="s">
        <v>21</v>
      </c>
      <c r="H186" t="s">
        <v>550</v>
      </c>
      <c r="I186" t="s">
        <v>3258</v>
      </c>
      <c r="J186" t="s">
        <v>3034</v>
      </c>
      <c r="K186" s="1">
        <v>46029.28565972222</v>
      </c>
      <c r="L186">
        <v>228.95</v>
      </c>
      <c r="M186">
        <v>6.94</v>
      </c>
      <c r="N186">
        <v>222.01</v>
      </c>
      <c r="O186" t="s">
        <v>25</v>
      </c>
      <c r="P186" t="s">
        <v>3048</v>
      </c>
      <c r="Q186" t="s">
        <v>3036</v>
      </c>
      <c r="R186" t="s">
        <v>4977</v>
      </c>
      <c r="S186" t="s">
        <v>4992</v>
      </c>
      <c r="T186" t="s">
        <v>4992</v>
      </c>
    </row>
    <row r="187" spans="1:20" x14ac:dyDescent="0.25">
      <c r="A187" t="s">
        <v>548</v>
      </c>
      <c r="B187" t="s">
        <v>549</v>
      </c>
      <c r="C187" s="1">
        <v>46029.278715277775</v>
      </c>
      <c r="D187">
        <v>228.95</v>
      </c>
      <c r="E187" t="s">
        <v>25</v>
      </c>
      <c r="F187" t="s">
        <v>20</v>
      </c>
      <c r="G187" t="s">
        <v>21</v>
      </c>
      <c r="H187" t="s">
        <v>550</v>
      </c>
      <c r="I187" t="s">
        <v>3258</v>
      </c>
      <c r="J187" t="s">
        <v>3034</v>
      </c>
      <c r="K187" s="1">
        <v>46029.28565972222</v>
      </c>
      <c r="L187">
        <v>228.95</v>
      </c>
      <c r="M187">
        <v>6.94</v>
      </c>
      <c r="N187">
        <v>222.01</v>
      </c>
      <c r="O187" t="s">
        <v>25</v>
      </c>
      <c r="P187" t="s">
        <v>3048</v>
      </c>
      <c r="Q187" t="s">
        <v>3036</v>
      </c>
      <c r="R187" t="s">
        <v>4977</v>
      </c>
      <c r="S187" t="s">
        <v>4992</v>
      </c>
      <c r="T187" t="s">
        <v>4992</v>
      </c>
    </row>
    <row r="188" spans="1:20" x14ac:dyDescent="0.25">
      <c r="A188" t="s">
        <v>551</v>
      </c>
      <c r="B188" t="s">
        <v>552</v>
      </c>
      <c r="C188" s="1">
        <v>46030.383969907409</v>
      </c>
      <c r="D188">
        <v>936.29</v>
      </c>
      <c r="E188" t="s">
        <v>25</v>
      </c>
      <c r="F188" t="s">
        <v>20</v>
      </c>
      <c r="G188" t="s">
        <v>26</v>
      </c>
      <c r="H188" t="s">
        <v>553</v>
      </c>
      <c r="I188" t="s">
        <v>3259</v>
      </c>
      <c r="J188" t="s">
        <v>3034</v>
      </c>
      <c r="K188" s="1">
        <v>46030.390914351854</v>
      </c>
      <c r="L188">
        <v>936.29</v>
      </c>
      <c r="M188">
        <v>27.82</v>
      </c>
      <c r="N188">
        <v>908.47</v>
      </c>
      <c r="O188" t="s">
        <v>25</v>
      </c>
      <c r="P188" t="s">
        <v>3050</v>
      </c>
      <c r="Q188" t="s">
        <v>3036</v>
      </c>
      <c r="R188" t="s">
        <v>4977</v>
      </c>
      <c r="S188" t="s">
        <v>4992</v>
      </c>
      <c r="T188" t="s">
        <v>4992</v>
      </c>
    </row>
    <row r="189" spans="1:20" x14ac:dyDescent="0.25">
      <c r="A189" t="s">
        <v>554</v>
      </c>
      <c r="B189" t="s">
        <v>555</v>
      </c>
      <c r="C189" s="1">
        <v>46031.475092592591</v>
      </c>
      <c r="D189">
        <v>2409.42</v>
      </c>
      <c r="E189" t="s">
        <v>25</v>
      </c>
      <c r="F189" t="s">
        <v>20</v>
      </c>
      <c r="G189" t="s">
        <v>30</v>
      </c>
      <c r="H189" t="s">
        <v>556</v>
      </c>
      <c r="I189" t="s">
        <v>3260</v>
      </c>
      <c r="J189" t="s">
        <v>3034</v>
      </c>
      <c r="K189" s="1">
        <v>46031.482037037036</v>
      </c>
      <c r="L189">
        <v>2409.42</v>
      </c>
      <c r="M189">
        <v>70.17</v>
      </c>
      <c r="N189">
        <v>2339.25</v>
      </c>
      <c r="O189" t="s">
        <v>25</v>
      </c>
      <c r="P189" t="s">
        <v>3052</v>
      </c>
      <c r="Q189" t="s">
        <v>3036</v>
      </c>
      <c r="R189" t="s">
        <v>4977</v>
      </c>
      <c r="S189" t="s">
        <v>4992</v>
      </c>
      <c r="T189" t="s">
        <v>4992</v>
      </c>
    </row>
    <row r="190" spans="1:20" x14ac:dyDescent="0.25">
      <c r="A190" t="s">
        <v>557</v>
      </c>
      <c r="B190" t="s">
        <v>558</v>
      </c>
      <c r="C190" s="1">
        <v>46032.545659722222</v>
      </c>
      <c r="D190">
        <v>846.48</v>
      </c>
      <c r="E190" t="s">
        <v>25</v>
      </c>
      <c r="F190" t="s">
        <v>20</v>
      </c>
      <c r="G190" t="s">
        <v>21</v>
      </c>
      <c r="H190" t="s">
        <v>559</v>
      </c>
      <c r="I190" t="s">
        <v>3261</v>
      </c>
      <c r="J190" t="s">
        <v>3034</v>
      </c>
      <c r="K190" s="1">
        <v>46032.552604166667</v>
      </c>
      <c r="L190">
        <v>846.48</v>
      </c>
      <c r="M190">
        <v>24.85</v>
      </c>
      <c r="N190">
        <v>821.63</v>
      </c>
      <c r="O190" t="s">
        <v>25</v>
      </c>
      <c r="P190" t="s">
        <v>3079</v>
      </c>
      <c r="Q190" t="s">
        <v>3036</v>
      </c>
      <c r="R190" t="s">
        <v>4977</v>
      </c>
      <c r="S190" t="s">
        <v>4992</v>
      </c>
      <c r="T190" t="s">
        <v>4992</v>
      </c>
    </row>
    <row r="191" spans="1:20" x14ac:dyDescent="0.25">
      <c r="A191" t="s">
        <v>560</v>
      </c>
      <c r="B191" t="s">
        <v>561</v>
      </c>
      <c r="C191" s="1">
        <v>46033.644733796296</v>
      </c>
      <c r="D191">
        <v>1537.88</v>
      </c>
      <c r="E191" t="s">
        <v>25</v>
      </c>
      <c r="F191" t="s">
        <v>20</v>
      </c>
      <c r="G191" t="s">
        <v>26</v>
      </c>
      <c r="H191" t="s">
        <v>562</v>
      </c>
      <c r="I191" t="s">
        <v>3262</v>
      </c>
      <c r="J191" t="s">
        <v>3034</v>
      </c>
      <c r="K191" s="1">
        <v>46033.651678240742</v>
      </c>
      <c r="L191">
        <v>1537.88</v>
      </c>
      <c r="M191">
        <v>44.9</v>
      </c>
      <c r="N191">
        <v>1492.98</v>
      </c>
      <c r="O191" t="s">
        <v>25</v>
      </c>
      <c r="P191" t="s">
        <v>3081</v>
      </c>
      <c r="Q191" t="s">
        <v>3036</v>
      </c>
      <c r="R191" t="s">
        <v>4977</v>
      </c>
      <c r="S191" t="s">
        <v>4992</v>
      </c>
      <c r="T191" t="s">
        <v>4992</v>
      </c>
    </row>
    <row r="192" spans="1:20" x14ac:dyDescent="0.25">
      <c r="A192" t="s">
        <v>563</v>
      </c>
      <c r="B192" t="s">
        <v>564</v>
      </c>
      <c r="C192" s="1">
        <v>46034.746446759258</v>
      </c>
      <c r="D192">
        <v>756.46</v>
      </c>
      <c r="E192" t="s">
        <v>52</v>
      </c>
      <c r="F192" t="s">
        <v>20</v>
      </c>
      <c r="G192" t="s">
        <v>30</v>
      </c>
      <c r="H192" t="s">
        <v>565</v>
      </c>
      <c r="I192" t="s">
        <v>3263</v>
      </c>
      <c r="J192" t="s">
        <v>3034</v>
      </c>
      <c r="K192" s="1">
        <v>46034.753391203703</v>
      </c>
      <c r="L192">
        <v>756.46</v>
      </c>
      <c r="M192">
        <v>22.24</v>
      </c>
      <c r="N192">
        <v>734.22</v>
      </c>
      <c r="O192" t="s">
        <v>52</v>
      </c>
      <c r="P192" t="s">
        <v>3102</v>
      </c>
      <c r="Q192" t="s">
        <v>3036</v>
      </c>
      <c r="R192" t="s">
        <v>4977</v>
      </c>
      <c r="S192" t="s">
        <v>4992</v>
      </c>
      <c r="T192" t="s">
        <v>4992</v>
      </c>
    </row>
    <row r="193" spans="1:20" x14ac:dyDescent="0.25">
      <c r="A193" t="s">
        <v>566</v>
      </c>
      <c r="B193" t="s">
        <v>567</v>
      </c>
      <c r="C193" s="1">
        <v>46035.820300925923</v>
      </c>
      <c r="D193">
        <v>1404.28</v>
      </c>
      <c r="E193" t="s">
        <v>19</v>
      </c>
      <c r="F193" t="s">
        <v>20</v>
      </c>
      <c r="G193" t="s">
        <v>21</v>
      </c>
      <c r="H193" t="s">
        <v>568</v>
      </c>
      <c r="I193" t="s">
        <v>3264</v>
      </c>
      <c r="J193" t="s">
        <v>3034</v>
      </c>
      <c r="K193" s="1">
        <v>46035.827245370368</v>
      </c>
      <c r="L193">
        <v>1404.28</v>
      </c>
      <c r="M193">
        <v>41.02</v>
      </c>
      <c r="N193">
        <v>1363.26</v>
      </c>
      <c r="O193" t="s">
        <v>19</v>
      </c>
      <c r="P193" t="s">
        <v>3186</v>
      </c>
      <c r="Q193" t="s">
        <v>3036</v>
      </c>
      <c r="R193" t="s">
        <v>4977</v>
      </c>
      <c r="S193" t="s">
        <v>4992</v>
      </c>
      <c r="T193" t="s">
        <v>4992</v>
      </c>
    </row>
    <row r="194" spans="1:20" x14ac:dyDescent="0.25">
      <c r="A194" t="s">
        <v>569</v>
      </c>
      <c r="B194" t="s">
        <v>570</v>
      </c>
      <c r="C194" s="1">
        <v>46036.916284722225</v>
      </c>
      <c r="D194">
        <v>990.93</v>
      </c>
      <c r="E194" t="s">
        <v>25</v>
      </c>
      <c r="F194" t="s">
        <v>20</v>
      </c>
      <c r="G194" t="s">
        <v>26</v>
      </c>
      <c r="H194" t="s">
        <v>571</v>
      </c>
      <c r="I194" t="s">
        <v>3265</v>
      </c>
      <c r="J194" t="s">
        <v>3034</v>
      </c>
      <c r="K194" s="1">
        <v>46036.923229166663</v>
      </c>
      <c r="L194">
        <v>990.93</v>
      </c>
      <c r="M194">
        <v>29.04</v>
      </c>
      <c r="N194">
        <v>961.89</v>
      </c>
      <c r="O194" t="s">
        <v>25</v>
      </c>
      <c r="P194" t="s">
        <v>3062</v>
      </c>
      <c r="Q194" t="s">
        <v>3036</v>
      </c>
      <c r="R194" t="s">
        <v>4977</v>
      </c>
      <c r="S194" t="s">
        <v>4992</v>
      </c>
      <c r="T194" t="s">
        <v>4992</v>
      </c>
    </row>
    <row r="195" spans="1:20" x14ac:dyDescent="0.25">
      <c r="A195" t="s">
        <v>572</v>
      </c>
      <c r="B195" t="s">
        <v>573</v>
      </c>
      <c r="C195" s="1">
        <v>46024.00571759259</v>
      </c>
      <c r="D195">
        <v>1360.99</v>
      </c>
      <c r="E195" t="s">
        <v>25</v>
      </c>
      <c r="F195" t="s">
        <v>20</v>
      </c>
      <c r="G195" t="s">
        <v>30</v>
      </c>
      <c r="H195" t="s">
        <v>574</v>
      </c>
      <c r="I195" t="s">
        <v>3266</v>
      </c>
      <c r="J195" t="s">
        <v>3034</v>
      </c>
      <c r="K195" s="1">
        <v>46024.012662037036</v>
      </c>
      <c r="L195">
        <v>1360.99</v>
      </c>
      <c r="M195">
        <v>39.770000000000003</v>
      </c>
      <c r="N195">
        <v>1321.22</v>
      </c>
      <c r="O195" t="s">
        <v>25</v>
      </c>
      <c r="P195" t="s">
        <v>3267</v>
      </c>
      <c r="Q195" t="s">
        <v>3036</v>
      </c>
      <c r="R195" t="s">
        <v>4977</v>
      </c>
      <c r="S195" t="s">
        <v>4992</v>
      </c>
      <c r="T195" t="s">
        <v>4992</v>
      </c>
    </row>
    <row r="196" spans="1:20" x14ac:dyDescent="0.25">
      <c r="A196" t="s">
        <v>575</v>
      </c>
      <c r="B196" t="s">
        <v>576</v>
      </c>
      <c r="C196" s="1">
        <v>46025.117974537039</v>
      </c>
      <c r="D196">
        <v>804.89</v>
      </c>
      <c r="E196" t="s">
        <v>25</v>
      </c>
      <c r="F196" t="s">
        <v>20</v>
      </c>
      <c r="G196" t="s">
        <v>21</v>
      </c>
      <c r="H196" t="s">
        <v>577</v>
      </c>
      <c r="I196" t="s">
        <v>3268</v>
      </c>
      <c r="J196" t="s">
        <v>3034</v>
      </c>
      <c r="K196" s="1">
        <v>46025.124918981484</v>
      </c>
      <c r="L196">
        <v>804.89</v>
      </c>
      <c r="M196">
        <v>23.64</v>
      </c>
      <c r="N196">
        <v>781.25</v>
      </c>
      <c r="O196" t="s">
        <v>25</v>
      </c>
      <c r="P196" t="s">
        <v>3038</v>
      </c>
      <c r="Q196" t="s">
        <v>3036</v>
      </c>
      <c r="R196" t="s">
        <v>4977</v>
      </c>
      <c r="S196" t="s">
        <v>4992</v>
      </c>
      <c r="T196" t="s">
        <v>4992</v>
      </c>
    </row>
    <row r="197" spans="1:20" x14ac:dyDescent="0.25">
      <c r="A197" t="s">
        <v>578</v>
      </c>
      <c r="B197" t="s">
        <v>579</v>
      </c>
      <c r="C197" s="1">
        <v>46026.195879629631</v>
      </c>
      <c r="D197">
        <v>518.08000000000004</v>
      </c>
      <c r="E197" t="s">
        <v>25</v>
      </c>
      <c r="F197" t="s">
        <v>429</v>
      </c>
      <c r="G197" t="s">
        <v>26</v>
      </c>
      <c r="H197" t="s">
        <v>580</v>
      </c>
      <c r="I197" t="s">
        <v>3269</v>
      </c>
      <c r="J197" t="s">
        <v>3034</v>
      </c>
      <c r="K197" s="1">
        <v>46026.202824074076</v>
      </c>
      <c r="L197">
        <v>518.08000000000004</v>
      </c>
      <c r="M197">
        <v>15.32</v>
      </c>
      <c r="N197">
        <v>502.76</v>
      </c>
      <c r="O197" t="s">
        <v>25</v>
      </c>
      <c r="P197" t="s">
        <v>3040</v>
      </c>
      <c r="Q197" t="s">
        <v>3036</v>
      </c>
      <c r="R197" t="s">
        <v>4977</v>
      </c>
      <c r="S197" t="s">
        <v>4992</v>
      </c>
      <c r="T197" t="s">
        <v>4992</v>
      </c>
    </row>
    <row r="198" spans="1:20" x14ac:dyDescent="0.25">
      <c r="A198" t="s">
        <v>578</v>
      </c>
      <c r="B198" t="s">
        <v>579</v>
      </c>
      <c r="C198" s="1">
        <v>46026.195879629631</v>
      </c>
      <c r="D198">
        <v>518.08000000000004</v>
      </c>
      <c r="E198" t="s">
        <v>25</v>
      </c>
      <c r="F198" t="s">
        <v>429</v>
      </c>
      <c r="G198" t="s">
        <v>26</v>
      </c>
      <c r="H198" t="s">
        <v>580</v>
      </c>
      <c r="I198" t="s">
        <v>3270</v>
      </c>
      <c r="J198" t="s">
        <v>3076</v>
      </c>
      <c r="K198" s="1">
        <v>46027.195879629631</v>
      </c>
      <c r="L198">
        <v>-518.08000000000004</v>
      </c>
      <c r="M198">
        <v>0</v>
      </c>
      <c r="N198">
        <v>-518.08000000000004</v>
      </c>
      <c r="O198" t="s">
        <v>25</v>
      </c>
      <c r="P198" t="s">
        <v>3271</v>
      </c>
      <c r="Q198" t="s">
        <v>3036</v>
      </c>
      <c r="R198" t="s">
        <v>4977</v>
      </c>
      <c r="S198" t="s">
        <v>4991</v>
      </c>
      <c r="T198" t="s">
        <v>4992</v>
      </c>
    </row>
    <row r="199" spans="1:20" x14ac:dyDescent="0.25">
      <c r="A199" t="s">
        <v>581</v>
      </c>
      <c r="B199" t="s">
        <v>582</v>
      </c>
      <c r="C199" s="1">
        <v>46026.302129629628</v>
      </c>
      <c r="D199">
        <v>2048.58</v>
      </c>
      <c r="E199" t="s">
        <v>25</v>
      </c>
      <c r="F199" t="s">
        <v>20</v>
      </c>
      <c r="G199" t="s">
        <v>30</v>
      </c>
      <c r="H199" t="s">
        <v>583</v>
      </c>
      <c r="I199" t="s">
        <v>3272</v>
      </c>
      <c r="J199" t="s">
        <v>3034</v>
      </c>
      <c r="K199" s="1">
        <v>46026.309074074074</v>
      </c>
      <c r="L199">
        <v>2048.58</v>
      </c>
      <c r="M199">
        <v>59.71</v>
      </c>
      <c r="N199">
        <v>1988.87</v>
      </c>
      <c r="O199" t="s">
        <v>25</v>
      </c>
      <c r="P199" t="s">
        <v>3042</v>
      </c>
      <c r="Q199" t="s">
        <v>3036</v>
      </c>
      <c r="R199" t="s">
        <v>4977</v>
      </c>
      <c r="S199" t="s">
        <v>4992</v>
      </c>
      <c r="T199" t="s">
        <v>4992</v>
      </c>
    </row>
    <row r="200" spans="1:20" x14ac:dyDescent="0.25">
      <c r="A200" t="s">
        <v>584</v>
      </c>
      <c r="B200" t="s">
        <v>585</v>
      </c>
      <c r="C200" s="1">
        <v>46027.403171296297</v>
      </c>
      <c r="D200">
        <v>207.87</v>
      </c>
      <c r="E200" t="s">
        <v>25</v>
      </c>
      <c r="F200" t="s">
        <v>20</v>
      </c>
      <c r="G200" t="s">
        <v>21</v>
      </c>
      <c r="H200" t="s">
        <v>586</v>
      </c>
      <c r="I200" t="s">
        <v>3273</v>
      </c>
      <c r="J200" t="s">
        <v>3034</v>
      </c>
      <c r="K200" s="1">
        <v>46027.410115740742</v>
      </c>
      <c r="L200">
        <v>207.87</v>
      </c>
      <c r="M200">
        <v>6.33</v>
      </c>
      <c r="N200">
        <v>201.54</v>
      </c>
      <c r="O200" t="s">
        <v>25</v>
      </c>
      <c r="P200" t="s">
        <v>3068</v>
      </c>
      <c r="Q200" t="s">
        <v>3036</v>
      </c>
      <c r="R200" t="s">
        <v>4977</v>
      </c>
      <c r="S200" t="s">
        <v>4992</v>
      </c>
      <c r="T200" t="s">
        <v>4992</v>
      </c>
    </row>
    <row r="201" spans="1:20" x14ac:dyDescent="0.25">
      <c r="A201" t="s">
        <v>587</v>
      </c>
      <c r="B201" t="s">
        <v>588</v>
      </c>
      <c r="C201" s="1">
        <v>46028.491956018515</v>
      </c>
      <c r="D201">
        <v>359.8</v>
      </c>
      <c r="E201" t="s">
        <v>25</v>
      </c>
      <c r="F201" t="s">
        <v>20</v>
      </c>
      <c r="G201" t="s">
        <v>26</v>
      </c>
      <c r="H201" t="s">
        <v>589</v>
      </c>
      <c r="I201" t="s">
        <v>3274</v>
      </c>
      <c r="J201" t="s">
        <v>3034</v>
      </c>
      <c r="K201" s="1">
        <v>46028.498900462961</v>
      </c>
      <c r="L201">
        <v>359.8</v>
      </c>
      <c r="M201">
        <v>10.73</v>
      </c>
      <c r="N201">
        <v>349.07</v>
      </c>
      <c r="O201" t="s">
        <v>25</v>
      </c>
      <c r="P201" t="s">
        <v>3046</v>
      </c>
      <c r="Q201" t="s">
        <v>3036</v>
      </c>
      <c r="R201" t="s">
        <v>4977</v>
      </c>
      <c r="S201" t="s">
        <v>4992</v>
      </c>
      <c r="T201" t="s">
        <v>4992</v>
      </c>
    </row>
    <row r="202" spans="1:20" x14ac:dyDescent="0.25">
      <c r="A202" t="s">
        <v>590</v>
      </c>
      <c r="B202" t="s">
        <v>591</v>
      </c>
      <c r="C202" s="1">
        <v>46029.573750000003</v>
      </c>
      <c r="D202">
        <v>286.99</v>
      </c>
      <c r="E202" t="s">
        <v>25</v>
      </c>
      <c r="F202" t="s">
        <v>20</v>
      </c>
      <c r="G202" t="s">
        <v>30</v>
      </c>
      <c r="H202" t="s">
        <v>592</v>
      </c>
      <c r="I202" t="s">
        <v>3275</v>
      </c>
      <c r="J202" t="s">
        <v>3034</v>
      </c>
      <c r="K202" s="1">
        <v>46029.580694444441</v>
      </c>
      <c r="L202">
        <v>286.99</v>
      </c>
      <c r="M202">
        <v>8.6199999999999992</v>
      </c>
      <c r="N202">
        <v>278.37</v>
      </c>
      <c r="O202" t="s">
        <v>25</v>
      </c>
      <c r="P202" t="s">
        <v>3048</v>
      </c>
      <c r="Q202" t="s">
        <v>3036</v>
      </c>
      <c r="R202" t="s">
        <v>4977</v>
      </c>
      <c r="S202" t="s">
        <v>4992</v>
      </c>
      <c r="T202" t="s">
        <v>4992</v>
      </c>
    </row>
    <row r="203" spans="1:20" x14ac:dyDescent="0.25">
      <c r="A203" t="s">
        <v>593</v>
      </c>
      <c r="B203" t="s">
        <v>594</v>
      </c>
      <c r="C203" s="1">
        <v>46030.644837962966</v>
      </c>
      <c r="D203">
        <v>878.65</v>
      </c>
      <c r="E203" t="s">
        <v>52</v>
      </c>
      <c r="F203" t="s">
        <v>92</v>
      </c>
      <c r="G203" t="s">
        <v>21</v>
      </c>
      <c r="H203" t="s">
        <v>595</v>
      </c>
      <c r="I203" t="s">
        <v>3276</v>
      </c>
      <c r="J203" t="s">
        <v>3034</v>
      </c>
      <c r="K203" s="1">
        <v>46030.651782407411</v>
      </c>
      <c r="L203">
        <v>878.65</v>
      </c>
      <c r="M203">
        <v>25.78</v>
      </c>
      <c r="N203">
        <v>852.87</v>
      </c>
      <c r="O203" t="s">
        <v>52</v>
      </c>
      <c r="P203" t="s">
        <v>3115</v>
      </c>
      <c r="Q203" t="s">
        <v>3036</v>
      </c>
      <c r="R203" t="s">
        <v>4977</v>
      </c>
      <c r="S203" t="s">
        <v>4992</v>
      </c>
      <c r="T203" t="s">
        <v>4992</v>
      </c>
    </row>
    <row r="204" spans="1:20" x14ac:dyDescent="0.25">
      <c r="A204" t="s">
        <v>593</v>
      </c>
      <c r="B204" t="s">
        <v>594</v>
      </c>
      <c r="C204" s="1">
        <v>46030.644837962966</v>
      </c>
      <c r="D204">
        <v>878.65</v>
      </c>
      <c r="E204" t="s">
        <v>52</v>
      </c>
      <c r="F204" t="s">
        <v>92</v>
      </c>
      <c r="G204" t="s">
        <v>21</v>
      </c>
      <c r="H204" t="s">
        <v>595</v>
      </c>
      <c r="I204" t="s">
        <v>3277</v>
      </c>
      <c r="J204" t="s">
        <v>3076</v>
      </c>
      <c r="K204" s="1">
        <v>46031.644837962966</v>
      </c>
      <c r="L204">
        <v>-439.33</v>
      </c>
      <c r="M204">
        <v>0</v>
      </c>
      <c r="N204">
        <v>-439.33</v>
      </c>
      <c r="O204" t="s">
        <v>52</v>
      </c>
      <c r="P204" t="s">
        <v>3278</v>
      </c>
      <c r="Q204" t="s">
        <v>3036</v>
      </c>
      <c r="R204" t="s">
        <v>4977</v>
      </c>
      <c r="S204" t="s">
        <v>4991</v>
      </c>
      <c r="T204" t="s">
        <v>4992</v>
      </c>
    </row>
    <row r="205" spans="1:20" x14ac:dyDescent="0.25">
      <c r="A205" t="s">
        <v>596</v>
      </c>
      <c r="B205" t="s">
        <v>597</v>
      </c>
      <c r="C205" s="1">
        <v>46031.759282407409</v>
      </c>
      <c r="D205">
        <v>1254.72</v>
      </c>
      <c r="E205" t="s">
        <v>19</v>
      </c>
      <c r="F205" t="s">
        <v>20</v>
      </c>
      <c r="G205" t="s">
        <v>26</v>
      </c>
      <c r="H205" t="s">
        <v>598</v>
      </c>
      <c r="I205" t="s">
        <v>3279</v>
      </c>
      <c r="J205" t="s">
        <v>3034</v>
      </c>
      <c r="K205" s="1">
        <v>46031.766226851854</v>
      </c>
      <c r="L205">
        <v>1254.72</v>
      </c>
      <c r="M205">
        <v>36.69</v>
      </c>
      <c r="N205">
        <v>1218.03</v>
      </c>
      <c r="O205" t="s">
        <v>19</v>
      </c>
      <c r="P205" t="s">
        <v>3117</v>
      </c>
      <c r="Q205" t="s">
        <v>3036</v>
      </c>
      <c r="R205" t="s">
        <v>4977</v>
      </c>
      <c r="S205" t="s">
        <v>4992</v>
      </c>
      <c r="T205" t="s">
        <v>4992</v>
      </c>
    </row>
    <row r="206" spans="1:20" x14ac:dyDescent="0.25">
      <c r="A206" t="s">
        <v>599</v>
      </c>
      <c r="B206" t="s">
        <v>600</v>
      </c>
      <c r="C206" s="1">
        <v>46032.838842592595</v>
      </c>
      <c r="D206">
        <v>1961.44</v>
      </c>
      <c r="E206" t="s">
        <v>25</v>
      </c>
      <c r="F206" t="s">
        <v>20</v>
      </c>
      <c r="G206" t="s">
        <v>30</v>
      </c>
      <c r="H206" t="s">
        <v>601</v>
      </c>
      <c r="I206" t="s">
        <v>3280</v>
      </c>
      <c r="J206" t="s">
        <v>3034</v>
      </c>
      <c r="K206" s="1">
        <v>46032.84578703704</v>
      </c>
      <c r="L206">
        <v>1961.44</v>
      </c>
      <c r="M206">
        <v>57.18</v>
      </c>
      <c r="N206">
        <v>1904.26</v>
      </c>
      <c r="O206" t="s">
        <v>25</v>
      </c>
      <c r="P206" t="s">
        <v>3079</v>
      </c>
      <c r="Q206" t="s">
        <v>3036</v>
      </c>
      <c r="R206" t="s">
        <v>4977</v>
      </c>
      <c r="S206" t="s">
        <v>4992</v>
      </c>
      <c r="T206" t="s">
        <v>4992</v>
      </c>
    </row>
    <row r="207" spans="1:20" x14ac:dyDescent="0.25">
      <c r="A207" t="s">
        <v>602</v>
      </c>
      <c r="B207" t="s">
        <v>603</v>
      </c>
      <c r="C207" s="1">
        <v>46033.958564814813</v>
      </c>
      <c r="D207">
        <v>534.15</v>
      </c>
      <c r="E207" t="s">
        <v>25</v>
      </c>
      <c r="F207" t="s">
        <v>20</v>
      </c>
      <c r="G207" t="s">
        <v>21</v>
      </c>
      <c r="H207" t="s">
        <v>604</v>
      </c>
      <c r="I207" t="s">
        <v>3281</v>
      </c>
      <c r="J207" t="s">
        <v>3034</v>
      </c>
      <c r="K207" s="1">
        <v>46033.965509259258</v>
      </c>
      <c r="L207">
        <v>534.15</v>
      </c>
      <c r="M207">
        <v>15.79</v>
      </c>
      <c r="N207">
        <v>518.36</v>
      </c>
      <c r="O207" t="s">
        <v>25</v>
      </c>
      <c r="P207" t="s">
        <v>3282</v>
      </c>
      <c r="Q207" t="s">
        <v>3036</v>
      </c>
      <c r="R207" t="s">
        <v>4977</v>
      </c>
      <c r="S207" t="s">
        <v>4992</v>
      </c>
      <c r="T207" t="s">
        <v>4992</v>
      </c>
    </row>
    <row r="208" spans="1:20" x14ac:dyDescent="0.25">
      <c r="A208" t="s">
        <v>605</v>
      </c>
      <c r="B208" t="s">
        <v>606</v>
      </c>
      <c r="C208" s="1">
        <v>46035.048379629632</v>
      </c>
      <c r="D208">
        <v>532.47</v>
      </c>
      <c r="E208" t="s">
        <v>25</v>
      </c>
      <c r="F208" t="s">
        <v>20</v>
      </c>
      <c r="G208" t="s">
        <v>26</v>
      </c>
      <c r="H208" t="s">
        <v>607</v>
      </c>
      <c r="I208" t="s">
        <v>3283</v>
      </c>
      <c r="J208" t="s">
        <v>3034</v>
      </c>
      <c r="K208" s="1">
        <v>46035.055324074077</v>
      </c>
      <c r="L208">
        <v>532.47</v>
      </c>
      <c r="M208">
        <v>15.74</v>
      </c>
      <c r="N208">
        <v>516.73</v>
      </c>
      <c r="O208" t="s">
        <v>25</v>
      </c>
      <c r="P208" t="s">
        <v>3058</v>
      </c>
      <c r="Q208" t="s">
        <v>3036</v>
      </c>
      <c r="R208" t="s">
        <v>4977</v>
      </c>
      <c r="S208" t="s">
        <v>4992</v>
      </c>
      <c r="T208" t="s">
        <v>4992</v>
      </c>
    </row>
    <row r="209" spans="1:20" x14ac:dyDescent="0.25">
      <c r="A209" t="s">
        <v>608</v>
      </c>
      <c r="B209" t="s">
        <v>609</v>
      </c>
      <c r="C209" s="1">
        <v>46036.121932870374</v>
      </c>
      <c r="D209">
        <v>1548.97</v>
      </c>
      <c r="E209" t="s">
        <v>25</v>
      </c>
      <c r="F209" t="s">
        <v>20</v>
      </c>
      <c r="G209" t="s">
        <v>30</v>
      </c>
      <c r="H209" t="s">
        <v>610</v>
      </c>
      <c r="I209" t="s">
        <v>3284</v>
      </c>
      <c r="J209" t="s">
        <v>3034</v>
      </c>
      <c r="K209" s="1">
        <v>46036.128877314812</v>
      </c>
      <c r="L209">
        <v>1548.97</v>
      </c>
      <c r="M209">
        <v>45.22</v>
      </c>
      <c r="N209">
        <v>1503.75</v>
      </c>
      <c r="O209" t="s">
        <v>25</v>
      </c>
      <c r="P209" t="s">
        <v>3060</v>
      </c>
      <c r="Q209" t="s">
        <v>3036</v>
      </c>
      <c r="R209" t="s">
        <v>4977</v>
      </c>
      <c r="S209" t="s">
        <v>4992</v>
      </c>
      <c r="T209" t="s">
        <v>4992</v>
      </c>
    </row>
    <row r="210" spans="1:20" x14ac:dyDescent="0.25">
      <c r="A210" t="s">
        <v>611</v>
      </c>
      <c r="B210" t="s">
        <v>612</v>
      </c>
      <c r="C210" s="1">
        <v>46037.194108796299</v>
      </c>
      <c r="D210">
        <v>1318.53</v>
      </c>
      <c r="E210" t="s">
        <v>25</v>
      </c>
      <c r="F210" t="s">
        <v>20</v>
      </c>
      <c r="G210" t="s">
        <v>21</v>
      </c>
      <c r="H210" t="s">
        <v>613</v>
      </c>
      <c r="I210" t="s">
        <v>3285</v>
      </c>
      <c r="J210" t="s">
        <v>3034</v>
      </c>
      <c r="K210" s="1">
        <v>46037.201053240744</v>
      </c>
      <c r="L210">
        <v>1318.53</v>
      </c>
      <c r="M210">
        <v>38.54</v>
      </c>
      <c r="N210">
        <v>1279.99</v>
      </c>
      <c r="O210" t="s">
        <v>25</v>
      </c>
      <c r="P210" t="s">
        <v>3062</v>
      </c>
      <c r="Q210" t="s">
        <v>3036</v>
      </c>
      <c r="R210" t="s">
        <v>4977</v>
      </c>
      <c r="S210" t="s">
        <v>4992</v>
      </c>
      <c r="T210" t="s">
        <v>4992</v>
      </c>
    </row>
    <row r="211" spans="1:20" x14ac:dyDescent="0.25">
      <c r="A211" t="s">
        <v>611</v>
      </c>
      <c r="B211" t="s">
        <v>612</v>
      </c>
      <c r="C211" s="1">
        <v>46037.194108796299</v>
      </c>
      <c r="D211">
        <v>1318.53</v>
      </c>
      <c r="E211" t="s">
        <v>25</v>
      </c>
      <c r="F211" t="s">
        <v>20</v>
      </c>
      <c r="G211" t="s">
        <v>21</v>
      </c>
      <c r="H211" t="s">
        <v>613</v>
      </c>
      <c r="I211" t="s">
        <v>3285</v>
      </c>
      <c r="J211" t="s">
        <v>3034</v>
      </c>
      <c r="K211" s="1">
        <v>46037.201053240744</v>
      </c>
      <c r="L211">
        <v>1318.53</v>
      </c>
      <c r="M211">
        <v>38.54</v>
      </c>
      <c r="N211">
        <v>1279.99</v>
      </c>
      <c r="O211" t="s">
        <v>25</v>
      </c>
      <c r="P211" t="s">
        <v>3062</v>
      </c>
      <c r="Q211" t="s">
        <v>3036</v>
      </c>
      <c r="R211" t="s">
        <v>4977</v>
      </c>
      <c r="S211" t="s">
        <v>4992</v>
      </c>
      <c r="T211" t="s">
        <v>4992</v>
      </c>
    </row>
    <row r="212" spans="1:20" x14ac:dyDescent="0.25">
      <c r="A212" t="s">
        <v>614</v>
      </c>
      <c r="B212" t="s">
        <v>615</v>
      </c>
      <c r="C212" s="1">
        <v>46023.299131944441</v>
      </c>
      <c r="D212">
        <v>1074.4000000000001</v>
      </c>
      <c r="E212" t="s">
        <v>25</v>
      </c>
      <c r="F212" t="s">
        <v>20</v>
      </c>
      <c r="G212" t="s">
        <v>26</v>
      </c>
      <c r="H212" t="s">
        <v>616</v>
      </c>
      <c r="I212" t="s">
        <v>3286</v>
      </c>
      <c r="J212" t="s">
        <v>3034</v>
      </c>
      <c r="K212" s="1">
        <v>46023.306076388886</v>
      </c>
      <c r="L212">
        <v>1074.4000000000001</v>
      </c>
      <c r="M212">
        <v>31.46</v>
      </c>
      <c r="N212">
        <v>1042.94</v>
      </c>
      <c r="O212" t="s">
        <v>25</v>
      </c>
      <c r="P212" t="s">
        <v>3064</v>
      </c>
      <c r="Q212" t="s">
        <v>3036</v>
      </c>
      <c r="R212" t="s">
        <v>4977</v>
      </c>
      <c r="S212" t="s">
        <v>4992</v>
      </c>
      <c r="T212" t="s">
        <v>4992</v>
      </c>
    </row>
    <row r="213" spans="1:20" x14ac:dyDescent="0.25">
      <c r="A213" t="s">
        <v>617</v>
      </c>
      <c r="B213" t="s">
        <v>618</v>
      </c>
      <c r="C213" s="1">
        <v>46024.377766203703</v>
      </c>
      <c r="D213">
        <v>1036.1500000000001</v>
      </c>
      <c r="E213" t="s">
        <v>25</v>
      </c>
      <c r="F213" t="s">
        <v>20</v>
      </c>
      <c r="G213" t="s">
        <v>30</v>
      </c>
      <c r="H213" t="s">
        <v>619</v>
      </c>
      <c r="I213" t="s">
        <v>3287</v>
      </c>
      <c r="J213" t="s">
        <v>3034</v>
      </c>
      <c r="K213" s="1">
        <v>46024.384710648148</v>
      </c>
      <c r="L213">
        <v>1036.1500000000001</v>
      </c>
      <c r="M213">
        <v>30.35</v>
      </c>
      <c r="N213">
        <v>1005.8</v>
      </c>
      <c r="O213" t="s">
        <v>25</v>
      </c>
      <c r="P213" t="s">
        <v>3038</v>
      </c>
      <c r="Q213" t="s">
        <v>3036</v>
      </c>
      <c r="R213" t="s">
        <v>4977</v>
      </c>
      <c r="S213" t="s">
        <v>4992</v>
      </c>
      <c r="T213" t="s">
        <v>4992</v>
      </c>
    </row>
    <row r="214" spans="1:20" x14ac:dyDescent="0.25">
      <c r="A214" t="s">
        <v>620</v>
      </c>
      <c r="B214" t="s">
        <v>621</v>
      </c>
      <c r="C214" s="1">
        <v>46025.504293981481</v>
      </c>
      <c r="D214">
        <v>837</v>
      </c>
      <c r="E214" t="s">
        <v>25</v>
      </c>
      <c r="F214" t="s">
        <v>20</v>
      </c>
      <c r="G214" t="s">
        <v>21</v>
      </c>
      <c r="H214" t="s">
        <v>622</v>
      </c>
      <c r="I214" t="s">
        <v>3288</v>
      </c>
      <c r="J214" t="s">
        <v>3034</v>
      </c>
      <c r="K214" s="1">
        <v>46025.511238425926</v>
      </c>
      <c r="L214">
        <v>837</v>
      </c>
      <c r="M214">
        <v>24.57</v>
      </c>
      <c r="N214">
        <v>812.43</v>
      </c>
      <c r="O214" t="s">
        <v>25</v>
      </c>
      <c r="P214" t="s">
        <v>3040</v>
      </c>
      <c r="Q214" t="s">
        <v>3036</v>
      </c>
      <c r="R214" t="s">
        <v>4977</v>
      </c>
      <c r="S214" t="s">
        <v>4992</v>
      </c>
      <c r="T214" t="s">
        <v>4992</v>
      </c>
    </row>
    <row r="215" spans="1:20" x14ac:dyDescent="0.25">
      <c r="A215" t="s">
        <v>623</v>
      </c>
      <c r="B215" t="s">
        <v>624</v>
      </c>
      <c r="C215" s="1">
        <v>46026.590138888889</v>
      </c>
      <c r="D215">
        <v>2394.61</v>
      </c>
      <c r="E215" t="s">
        <v>52</v>
      </c>
      <c r="F215" t="s">
        <v>20</v>
      </c>
      <c r="G215" t="s">
        <v>26</v>
      </c>
      <c r="H215" t="s">
        <v>625</v>
      </c>
      <c r="I215" t="s">
        <v>3289</v>
      </c>
      <c r="J215" t="s">
        <v>3034</v>
      </c>
      <c r="K215" s="1">
        <v>46026.597083333334</v>
      </c>
      <c r="L215">
        <v>2394.61</v>
      </c>
      <c r="M215">
        <v>69.739999999999995</v>
      </c>
      <c r="N215">
        <v>2324.87</v>
      </c>
      <c r="O215" t="s">
        <v>52</v>
      </c>
      <c r="P215" t="s">
        <v>3290</v>
      </c>
      <c r="Q215" t="s">
        <v>3036</v>
      </c>
      <c r="R215" t="s">
        <v>4977</v>
      </c>
      <c r="S215" t="s">
        <v>4992</v>
      </c>
      <c r="T215" t="s">
        <v>4992</v>
      </c>
    </row>
    <row r="216" spans="1:20" x14ac:dyDescent="0.25">
      <c r="A216" t="s">
        <v>626</v>
      </c>
      <c r="B216" t="s">
        <v>627</v>
      </c>
      <c r="C216" s="1">
        <v>46027.665196759262</v>
      </c>
      <c r="D216">
        <v>241.73</v>
      </c>
      <c r="E216" t="s">
        <v>19</v>
      </c>
      <c r="F216" t="s">
        <v>20</v>
      </c>
      <c r="G216" t="s">
        <v>30</v>
      </c>
      <c r="H216" t="s">
        <v>628</v>
      </c>
      <c r="I216" t="s">
        <v>3291</v>
      </c>
      <c r="J216" t="s">
        <v>3034</v>
      </c>
      <c r="K216" s="1">
        <v>46027.6721412037</v>
      </c>
      <c r="L216">
        <v>241.73</v>
      </c>
      <c r="M216">
        <v>7.31</v>
      </c>
      <c r="N216">
        <v>234.42</v>
      </c>
      <c r="O216" t="s">
        <v>19</v>
      </c>
      <c r="P216" t="s">
        <v>3130</v>
      </c>
      <c r="Q216" t="s">
        <v>3036</v>
      </c>
      <c r="R216" t="s">
        <v>4977</v>
      </c>
      <c r="S216" t="s">
        <v>4992</v>
      </c>
      <c r="T216" t="s">
        <v>4992</v>
      </c>
    </row>
    <row r="217" spans="1:20" x14ac:dyDescent="0.25">
      <c r="A217" t="s">
        <v>629</v>
      </c>
      <c r="B217" t="s">
        <v>630</v>
      </c>
      <c r="C217" s="1">
        <v>46028.773831018516</v>
      </c>
      <c r="D217">
        <v>842.57</v>
      </c>
      <c r="E217" t="s">
        <v>25</v>
      </c>
      <c r="F217" t="s">
        <v>20</v>
      </c>
      <c r="G217" t="s">
        <v>21</v>
      </c>
      <c r="H217" t="s">
        <v>631</v>
      </c>
      <c r="I217" t="s">
        <v>3292</v>
      </c>
      <c r="J217" t="s">
        <v>3034</v>
      </c>
      <c r="K217" s="1">
        <v>46028.780775462961</v>
      </c>
      <c r="L217">
        <v>842.57</v>
      </c>
      <c r="M217">
        <v>24.73</v>
      </c>
      <c r="N217">
        <v>817.84</v>
      </c>
      <c r="O217" t="s">
        <v>25</v>
      </c>
      <c r="P217" t="s">
        <v>3293</v>
      </c>
      <c r="Q217" t="s">
        <v>3036</v>
      </c>
      <c r="R217" t="s">
        <v>4977</v>
      </c>
      <c r="S217" t="s">
        <v>4992</v>
      </c>
      <c r="T217" t="s">
        <v>4992</v>
      </c>
    </row>
    <row r="218" spans="1:20" x14ac:dyDescent="0.25">
      <c r="A218" t="s">
        <v>632</v>
      </c>
      <c r="B218" t="s">
        <v>633</v>
      </c>
      <c r="C218" s="1">
        <v>46029.848668981482</v>
      </c>
      <c r="D218">
        <v>135.47</v>
      </c>
      <c r="E218" t="s">
        <v>25</v>
      </c>
      <c r="F218" t="s">
        <v>20</v>
      </c>
      <c r="G218" t="s">
        <v>26</v>
      </c>
      <c r="H218" t="s">
        <v>634</v>
      </c>
      <c r="I218" t="s">
        <v>3294</v>
      </c>
      <c r="J218" t="s">
        <v>3034</v>
      </c>
      <c r="K218" s="1">
        <v>46029.855613425927</v>
      </c>
      <c r="L218">
        <v>135.47</v>
      </c>
      <c r="M218">
        <v>4.2300000000000004</v>
      </c>
      <c r="N218">
        <v>131.24</v>
      </c>
      <c r="O218" t="s">
        <v>25</v>
      </c>
      <c r="P218" t="s">
        <v>3048</v>
      </c>
      <c r="Q218" t="s">
        <v>3036</v>
      </c>
      <c r="R218" t="s">
        <v>4977</v>
      </c>
      <c r="S218" t="s">
        <v>4992</v>
      </c>
      <c r="T218" t="s">
        <v>4992</v>
      </c>
    </row>
    <row r="219" spans="1:20" x14ac:dyDescent="0.25">
      <c r="A219" t="s">
        <v>635</v>
      </c>
      <c r="B219" t="s">
        <v>636</v>
      </c>
      <c r="C219" s="1">
        <v>46030.966006944444</v>
      </c>
      <c r="D219">
        <v>1964.55</v>
      </c>
      <c r="E219" t="s">
        <v>25</v>
      </c>
      <c r="F219" t="s">
        <v>20</v>
      </c>
      <c r="G219" t="s">
        <v>30</v>
      </c>
      <c r="H219" t="s">
        <v>637</v>
      </c>
      <c r="I219" t="s">
        <v>3295</v>
      </c>
      <c r="J219" t="s">
        <v>3034</v>
      </c>
      <c r="K219" s="1">
        <v>46030.972951388889</v>
      </c>
      <c r="L219">
        <v>1964.55</v>
      </c>
      <c r="M219">
        <v>57.27</v>
      </c>
      <c r="N219">
        <v>1907.28</v>
      </c>
      <c r="O219" t="s">
        <v>25</v>
      </c>
      <c r="P219" t="s">
        <v>3050</v>
      </c>
      <c r="Q219" t="s">
        <v>3036</v>
      </c>
      <c r="R219" t="s">
        <v>4977</v>
      </c>
      <c r="S219" t="s">
        <v>4992</v>
      </c>
      <c r="T219" t="s">
        <v>4992</v>
      </c>
    </row>
    <row r="220" spans="1:20" x14ac:dyDescent="0.25">
      <c r="A220" t="s">
        <v>638</v>
      </c>
      <c r="B220" t="s">
        <v>639</v>
      </c>
      <c r="C220" s="1">
        <v>46032.037812499999</v>
      </c>
      <c r="D220">
        <v>16.93</v>
      </c>
      <c r="E220" t="s">
        <v>25</v>
      </c>
      <c r="F220" t="s">
        <v>429</v>
      </c>
      <c r="G220" t="s">
        <v>21</v>
      </c>
      <c r="H220" t="s">
        <v>640</v>
      </c>
      <c r="I220" t="s">
        <v>3296</v>
      </c>
      <c r="J220" t="s">
        <v>3034</v>
      </c>
      <c r="K220" s="1">
        <v>46032.044756944444</v>
      </c>
      <c r="L220">
        <v>16.93</v>
      </c>
      <c r="M220">
        <v>0.79</v>
      </c>
      <c r="N220">
        <v>16.14</v>
      </c>
      <c r="O220" t="s">
        <v>25</v>
      </c>
      <c r="P220" t="s">
        <v>3052</v>
      </c>
      <c r="Q220" t="s">
        <v>3036</v>
      </c>
      <c r="R220" t="s">
        <v>4977</v>
      </c>
      <c r="S220" t="s">
        <v>4992</v>
      </c>
      <c r="T220" t="s">
        <v>4992</v>
      </c>
    </row>
    <row r="221" spans="1:20" x14ac:dyDescent="0.25">
      <c r="A221" t="s">
        <v>638</v>
      </c>
      <c r="B221" t="s">
        <v>639</v>
      </c>
      <c r="C221" s="1">
        <v>46032.037812499999</v>
      </c>
      <c r="D221">
        <v>16.93</v>
      </c>
      <c r="E221" t="s">
        <v>25</v>
      </c>
      <c r="F221" t="s">
        <v>429</v>
      </c>
      <c r="G221" t="s">
        <v>21</v>
      </c>
      <c r="H221" t="s">
        <v>640</v>
      </c>
      <c r="I221" t="s">
        <v>3297</v>
      </c>
      <c r="J221" t="s">
        <v>3076</v>
      </c>
      <c r="K221" s="1">
        <v>46033.037812499999</v>
      </c>
      <c r="L221">
        <v>-16.93</v>
      </c>
      <c r="M221">
        <v>0</v>
      </c>
      <c r="N221">
        <v>-16.93</v>
      </c>
      <c r="O221" t="s">
        <v>25</v>
      </c>
      <c r="P221" t="s">
        <v>3298</v>
      </c>
      <c r="Q221" t="s">
        <v>3036</v>
      </c>
      <c r="R221" t="s">
        <v>4977</v>
      </c>
      <c r="S221" t="s">
        <v>4991</v>
      </c>
      <c r="T221" t="s">
        <v>4992</v>
      </c>
    </row>
    <row r="222" spans="1:20" x14ac:dyDescent="0.25">
      <c r="A222" t="s">
        <v>641</v>
      </c>
      <c r="B222" t="s">
        <v>642</v>
      </c>
      <c r="C222" s="1">
        <v>46033.110497685186</v>
      </c>
      <c r="D222">
        <v>968.57</v>
      </c>
      <c r="E222" t="s">
        <v>25</v>
      </c>
      <c r="F222" t="s">
        <v>20</v>
      </c>
      <c r="G222" t="s">
        <v>26</v>
      </c>
      <c r="H222" t="s">
        <v>643</v>
      </c>
      <c r="I222" t="s">
        <v>3299</v>
      </c>
      <c r="J222" t="s">
        <v>3034</v>
      </c>
      <c r="K222" s="1">
        <v>46033.117442129631</v>
      </c>
      <c r="L222">
        <v>968.57</v>
      </c>
      <c r="M222">
        <v>28.39</v>
      </c>
      <c r="N222">
        <v>940.18</v>
      </c>
      <c r="O222" t="s">
        <v>25</v>
      </c>
      <c r="P222" t="s">
        <v>3079</v>
      </c>
      <c r="Q222" t="s">
        <v>3036</v>
      </c>
      <c r="R222" t="s">
        <v>4977</v>
      </c>
      <c r="S222" t="s">
        <v>4992</v>
      </c>
      <c r="T222" t="s">
        <v>4992</v>
      </c>
    </row>
    <row r="223" spans="1:20" x14ac:dyDescent="0.25">
      <c r="A223" t="s">
        <v>644</v>
      </c>
      <c r="B223" t="s">
        <v>645</v>
      </c>
      <c r="C223" s="1">
        <v>46034.220972222225</v>
      </c>
      <c r="D223">
        <v>1248.75</v>
      </c>
      <c r="E223" t="s">
        <v>25</v>
      </c>
      <c r="F223" t="s">
        <v>20</v>
      </c>
      <c r="G223" t="s">
        <v>30</v>
      </c>
      <c r="H223" t="s">
        <v>646</v>
      </c>
      <c r="I223" t="s">
        <v>3300</v>
      </c>
      <c r="J223" t="s">
        <v>3034</v>
      </c>
      <c r="K223" s="1">
        <v>46034.227916666663</v>
      </c>
      <c r="L223">
        <v>1248.75</v>
      </c>
      <c r="M223">
        <v>36.51</v>
      </c>
      <c r="N223">
        <v>1212.24</v>
      </c>
      <c r="O223" t="s">
        <v>25</v>
      </c>
      <c r="P223" t="s">
        <v>3081</v>
      </c>
      <c r="Q223" t="s">
        <v>3036</v>
      </c>
      <c r="R223" t="s">
        <v>4977</v>
      </c>
      <c r="S223" t="s">
        <v>4992</v>
      </c>
      <c r="T223" t="s">
        <v>4992</v>
      </c>
    </row>
    <row r="224" spans="1:20" x14ac:dyDescent="0.25">
      <c r="A224" t="s">
        <v>647</v>
      </c>
      <c r="B224" t="s">
        <v>648</v>
      </c>
      <c r="C224" s="1">
        <v>46034.322314814817</v>
      </c>
      <c r="D224">
        <v>927.6</v>
      </c>
      <c r="E224" t="s">
        <v>25</v>
      </c>
      <c r="F224" t="s">
        <v>20</v>
      </c>
      <c r="G224" t="s">
        <v>21</v>
      </c>
      <c r="H224" t="s">
        <v>649</v>
      </c>
      <c r="I224" t="s">
        <v>3301</v>
      </c>
      <c r="J224" t="s">
        <v>3034</v>
      </c>
      <c r="K224" s="1">
        <v>46034.329259259262</v>
      </c>
      <c r="L224">
        <v>927.6</v>
      </c>
      <c r="M224">
        <v>27.2</v>
      </c>
      <c r="N224">
        <v>900.4</v>
      </c>
      <c r="O224" t="s">
        <v>25</v>
      </c>
      <c r="P224" t="s">
        <v>3058</v>
      </c>
      <c r="Q224" t="s">
        <v>3036</v>
      </c>
      <c r="R224" t="s">
        <v>4977</v>
      </c>
      <c r="S224" t="s">
        <v>4992</v>
      </c>
      <c r="T224" t="s">
        <v>4992</v>
      </c>
    </row>
    <row r="225" spans="1:20" x14ac:dyDescent="0.25">
      <c r="A225" t="s">
        <v>650</v>
      </c>
      <c r="B225" t="s">
        <v>651</v>
      </c>
      <c r="C225" s="1">
        <v>46035.423784722225</v>
      </c>
      <c r="D225">
        <v>1670.52</v>
      </c>
      <c r="E225" t="s">
        <v>25</v>
      </c>
      <c r="F225" t="s">
        <v>20</v>
      </c>
      <c r="G225" t="s">
        <v>26</v>
      </c>
      <c r="H225" t="s">
        <v>652</v>
      </c>
      <c r="I225" t="s">
        <v>3302</v>
      </c>
      <c r="J225" t="s">
        <v>3034</v>
      </c>
      <c r="K225" s="1">
        <v>46035.43072916667</v>
      </c>
      <c r="L225">
        <v>1670.52</v>
      </c>
      <c r="M225">
        <v>48.75</v>
      </c>
      <c r="N225">
        <v>1621.77</v>
      </c>
      <c r="O225" t="s">
        <v>25</v>
      </c>
      <c r="P225" t="s">
        <v>3060</v>
      </c>
      <c r="Q225" t="s">
        <v>3036</v>
      </c>
      <c r="R225" t="s">
        <v>4977</v>
      </c>
      <c r="S225" t="s">
        <v>4992</v>
      </c>
      <c r="T225" t="s">
        <v>4992</v>
      </c>
    </row>
    <row r="226" spans="1:20" x14ac:dyDescent="0.25">
      <c r="A226" t="s">
        <v>653</v>
      </c>
      <c r="B226" t="s">
        <v>654</v>
      </c>
      <c r="C226" s="1">
        <v>46036.515405092592</v>
      </c>
      <c r="D226">
        <v>1813.02</v>
      </c>
      <c r="E226" t="s">
        <v>52</v>
      </c>
      <c r="F226" t="s">
        <v>20</v>
      </c>
      <c r="G226" t="s">
        <v>30</v>
      </c>
      <c r="H226" t="s">
        <v>655</v>
      </c>
      <c r="I226" t="s">
        <v>3303</v>
      </c>
      <c r="J226" t="s">
        <v>3034</v>
      </c>
      <c r="K226" s="1">
        <v>46036.522349537037</v>
      </c>
      <c r="L226">
        <v>1813.02</v>
      </c>
      <c r="M226">
        <v>52.88</v>
      </c>
      <c r="N226">
        <v>1760.14</v>
      </c>
      <c r="O226" t="s">
        <v>52</v>
      </c>
      <c r="P226" t="s">
        <v>3140</v>
      </c>
      <c r="Q226" t="s">
        <v>3036</v>
      </c>
      <c r="R226" t="s">
        <v>4977</v>
      </c>
      <c r="S226" t="s">
        <v>4992</v>
      </c>
      <c r="T226" t="s">
        <v>4992</v>
      </c>
    </row>
    <row r="227" spans="1:20" x14ac:dyDescent="0.25">
      <c r="A227" t="s">
        <v>656</v>
      </c>
      <c r="B227" t="s">
        <v>657</v>
      </c>
      <c r="C227" s="1">
        <v>46023.570752314816</v>
      </c>
      <c r="D227">
        <v>1005.75</v>
      </c>
      <c r="E227" t="s">
        <v>19</v>
      </c>
      <c r="F227" t="s">
        <v>20</v>
      </c>
      <c r="G227" t="s">
        <v>21</v>
      </c>
      <c r="H227" t="s">
        <v>658</v>
      </c>
      <c r="I227" t="s">
        <v>3304</v>
      </c>
      <c r="J227" t="s">
        <v>3034</v>
      </c>
      <c r="K227" s="1">
        <v>46023.577696759261</v>
      </c>
      <c r="L227">
        <v>1005.75</v>
      </c>
      <c r="M227">
        <v>29.47</v>
      </c>
      <c r="N227">
        <v>976.28</v>
      </c>
      <c r="O227" t="s">
        <v>19</v>
      </c>
      <c r="P227" t="s">
        <v>3035</v>
      </c>
      <c r="Q227" t="s">
        <v>3036</v>
      </c>
      <c r="R227" t="s">
        <v>4977</v>
      </c>
      <c r="S227" t="s">
        <v>4992</v>
      </c>
      <c r="T227" t="s">
        <v>4992</v>
      </c>
    </row>
    <row r="228" spans="1:20" x14ac:dyDescent="0.25">
      <c r="A228" t="s">
        <v>659</v>
      </c>
      <c r="B228" t="s">
        <v>660</v>
      </c>
      <c r="C228" s="1">
        <v>46024.667627314811</v>
      </c>
      <c r="D228">
        <v>1945.1</v>
      </c>
      <c r="E228" t="s">
        <v>25</v>
      </c>
      <c r="F228" t="s">
        <v>20</v>
      </c>
      <c r="G228" t="s">
        <v>26</v>
      </c>
      <c r="H228" t="s">
        <v>661</v>
      </c>
      <c r="I228" t="s">
        <v>3305</v>
      </c>
      <c r="J228" t="s">
        <v>3034</v>
      </c>
      <c r="K228" s="1">
        <v>46024.674571759257</v>
      </c>
      <c r="L228">
        <v>1945.1</v>
      </c>
      <c r="M228">
        <v>56.71</v>
      </c>
      <c r="N228">
        <v>1888.39</v>
      </c>
      <c r="O228" t="s">
        <v>25</v>
      </c>
      <c r="P228" t="s">
        <v>3038</v>
      </c>
      <c r="Q228" t="s">
        <v>3036</v>
      </c>
      <c r="R228" t="s">
        <v>4977</v>
      </c>
      <c r="S228" t="s">
        <v>4992</v>
      </c>
      <c r="T228" t="s">
        <v>4992</v>
      </c>
    </row>
    <row r="229" spans="1:20" x14ac:dyDescent="0.25">
      <c r="A229" t="s">
        <v>662</v>
      </c>
      <c r="B229" t="s">
        <v>663</v>
      </c>
      <c r="C229" s="1">
        <v>46025.792615740742</v>
      </c>
      <c r="D229">
        <v>1351.31</v>
      </c>
      <c r="E229" t="s">
        <v>25</v>
      </c>
      <c r="F229" t="s">
        <v>429</v>
      </c>
      <c r="G229" t="s">
        <v>30</v>
      </c>
      <c r="H229" t="s">
        <v>664</v>
      </c>
      <c r="I229" t="s">
        <v>3306</v>
      </c>
      <c r="J229" t="s">
        <v>3034</v>
      </c>
      <c r="K229" s="1">
        <v>46025.799560185187</v>
      </c>
      <c r="L229">
        <v>1351.31</v>
      </c>
      <c r="M229">
        <v>39.49</v>
      </c>
      <c r="N229">
        <v>1311.82</v>
      </c>
      <c r="O229" t="s">
        <v>25</v>
      </c>
      <c r="P229" t="s">
        <v>3040</v>
      </c>
      <c r="Q229" t="s">
        <v>3036</v>
      </c>
      <c r="R229" t="s">
        <v>4977</v>
      </c>
      <c r="S229" t="s">
        <v>4992</v>
      </c>
      <c r="T229" t="s">
        <v>4992</v>
      </c>
    </row>
    <row r="230" spans="1:20" x14ac:dyDescent="0.25">
      <c r="A230" t="s">
        <v>662</v>
      </c>
      <c r="B230" t="s">
        <v>663</v>
      </c>
      <c r="C230" s="1">
        <v>46025.792615740742</v>
      </c>
      <c r="D230">
        <v>1351.31</v>
      </c>
      <c r="E230" t="s">
        <v>25</v>
      </c>
      <c r="F230" t="s">
        <v>429</v>
      </c>
      <c r="G230" t="s">
        <v>30</v>
      </c>
      <c r="H230" t="s">
        <v>664</v>
      </c>
      <c r="I230" t="s">
        <v>3307</v>
      </c>
      <c r="J230" t="s">
        <v>3076</v>
      </c>
      <c r="K230" s="1">
        <v>46026.792615740742</v>
      </c>
      <c r="L230">
        <v>-1351.31</v>
      </c>
      <c r="M230">
        <v>0</v>
      </c>
      <c r="N230">
        <v>-1351.31</v>
      </c>
      <c r="O230" t="s">
        <v>25</v>
      </c>
      <c r="P230" t="s">
        <v>3308</v>
      </c>
      <c r="Q230" t="s">
        <v>3036</v>
      </c>
      <c r="R230" t="s">
        <v>4977</v>
      </c>
      <c r="S230" t="s">
        <v>4991</v>
      </c>
      <c r="T230" t="s">
        <v>4992</v>
      </c>
    </row>
    <row r="231" spans="1:20" x14ac:dyDescent="0.25">
      <c r="A231" t="s">
        <v>665</v>
      </c>
      <c r="B231" t="s">
        <v>666</v>
      </c>
      <c r="C231" s="1">
        <v>46026.86886574074</v>
      </c>
      <c r="D231">
        <v>1909.84</v>
      </c>
      <c r="E231" t="s">
        <v>25</v>
      </c>
      <c r="F231" t="s">
        <v>20</v>
      </c>
      <c r="G231" t="s">
        <v>21</v>
      </c>
      <c r="H231" t="s">
        <v>667</v>
      </c>
      <c r="I231" t="s">
        <v>3309</v>
      </c>
      <c r="J231" t="s">
        <v>3034</v>
      </c>
      <c r="K231" s="1">
        <v>46026.875810185185</v>
      </c>
      <c r="L231">
        <v>1909.84</v>
      </c>
      <c r="M231">
        <v>55.69</v>
      </c>
      <c r="N231">
        <v>1854.15</v>
      </c>
      <c r="O231" t="s">
        <v>25</v>
      </c>
      <c r="P231" t="s">
        <v>3042</v>
      </c>
      <c r="Q231" t="s">
        <v>3036</v>
      </c>
      <c r="R231" t="s">
        <v>4977</v>
      </c>
      <c r="S231" t="s">
        <v>4992</v>
      </c>
      <c r="T231" t="s">
        <v>4992</v>
      </c>
    </row>
    <row r="232" spans="1:20" x14ac:dyDescent="0.25">
      <c r="A232" t="s">
        <v>668</v>
      </c>
      <c r="B232" t="s">
        <v>669</v>
      </c>
      <c r="C232" s="1">
        <v>46027.9531712963</v>
      </c>
      <c r="D232">
        <v>2302.15</v>
      </c>
      <c r="E232" t="s">
        <v>25</v>
      </c>
      <c r="F232" t="s">
        <v>20</v>
      </c>
      <c r="G232" t="s">
        <v>26</v>
      </c>
      <c r="H232" t="s">
        <v>670</v>
      </c>
      <c r="I232" t="s">
        <v>3310</v>
      </c>
      <c r="J232" t="s">
        <v>3034</v>
      </c>
      <c r="K232" s="1">
        <v>46027.960115740738</v>
      </c>
      <c r="L232">
        <v>2302.15</v>
      </c>
      <c r="M232">
        <v>67.06</v>
      </c>
      <c r="N232">
        <v>2235.09</v>
      </c>
      <c r="O232" t="s">
        <v>25</v>
      </c>
      <c r="P232" t="s">
        <v>3068</v>
      </c>
      <c r="Q232" t="s">
        <v>3036</v>
      </c>
      <c r="R232" t="s">
        <v>4977</v>
      </c>
      <c r="S232" t="s">
        <v>4992</v>
      </c>
      <c r="T232" t="s">
        <v>4992</v>
      </c>
    </row>
    <row r="233" spans="1:20" x14ac:dyDescent="0.25">
      <c r="A233" t="s">
        <v>671</v>
      </c>
      <c r="B233" t="s">
        <v>672</v>
      </c>
      <c r="C233" s="1">
        <v>46029.062152777777</v>
      </c>
      <c r="D233">
        <v>1161.3800000000001</v>
      </c>
      <c r="E233" t="s">
        <v>25</v>
      </c>
      <c r="F233" t="s">
        <v>20</v>
      </c>
      <c r="G233" t="s">
        <v>30</v>
      </c>
      <c r="H233" t="s">
        <v>673</v>
      </c>
      <c r="I233" t="s">
        <v>3311</v>
      </c>
      <c r="J233" t="s">
        <v>3034</v>
      </c>
      <c r="K233" s="1">
        <v>46029.069097222222</v>
      </c>
      <c r="L233">
        <v>1161.3800000000001</v>
      </c>
      <c r="M233">
        <v>33.979999999999997</v>
      </c>
      <c r="N233">
        <v>1127.4000000000001</v>
      </c>
      <c r="O233" t="s">
        <v>25</v>
      </c>
      <c r="P233" t="s">
        <v>3046</v>
      </c>
      <c r="Q233" t="s">
        <v>3036</v>
      </c>
      <c r="R233" t="s">
        <v>4977</v>
      </c>
      <c r="S233" t="s">
        <v>4992</v>
      </c>
      <c r="T233" t="s">
        <v>4992</v>
      </c>
    </row>
    <row r="234" spans="1:20" x14ac:dyDescent="0.25">
      <c r="A234" t="s">
        <v>674</v>
      </c>
      <c r="B234" t="s">
        <v>675</v>
      </c>
      <c r="C234" s="1">
        <v>46030.126516203702</v>
      </c>
      <c r="D234">
        <v>2030.24</v>
      </c>
      <c r="E234" t="s">
        <v>25</v>
      </c>
      <c r="F234" t="s">
        <v>20</v>
      </c>
      <c r="G234" t="s">
        <v>21</v>
      </c>
      <c r="H234" t="s">
        <v>676</v>
      </c>
      <c r="I234" t="s">
        <v>3312</v>
      </c>
      <c r="J234" t="s">
        <v>3034</v>
      </c>
      <c r="K234" s="1">
        <v>46030.133460648147</v>
      </c>
      <c r="L234">
        <v>2030.24</v>
      </c>
      <c r="M234">
        <v>59.18</v>
      </c>
      <c r="N234">
        <v>1971.06</v>
      </c>
      <c r="O234" t="s">
        <v>25</v>
      </c>
      <c r="P234" t="s">
        <v>3048</v>
      </c>
      <c r="Q234" t="s">
        <v>3036</v>
      </c>
      <c r="R234" t="s">
        <v>4977</v>
      </c>
      <c r="S234" t="s">
        <v>4992</v>
      </c>
      <c r="T234" t="s">
        <v>4992</v>
      </c>
    </row>
    <row r="235" spans="1:20" x14ac:dyDescent="0.25">
      <c r="A235" t="s">
        <v>677</v>
      </c>
      <c r="B235" t="s">
        <v>678</v>
      </c>
      <c r="C235" s="1">
        <v>46030.238680555558</v>
      </c>
      <c r="D235">
        <v>2262.42</v>
      </c>
      <c r="E235" t="s">
        <v>25</v>
      </c>
      <c r="F235" t="s">
        <v>20</v>
      </c>
      <c r="G235" t="s">
        <v>26</v>
      </c>
      <c r="H235" t="s">
        <v>679</v>
      </c>
      <c r="I235" t="s">
        <v>3313</v>
      </c>
      <c r="J235" t="s">
        <v>3034</v>
      </c>
      <c r="K235" s="1">
        <v>46030.245625000003</v>
      </c>
      <c r="L235">
        <v>2262.42</v>
      </c>
      <c r="M235">
        <v>65.91</v>
      </c>
      <c r="N235">
        <v>2196.5100000000002</v>
      </c>
      <c r="O235" t="s">
        <v>25</v>
      </c>
      <c r="P235" t="s">
        <v>3050</v>
      </c>
      <c r="Q235" t="s">
        <v>3036</v>
      </c>
      <c r="R235" t="s">
        <v>4977</v>
      </c>
      <c r="S235" t="s">
        <v>4992</v>
      </c>
      <c r="T235" t="s">
        <v>4992</v>
      </c>
    </row>
    <row r="236" spans="1:20" x14ac:dyDescent="0.25">
      <c r="A236" t="s">
        <v>680</v>
      </c>
      <c r="B236" t="s">
        <v>681</v>
      </c>
      <c r="C236" s="1">
        <v>46031.311168981483</v>
      </c>
      <c r="D236">
        <v>1805.68</v>
      </c>
      <c r="E236" t="s">
        <v>25</v>
      </c>
      <c r="F236" t="s">
        <v>20</v>
      </c>
      <c r="G236" t="s">
        <v>30</v>
      </c>
      <c r="H236" t="s">
        <v>682</v>
      </c>
      <c r="I236" t="s">
        <v>3314</v>
      </c>
      <c r="J236" t="s">
        <v>3034</v>
      </c>
      <c r="K236" s="1">
        <v>46031.318113425928</v>
      </c>
      <c r="L236">
        <v>1805.68</v>
      </c>
      <c r="M236">
        <v>52.66</v>
      </c>
      <c r="N236">
        <v>1753.02</v>
      </c>
      <c r="O236" t="s">
        <v>25</v>
      </c>
      <c r="P236" t="s">
        <v>3052</v>
      </c>
      <c r="Q236" t="s">
        <v>3036</v>
      </c>
      <c r="R236" t="s">
        <v>4977</v>
      </c>
      <c r="S236" t="s">
        <v>4992</v>
      </c>
      <c r="T236" t="s">
        <v>4992</v>
      </c>
    </row>
    <row r="237" spans="1:20" x14ac:dyDescent="0.25">
      <c r="A237" t="s">
        <v>683</v>
      </c>
      <c r="B237" t="s">
        <v>684</v>
      </c>
      <c r="C237" s="1">
        <v>46032.429050925923</v>
      </c>
      <c r="D237">
        <v>1168.05</v>
      </c>
      <c r="E237" t="s">
        <v>52</v>
      </c>
      <c r="F237" t="s">
        <v>20</v>
      </c>
      <c r="G237" t="s">
        <v>21</v>
      </c>
      <c r="H237" t="s">
        <v>685</v>
      </c>
      <c r="I237" t="s">
        <v>3315</v>
      </c>
      <c r="J237" t="s">
        <v>3034</v>
      </c>
      <c r="K237" s="1">
        <v>46032.435995370368</v>
      </c>
      <c r="L237">
        <v>1168.05</v>
      </c>
      <c r="M237">
        <v>34.17</v>
      </c>
      <c r="N237">
        <v>1133.8800000000001</v>
      </c>
      <c r="O237" t="s">
        <v>52</v>
      </c>
      <c r="P237" t="s">
        <v>3054</v>
      </c>
      <c r="Q237" t="s">
        <v>3036</v>
      </c>
      <c r="R237" t="s">
        <v>4977</v>
      </c>
      <c r="S237" t="s">
        <v>4992</v>
      </c>
      <c r="T237" t="s">
        <v>4992</v>
      </c>
    </row>
    <row r="238" spans="1:20" x14ac:dyDescent="0.25">
      <c r="A238" t="s">
        <v>686</v>
      </c>
      <c r="B238" t="s">
        <v>687</v>
      </c>
      <c r="C238" s="1">
        <v>46033.495300925926</v>
      </c>
      <c r="D238">
        <v>1552.4</v>
      </c>
      <c r="E238" t="s">
        <v>19</v>
      </c>
      <c r="F238" t="s">
        <v>20</v>
      </c>
      <c r="G238" t="s">
        <v>26</v>
      </c>
      <c r="H238" t="s">
        <v>688</v>
      </c>
      <c r="I238" t="s">
        <v>3316</v>
      </c>
      <c r="J238" t="s">
        <v>3034</v>
      </c>
      <c r="K238" s="1">
        <v>46033.502245370371</v>
      </c>
      <c r="L238">
        <v>1552.4</v>
      </c>
      <c r="M238">
        <v>45.32</v>
      </c>
      <c r="N238">
        <v>1507.08</v>
      </c>
      <c r="O238" t="s">
        <v>19</v>
      </c>
      <c r="P238" t="s">
        <v>3056</v>
      </c>
      <c r="Q238" t="s">
        <v>3036</v>
      </c>
      <c r="R238" t="s">
        <v>4977</v>
      </c>
      <c r="S238" t="s">
        <v>4992</v>
      </c>
      <c r="T238" t="s">
        <v>4992</v>
      </c>
    </row>
    <row r="239" spans="1:20" x14ac:dyDescent="0.25">
      <c r="A239" t="s">
        <v>689</v>
      </c>
      <c r="B239" t="s">
        <v>690</v>
      </c>
      <c r="C239" s="1">
        <v>46034.608946759261</v>
      </c>
      <c r="D239">
        <v>2162.27</v>
      </c>
      <c r="E239" t="s">
        <v>25</v>
      </c>
      <c r="F239" t="s">
        <v>20</v>
      </c>
      <c r="G239" t="s">
        <v>30</v>
      </c>
      <c r="H239" t="s">
        <v>691</v>
      </c>
      <c r="I239" t="s">
        <v>3317</v>
      </c>
      <c r="J239" t="s">
        <v>3034</v>
      </c>
      <c r="K239" s="1">
        <v>46034.615891203706</v>
      </c>
      <c r="L239">
        <v>2162.27</v>
      </c>
      <c r="M239">
        <v>63.01</v>
      </c>
      <c r="N239">
        <v>2099.2600000000002</v>
      </c>
      <c r="O239" t="s">
        <v>25</v>
      </c>
      <c r="P239" t="s">
        <v>3058</v>
      </c>
      <c r="Q239" t="s">
        <v>3036</v>
      </c>
      <c r="R239" t="s">
        <v>4977</v>
      </c>
      <c r="S239" t="s">
        <v>4992</v>
      </c>
      <c r="T239" t="s">
        <v>4992</v>
      </c>
    </row>
    <row r="240" spans="1:20" x14ac:dyDescent="0.25">
      <c r="A240" t="s">
        <v>692</v>
      </c>
      <c r="B240" t="s">
        <v>693</v>
      </c>
      <c r="C240" s="1">
        <v>46035.706631944442</v>
      </c>
      <c r="D240">
        <v>467.89</v>
      </c>
      <c r="E240" t="s">
        <v>25</v>
      </c>
      <c r="F240" t="s">
        <v>20</v>
      </c>
      <c r="G240" t="s">
        <v>21</v>
      </c>
      <c r="H240" t="s">
        <v>694</v>
      </c>
      <c r="I240" t="s">
        <v>3318</v>
      </c>
      <c r="J240" t="s">
        <v>3034</v>
      </c>
      <c r="K240" s="1">
        <v>46035.713576388887</v>
      </c>
      <c r="L240">
        <v>467.89</v>
      </c>
      <c r="M240">
        <v>13.87</v>
      </c>
      <c r="N240">
        <v>454.02</v>
      </c>
      <c r="O240" t="s">
        <v>25</v>
      </c>
      <c r="P240" t="s">
        <v>3060</v>
      </c>
      <c r="Q240" t="s">
        <v>3036</v>
      </c>
      <c r="R240" t="s">
        <v>4977</v>
      </c>
      <c r="S240" t="s">
        <v>4992</v>
      </c>
      <c r="T240" t="s">
        <v>4992</v>
      </c>
    </row>
    <row r="241" spans="1:20" x14ac:dyDescent="0.25">
      <c r="A241" t="s">
        <v>695</v>
      </c>
      <c r="B241" t="s">
        <v>696</v>
      </c>
      <c r="C241" s="1">
        <v>46036.779270833336</v>
      </c>
      <c r="D241">
        <v>127.66</v>
      </c>
      <c r="E241" t="s">
        <v>25</v>
      </c>
      <c r="F241" t="s">
        <v>429</v>
      </c>
      <c r="G241" t="s">
        <v>26</v>
      </c>
      <c r="H241" t="s">
        <v>697</v>
      </c>
      <c r="I241" t="s">
        <v>3319</v>
      </c>
      <c r="J241" t="s">
        <v>3034</v>
      </c>
      <c r="K241" s="1">
        <v>46036.786215277774</v>
      </c>
      <c r="L241">
        <v>127.66</v>
      </c>
      <c r="M241">
        <v>4</v>
      </c>
      <c r="N241">
        <v>123.66</v>
      </c>
      <c r="O241" t="s">
        <v>25</v>
      </c>
      <c r="P241" t="s">
        <v>3062</v>
      </c>
      <c r="Q241" t="s">
        <v>3036</v>
      </c>
      <c r="R241" t="s">
        <v>4977</v>
      </c>
      <c r="S241" t="s">
        <v>4992</v>
      </c>
      <c r="T241" t="s">
        <v>4992</v>
      </c>
    </row>
    <row r="242" spans="1:20" x14ac:dyDescent="0.25">
      <c r="A242" t="s">
        <v>695</v>
      </c>
      <c r="B242" t="s">
        <v>696</v>
      </c>
      <c r="C242" s="1">
        <v>46036.779270833336</v>
      </c>
      <c r="D242">
        <v>127.66</v>
      </c>
      <c r="E242" t="s">
        <v>25</v>
      </c>
      <c r="F242" t="s">
        <v>429</v>
      </c>
      <c r="G242" t="s">
        <v>26</v>
      </c>
      <c r="H242" t="s">
        <v>697</v>
      </c>
      <c r="I242" t="s">
        <v>3320</v>
      </c>
      <c r="J242" t="s">
        <v>3076</v>
      </c>
      <c r="K242" s="1">
        <v>46037.779270833336</v>
      </c>
      <c r="L242">
        <v>-127.66</v>
      </c>
      <c r="M242">
        <v>0</v>
      </c>
      <c r="N242">
        <v>-127.66</v>
      </c>
      <c r="O242" t="s">
        <v>25</v>
      </c>
      <c r="P242" t="s">
        <v>3321</v>
      </c>
      <c r="Q242" t="s">
        <v>3036</v>
      </c>
      <c r="R242" t="s">
        <v>4977</v>
      </c>
      <c r="S242" t="s">
        <v>4991</v>
      </c>
      <c r="T242" t="s">
        <v>4992</v>
      </c>
    </row>
    <row r="243" spans="1:20" x14ac:dyDescent="0.25">
      <c r="A243" t="s">
        <v>698</v>
      </c>
      <c r="B243" t="s">
        <v>699</v>
      </c>
      <c r="C243" s="1">
        <v>46023.883622685185</v>
      </c>
      <c r="D243">
        <v>1487.55</v>
      </c>
      <c r="E243" t="s">
        <v>25</v>
      </c>
      <c r="F243" t="s">
        <v>20</v>
      </c>
      <c r="G243" t="s">
        <v>30</v>
      </c>
      <c r="H243" t="s">
        <v>700</v>
      </c>
      <c r="I243" t="s">
        <v>3322</v>
      </c>
      <c r="J243" t="s">
        <v>3034</v>
      </c>
      <c r="K243" s="1">
        <v>46023.890567129631</v>
      </c>
      <c r="L243">
        <v>1487.55</v>
      </c>
      <c r="M243">
        <v>43.44</v>
      </c>
      <c r="N243">
        <v>1444.11</v>
      </c>
      <c r="O243" t="s">
        <v>25</v>
      </c>
      <c r="P243" t="s">
        <v>3064</v>
      </c>
      <c r="Q243" t="s">
        <v>3036</v>
      </c>
      <c r="R243" t="s">
        <v>4977</v>
      </c>
      <c r="S243" t="s">
        <v>4992</v>
      </c>
      <c r="T243" t="s">
        <v>4992</v>
      </c>
    </row>
    <row r="244" spans="1:20" x14ac:dyDescent="0.25">
      <c r="A244" t="s">
        <v>701</v>
      </c>
      <c r="B244" t="s">
        <v>702</v>
      </c>
      <c r="C244" s="1">
        <v>46024.9453125</v>
      </c>
      <c r="D244">
        <v>1814.14</v>
      </c>
      <c r="E244" t="s">
        <v>25</v>
      </c>
      <c r="F244" t="s">
        <v>20</v>
      </c>
      <c r="G244" t="s">
        <v>21</v>
      </c>
      <c r="H244" t="s">
        <v>703</v>
      </c>
      <c r="I244" t="s">
        <v>3323</v>
      </c>
      <c r="J244" t="s">
        <v>3034</v>
      </c>
      <c r="K244" s="1">
        <v>46024.952256944445</v>
      </c>
      <c r="L244">
        <v>1814.14</v>
      </c>
      <c r="M244">
        <v>52.91</v>
      </c>
      <c r="N244">
        <v>1761.23</v>
      </c>
      <c r="O244" t="s">
        <v>25</v>
      </c>
      <c r="P244" t="s">
        <v>3038</v>
      </c>
      <c r="Q244" t="s">
        <v>3036</v>
      </c>
      <c r="R244" t="s">
        <v>4977</v>
      </c>
      <c r="S244" t="s">
        <v>4992</v>
      </c>
      <c r="T244" t="s">
        <v>4992</v>
      </c>
    </row>
    <row r="245" spans="1:20" x14ac:dyDescent="0.25">
      <c r="A245" t="s">
        <v>707</v>
      </c>
      <c r="B245" t="s">
        <v>708</v>
      </c>
      <c r="C245" s="1">
        <v>46027.139826388891</v>
      </c>
      <c r="D245">
        <v>234.35</v>
      </c>
      <c r="E245" t="s">
        <v>25</v>
      </c>
      <c r="F245" t="s">
        <v>20</v>
      </c>
      <c r="G245" t="s">
        <v>30</v>
      </c>
      <c r="H245" t="s">
        <v>709</v>
      </c>
      <c r="I245" t="s">
        <v>3324</v>
      </c>
      <c r="J245" t="s">
        <v>3034</v>
      </c>
      <c r="K245" s="1">
        <v>46027.146770833337</v>
      </c>
      <c r="L245">
        <v>234.35</v>
      </c>
      <c r="M245">
        <v>7.1</v>
      </c>
      <c r="N245">
        <v>227.25</v>
      </c>
      <c r="O245" t="s">
        <v>25</v>
      </c>
      <c r="P245" t="s">
        <v>3042</v>
      </c>
      <c r="Q245" t="s">
        <v>3036</v>
      </c>
      <c r="R245" t="s">
        <v>4977</v>
      </c>
      <c r="S245" t="s">
        <v>4992</v>
      </c>
      <c r="T245" t="s">
        <v>4992</v>
      </c>
    </row>
    <row r="246" spans="1:20" x14ac:dyDescent="0.25">
      <c r="A246" t="s">
        <v>710</v>
      </c>
      <c r="B246" t="s">
        <v>711</v>
      </c>
      <c r="C246" s="1">
        <v>46027.252256944441</v>
      </c>
      <c r="D246">
        <v>1782.22</v>
      </c>
      <c r="E246" t="s">
        <v>25</v>
      </c>
      <c r="F246" t="s">
        <v>20</v>
      </c>
      <c r="G246" t="s">
        <v>21</v>
      </c>
      <c r="H246" t="s">
        <v>712</v>
      </c>
      <c r="I246" t="s">
        <v>3325</v>
      </c>
      <c r="J246" t="s">
        <v>3034</v>
      </c>
      <c r="K246" s="1">
        <v>46027.259201388886</v>
      </c>
      <c r="L246">
        <v>1782.22</v>
      </c>
      <c r="M246">
        <v>51.98</v>
      </c>
      <c r="N246">
        <v>1730.24</v>
      </c>
      <c r="O246" t="s">
        <v>25</v>
      </c>
      <c r="P246" t="s">
        <v>3068</v>
      </c>
      <c r="Q246" t="s">
        <v>3036</v>
      </c>
      <c r="R246" t="s">
        <v>4977</v>
      </c>
      <c r="S246" t="s">
        <v>4992</v>
      </c>
      <c r="T246" t="s">
        <v>4992</v>
      </c>
    </row>
    <row r="247" spans="1:20" x14ac:dyDescent="0.25">
      <c r="A247" t="s">
        <v>713</v>
      </c>
      <c r="B247" t="s">
        <v>714</v>
      </c>
      <c r="C247" s="1">
        <v>46028.347060185188</v>
      </c>
      <c r="D247">
        <v>1429.86</v>
      </c>
      <c r="E247" t="s">
        <v>52</v>
      </c>
      <c r="F247" t="s">
        <v>92</v>
      </c>
      <c r="G247" t="s">
        <v>26</v>
      </c>
      <c r="H247" t="s">
        <v>715</v>
      </c>
      <c r="I247" t="s">
        <v>3326</v>
      </c>
      <c r="J247" t="s">
        <v>3034</v>
      </c>
      <c r="K247" s="1">
        <v>46028.354004629633</v>
      </c>
      <c r="L247">
        <v>1429.86</v>
      </c>
      <c r="M247">
        <v>41.77</v>
      </c>
      <c r="N247">
        <v>1388.09</v>
      </c>
      <c r="O247" t="s">
        <v>52</v>
      </c>
      <c r="P247" t="s">
        <v>3070</v>
      </c>
      <c r="Q247" t="s">
        <v>3036</v>
      </c>
      <c r="R247" t="s">
        <v>4977</v>
      </c>
      <c r="S247" t="s">
        <v>4992</v>
      </c>
      <c r="T247" t="s">
        <v>4992</v>
      </c>
    </row>
    <row r="248" spans="1:20" x14ac:dyDescent="0.25">
      <c r="A248" t="s">
        <v>713</v>
      </c>
      <c r="B248" t="s">
        <v>714</v>
      </c>
      <c r="C248" s="1">
        <v>46028.347060185188</v>
      </c>
      <c r="D248">
        <v>1429.86</v>
      </c>
      <c r="E248" t="s">
        <v>52</v>
      </c>
      <c r="F248" t="s">
        <v>92</v>
      </c>
      <c r="G248" t="s">
        <v>26</v>
      </c>
      <c r="H248" t="s">
        <v>715</v>
      </c>
      <c r="I248" t="s">
        <v>3327</v>
      </c>
      <c r="J248" t="s">
        <v>3076</v>
      </c>
      <c r="K248" s="1">
        <v>46029.347060185188</v>
      </c>
      <c r="L248">
        <v>-714.93</v>
      </c>
      <c r="M248">
        <v>0</v>
      </c>
      <c r="N248">
        <v>-714.93</v>
      </c>
      <c r="O248" t="s">
        <v>52</v>
      </c>
      <c r="P248" t="s">
        <v>3328</v>
      </c>
      <c r="Q248" t="s">
        <v>3036</v>
      </c>
      <c r="R248" t="s">
        <v>4977</v>
      </c>
      <c r="S248" t="s">
        <v>4991</v>
      </c>
      <c r="T248" t="s">
        <v>4992</v>
      </c>
    </row>
    <row r="249" spans="1:20" x14ac:dyDescent="0.25">
      <c r="A249" t="s">
        <v>716</v>
      </c>
      <c r="B249" t="s">
        <v>717</v>
      </c>
      <c r="C249" s="1">
        <v>46029.411550925928</v>
      </c>
      <c r="D249">
        <v>794.68</v>
      </c>
      <c r="E249" t="s">
        <v>19</v>
      </c>
      <c r="F249" t="s">
        <v>20</v>
      </c>
      <c r="G249" t="s">
        <v>30</v>
      </c>
      <c r="H249" t="s">
        <v>718</v>
      </c>
      <c r="I249" t="s">
        <v>3329</v>
      </c>
      <c r="J249" t="s">
        <v>3034</v>
      </c>
      <c r="K249" s="1">
        <v>46029.418495370373</v>
      </c>
      <c r="L249">
        <v>794.68</v>
      </c>
      <c r="M249">
        <v>23.35</v>
      </c>
      <c r="N249">
        <v>771.33</v>
      </c>
      <c r="O249" t="s">
        <v>19</v>
      </c>
      <c r="P249" t="s">
        <v>3072</v>
      </c>
      <c r="Q249" t="s">
        <v>3036</v>
      </c>
      <c r="R249" t="s">
        <v>4977</v>
      </c>
      <c r="S249" t="s">
        <v>4992</v>
      </c>
      <c r="T249" t="s">
        <v>4992</v>
      </c>
    </row>
    <row r="250" spans="1:20" x14ac:dyDescent="0.25">
      <c r="A250" t="s">
        <v>719</v>
      </c>
      <c r="B250" t="s">
        <v>720</v>
      </c>
      <c r="C250" s="1">
        <v>46030.509155092594</v>
      </c>
      <c r="D250">
        <v>990.74</v>
      </c>
      <c r="E250" t="s">
        <v>25</v>
      </c>
      <c r="F250" t="s">
        <v>20</v>
      </c>
      <c r="G250" t="s">
        <v>21</v>
      </c>
      <c r="H250" t="s">
        <v>721</v>
      </c>
      <c r="I250" t="s">
        <v>3330</v>
      </c>
      <c r="J250" t="s">
        <v>3034</v>
      </c>
      <c r="K250" s="1">
        <v>46030.516099537039</v>
      </c>
      <c r="L250">
        <v>990.74</v>
      </c>
      <c r="M250">
        <v>29.03</v>
      </c>
      <c r="N250">
        <v>961.71</v>
      </c>
      <c r="O250" t="s">
        <v>25</v>
      </c>
      <c r="P250" t="s">
        <v>3050</v>
      </c>
      <c r="Q250" t="s">
        <v>3036</v>
      </c>
      <c r="R250" t="s">
        <v>4977</v>
      </c>
      <c r="S250" t="s">
        <v>4992</v>
      </c>
      <c r="T250" t="s">
        <v>4992</v>
      </c>
    </row>
    <row r="251" spans="1:20" x14ac:dyDescent="0.25">
      <c r="A251" t="s">
        <v>722</v>
      </c>
      <c r="B251" t="s">
        <v>723</v>
      </c>
      <c r="C251" s="1">
        <v>46031.614201388889</v>
      </c>
      <c r="D251">
        <v>2473.4699999999998</v>
      </c>
      <c r="E251" t="s">
        <v>25</v>
      </c>
      <c r="F251" t="s">
        <v>20</v>
      </c>
      <c r="G251" t="s">
        <v>26</v>
      </c>
      <c r="H251" t="s">
        <v>724</v>
      </c>
      <c r="I251" t="s">
        <v>3331</v>
      </c>
      <c r="J251" t="s">
        <v>3034</v>
      </c>
      <c r="K251" s="1">
        <v>46031.621145833335</v>
      </c>
      <c r="L251">
        <v>2474.58</v>
      </c>
      <c r="M251">
        <v>72.06</v>
      </c>
      <c r="N251">
        <v>2402.52</v>
      </c>
      <c r="O251" t="s">
        <v>25</v>
      </c>
      <c r="P251" t="s">
        <v>3052</v>
      </c>
      <c r="Q251" t="s">
        <v>3036</v>
      </c>
      <c r="R251" t="s">
        <v>4977</v>
      </c>
      <c r="S251" t="s">
        <v>4991</v>
      </c>
      <c r="T251" t="s">
        <v>4992</v>
      </c>
    </row>
    <row r="252" spans="1:20" x14ac:dyDescent="0.25">
      <c r="A252" t="s">
        <v>725</v>
      </c>
      <c r="B252" t="s">
        <v>726</v>
      </c>
      <c r="C252" s="1">
        <v>46032.710486111115</v>
      </c>
      <c r="D252">
        <v>1804.63</v>
      </c>
      <c r="E252" t="s">
        <v>25</v>
      </c>
      <c r="F252" t="s">
        <v>20</v>
      </c>
      <c r="G252" t="s">
        <v>30</v>
      </c>
      <c r="H252" t="s">
        <v>727</v>
      </c>
      <c r="I252" t="s">
        <v>3332</v>
      </c>
      <c r="J252" t="s">
        <v>3034</v>
      </c>
      <c r="K252" s="1">
        <v>46032.717430555553</v>
      </c>
      <c r="L252">
        <v>1804.63</v>
      </c>
      <c r="M252">
        <v>52.63</v>
      </c>
      <c r="N252">
        <v>1752</v>
      </c>
      <c r="O252" t="s">
        <v>25</v>
      </c>
      <c r="P252" t="s">
        <v>3079</v>
      </c>
      <c r="Q252" t="s">
        <v>3036</v>
      </c>
      <c r="R252" t="s">
        <v>4977</v>
      </c>
      <c r="S252" t="s">
        <v>4992</v>
      </c>
      <c r="T252" t="s">
        <v>4992</v>
      </c>
    </row>
    <row r="253" spans="1:20" x14ac:dyDescent="0.25">
      <c r="A253" t="s">
        <v>725</v>
      </c>
      <c r="B253" t="s">
        <v>726</v>
      </c>
      <c r="C253" s="1">
        <v>46032.710486111115</v>
      </c>
      <c r="D253">
        <v>1804.63</v>
      </c>
      <c r="E253" t="s">
        <v>25</v>
      </c>
      <c r="F253" t="s">
        <v>20</v>
      </c>
      <c r="G253" t="s">
        <v>30</v>
      </c>
      <c r="H253" t="s">
        <v>727</v>
      </c>
      <c r="I253" t="s">
        <v>3332</v>
      </c>
      <c r="J253" t="s">
        <v>3034</v>
      </c>
      <c r="K253" s="1">
        <v>46032.717430555553</v>
      </c>
      <c r="L253">
        <v>1804.63</v>
      </c>
      <c r="M253">
        <v>52.63</v>
      </c>
      <c r="N253">
        <v>1752</v>
      </c>
      <c r="O253" t="s">
        <v>25</v>
      </c>
      <c r="P253" t="s">
        <v>3079</v>
      </c>
      <c r="Q253" t="s">
        <v>3036</v>
      </c>
      <c r="R253" t="s">
        <v>4977</v>
      </c>
      <c r="S253" t="s">
        <v>4992</v>
      </c>
      <c r="T253" t="s">
        <v>4992</v>
      </c>
    </row>
    <row r="254" spans="1:20" x14ac:dyDescent="0.25">
      <c r="A254" t="s">
        <v>728</v>
      </c>
      <c r="B254" t="s">
        <v>729</v>
      </c>
      <c r="C254" s="1">
        <v>46033.77380787037</v>
      </c>
      <c r="D254">
        <v>862.29</v>
      </c>
      <c r="E254" t="s">
        <v>25</v>
      </c>
      <c r="F254" t="s">
        <v>20</v>
      </c>
      <c r="G254" t="s">
        <v>21</v>
      </c>
      <c r="H254" t="s">
        <v>730</v>
      </c>
      <c r="I254" t="s">
        <v>3333</v>
      </c>
      <c r="J254" t="s">
        <v>3034</v>
      </c>
      <c r="K254" s="1">
        <v>46033.780752314815</v>
      </c>
      <c r="L254">
        <v>862.29</v>
      </c>
      <c r="M254">
        <v>25.31</v>
      </c>
      <c r="N254">
        <v>836.98</v>
      </c>
      <c r="O254" t="s">
        <v>25</v>
      </c>
      <c r="P254" t="s">
        <v>3081</v>
      </c>
      <c r="Q254" t="s">
        <v>3036</v>
      </c>
      <c r="R254" t="s">
        <v>4977</v>
      </c>
      <c r="S254" t="s">
        <v>4992</v>
      </c>
      <c r="T254" t="s">
        <v>4992</v>
      </c>
    </row>
    <row r="255" spans="1:20" x14ac:dyDescent="0.25">
      <c r="A255" t="s">
        <v>731</v>
      </c>
      <c r="B255" t="s">
        <v>732</v>
      </c>
      <c r="C255" s="1">
        <v>46034.878379629627</v>
      </c>
      <c r="D255">
        <v>1951.89</v>
      </c>
      <c r="E255" t="s">
        <v>25</v>
      </c>
      <c r="F255" t="s">
        <v>20</v>
      </c>
      <c r="G255" t="s">
        <v>26</v>
      </c>
      <c r="H255" t="s">
        <v>733</v>
      </c>
      <c r="I255" t="s">
        <v>3334</v>
      </c>
      <c r="J255" t="s">
        <v>3034</v>
      </c>
      <c r="K255" s="1">
        <v>46034.885324074072</v>
      </c>
      <c r="L255">
        <v>1951.89</v>
      </c>
      <c r="M255">
        <v>56.9</v>
      </c>
      <c r="N255">
        <v>1894.99</v>
      </c>
      <c r="O255" t="s">
        <v>25</v>
      </c>
      <c r="P255" t="s">
        <v>3058</v>
      </c>
      <c r="Q255" t="s">
        <v>3036</v>
      </c>
      <c r="R255" t="s">
        <v>4977</v>
      </c>
      <c r="S255" t="s">
        <v>4992</v>
      </c>
      <c r="T255" t="s">
        <v>4992</v>
      </c>
    </row>
    <row r="256" spans="1:20" x14ac:dyDescent="0.25">
      <c r="A256" t="s">
        <v>734</v>
      </c>
      <c r="B256" t="s">
        <v>735</v>
      </c>
      <c r="C256" s="1">
        <v>46035.960694444446</v>
      </c>
      <c r="D256">
        <v>762.75</v>
      </c>
      <c r="E256" t="s">
        <v>25</v>
      </c>
      <c r="F256" t="s">
        <v>20</v>
      </c>
      <c r="G256" t="s">
        <v>30</v>
      </c>
      <c r="H256" t="s">
        <v>736</v>
      </c>
      <c r="I256" t="s">
        <v>3335</v>
      </c>
      <c r="J256" t="s">
        <v>3034</v>
      </c>
      <c r="K256" s="1">
        <v>46035.967638888891</v>
      </c>
      <c r="L256">
        <v>762.75</v>
      </c>
      <c r="M256">
        <v>22.42</v>
      </c>
      <c r="N256">
        <v>740.33</v>
      </c>
      <c r="O256" t="s">
        <v>25</v>
      </c>
      <c r="P256" t="s">
        <v>3060</v>
      </c>
      <c r="Q256" t="s">
        <v>3036</v>
      </c>
      <c r="R256" t="s">
        <v>4977</v>
      </c>
      <c r="S256" t="s">
        <v>4992</v>
      </c>
      <c r="T256" t="s">
        <v>4992</v>
      </c>
    </row>
    <row r="257" spans="1:20" x14ac:dyDescent="0.25">
      <c r="A257" t="s">
        <v>737</v>
      </c>
      <c r="B257" t="s">
        <v>738</v>
      </c>
      <c r="C257" s="1">
        <v>46037.080694444441</v>
      </c>
      <c r="D257">
        <v>407.05</v>
      </c>
      <c r="E257" t="s">
        <v>25</v>
      </c>
      <c r="F257" t="s">
        <v>20</v>
      </c>
      <c r="G257" t="s">
        <v>21</v>
      </c>
      <c r="H257" t="s">
        <v>739</v>
      </c>
      <c r="I257" t="s">
        <v>3336</v>
      </c>
      <c r="J257" t="s">
        <v>3034</v>
      </c>
      <c r="K257" s="1">
        <v>46037.087638888886</v>
      </c>
      <c r="L257">
        <v>407.05</v>
      </c>
      <c r="M257">
        <v>12.1</v>
      </c>
      <c r="N257">
        <v>394.95</v>
      </c>
      <c r="O257" t="s">
        <v>25</v>
      </c>
      <c r="P257" t="s">
        <v>3062</v>
      </c>
      <c r="Q257" t="s">
        <v>3036</v>
      </c>
      <c r="R257" t="s">
        <v>4977</v>
      </c>
      <c r="S257" t="s">
        <v>4992</v>
      </c>
      <c r="T257" t="s">
        <v>4992</v>
      </c>
    </row>
    <row r="258" spans="1:20" x14ac:dyDescent="0.25">
      <c r="A258" t="s">
        <v>740</v>
      </c>
      <c r="B258" t="s">
        <v>741</v>
      </c>
      <c r="C258" s="1">
        <v>46024.162916666668</v>
      </c>
      <c r="D258">
        <v>1936.57</v>
      </c>
      <c r="E258" t="s">
        <v>25</v>
      </c>
      <c r="F258" t="s">
        <v>20</v>
      </c>
      <c r="G258" t="s">
        <v>26</v>
      </c>
      <c r="H258" t="s">
        <v>742</v>
      </c>
      <c r="I258" t="s">
        <v>3337</v>
      </c>
      <c r="J258" t="s">
        <v>3034</v>
      </c>
      <c r="K258" s="1">
        <v>46024.169861111113</v>
      </c>
      <c r="L258">
        <v>1936.57</v>
      </c>
      <c r="M258">
        <v>56.46</v>
      </c>
      <c r="N258">
        <v>1880.11</v>
      </c>
      <c r="O258" t="s">
        <v>25</v>
      </c>
      <c r="P258" t="s">
        <v>3064</v>
      </c>
      <c r="Q258" t="s">
        <v>3036</v>
      </c>
      <c r="R258" t="s">
        <v>4977</v>
      </c>
      <c r="S258" t="s">
        <v>4992</v>
      </c>
      <c r="T258" t="s">
        <v>4992</v>
      </c>
    </row>
    <row r="259" spans="1:20" x14ac:dyDescent="0.25">
      <c r="A259" t="s">
        <v>743</v>
      </c>
      <c r="B259" t="s">
        <v>744</v>
      </c>
      <c r="C259" s="1">
        <v>46024.265474537038</v>
      </c>
      <c r="D259">
        <v>1598.11</v>
      </c>
      <c r="E259" t="s">
        <v>52</v>
      </c>
      <c r="F259" t="s">
        <v>20</v>
      </c>
      <c r="G259" t="s">
        <v>30</v>
      </c>
      <c r="H259" t="s">
        <v>745</v>
      </c>
      <c r="I259" t="s">
        <v>3338</v>
      </c>
      <c r="J259" t="s">
        <v>3034</v>
      </c>
      <c r="K259" s="1">
        <v>46024.272418981483</v>
      </c>
      <c r="L259">
        <v>1598.11</v>
      </c>
      <c r="M259">
        <v>46.65</v>
      </c>
      <c r="N259">
        <v>1551.46</v>
      </c>
      <c r="O259" t="s">
        <v>52</v>
      </c>
      <c r="P259" t="s">
        <v>3172</v>
      </c>
      <c r="Q259" t="s">
        <v>3036</v>
      </c>
      <c r="R259" t="s">
        <v>4977</v>
      </c>
      <c r="S259" t="s">
        <v>4992</v>
      </c>
      <c r="T259" t="s">
        <v>4992</v>
      </c>
    </row>
    <row r="260" spans="1:20" x14ac:dyDescent="0.25">
      <c r="A260" t="s">
        <v>746</v>
      </c>
      <c r="B260" t="s">
        <v>747</v>
      </c>
      <c r="C260" s="1">
        <v>46025.338900462964</v>
      </c>
      <c r="D260">
        <v>1956.36</v>
      </c>
      <c r="E260" t="s">
        <v>19</v>
      </c>
      <c r="F260" t="s">
        <v>20</v>
      </c>
      <c r="G260" t="s">
        <v>21</v>
      </c>
      <c r="H260" t="s">
        <v>748</v>
      </c>
      <c r="I260" t="s">
        <v>3339</v>
      </c>
      <c r="J260" t="s">
        <v>3034</v>
      </c>
      <c r="K260" s="1">
        <v>46025.34584490741</v>
      </c>
      <c r="L260">
        <v>1956.36</v>
      </c>
      <c r="M260">
        <v>57.03</v>
      </c>
      <c r="N260">
        <v>1899.33</v>
      </c>
      <c r="O260" t="s">
        <v>19</v>
      </c>
      <c r="P260" t="s">
        <v>3174</v>
      </c>
      <c r="Q260" t="s">
        <v>3036</v>
      </c>
      <c r="R260" t="s">
        <v>4977</v>
      </c>
      <c r="S260" t="s">
        <v>4992</v>
      </c>
      <c r="T260" t="s">
        <v>4992</v>
      </c>
    </row>
    <row r="261" spans="1:20" x14ac:dyDescent="0.25">
      <c r="A261" t="s">
        <v>749</v>
      </c>
      <c r="B261" t="s">
        <v>750</v>
      </c>
      <c r="C261" s="1">
        <v>46026.445092592592</v>
      </c>
      <c r="D261">
        <v>255.23</v>
      </c>
      <c r="E261" t="s">
        <v>25</v>
      </c>
      <c r="F261" t="s">
        <v>20</v>
      </c>
      <c r="G261" t="s">
        <v>26</v>
      </c>
      <c r="H261" t="s">
        <v>751</v>
      </c>
      <c r="I261" t="s">
        <v>3340</v>
      </c>
      <c r="J261" t="s">
        <v>3034</v>
      </c>
      <c r="K261" s="1">
        <v>46026.452037037037</v>
      </c>
      <c r="L261">
        <v>255.23</v>
      </c>
      <c r="M261">
        <v>8.07</v>
      </c>
      <c r="N261">
        <v>247.16</v>
      </c>
      <c r="O261" t="s">
        <v>25</v>
      </c>
      <c r="P261" t="s">
        <v>3042</v>
      </c>
      <c r="Q261" t="s">
        <v>3036</v>
      </c>
      <c r="R261" t="s">
        <v>4977</v>
      </c>
      <c r="S261" t="s">
        <v>4992</v>
      </c>
      <c r="T261" t="s">
        <v>4992</v>
      </c>
    </row>
    <row r="262" spans="1:20" x14ac:dyDescent="0.25">
      <c r="A262" t="s">
        <v>752</v>
      </c>
      <c r="B262" t="s">
        <v>753</v>
      </c>
      <c r="C262" s="1">
        <v>46027.503310185188</v>
      </c>
      <c r="D262">
        <v>10.210000000000001</v>
      </c>
      <c r="E262" t="s">
        <v>25</v>
      </c>
      <c r="F262" t="s">
        <v>20</v>
      </c>
      <c r="G262" t="s">
        <v>30</v>
      </c>
      <c r="H262" t="s">
        <v>754</v>
      </c>
      <c r="I262" t="s">
        <v>3341</v>
      </c>
      <c r="J262" t="s">
        <v>3034</v>
      </c>
      <c r="K262" s="1">
        <v>46027.510254629633</v>
      </c>
      <c r="L262">
        <v>10.210000000000001</v>
      </c>
      <c r="M262">
        <v>0.6</v>
      </c>
      <c r="N262">
        <v>9.61</v>
      </c>
      <c r="O262" t="s">
        <v>25</v>
      </c>
      <c r="P262" t="s">
        <v>3068</v>
      </c>
      <c r="Q262" t="s">
        <v>3036</v>
      </c>
      <c r="R262" t="s">
        <v>4977</v>
      </c>
      <c r="S262" t="s">
        <v>4992</v>
      </c>
      <c r="T262" t="s">
        <v>4992</v>
      </c>
    </row>
    <row r="263" spans="1:20" x14ac:dyDescent="0.25">
      <c r="A263" t="s">
        <v>755</v>
      </c>
      <c r="B263" t="s">
        <v>756</v>
      </c>
      <c r="C263" s="1">
        <v>46028.632905092592</v>
      </c>
      <c r="D263">
        <v>1391.73</v>
      </c>
      <c r="E263" t="s">
        <v>25</v>
      </c>
      <c r="F263" t="s">
        <v>20</v>
      </c>
      <c r="G263" t="s">
        <v>21</v>
      </c>
      <c r="H263" t="s">
        <v>757</v>
      </c>
      <c r="I263" t="s">
        <v>3342</v>
      </c>
      <c r="J263" t="s">
        <v>3034</v>
      </c>
      <c r="K263" s="1">
        <v>46028.639849537038</v>
      </c>
      <c r="L263">
        <v>1391.73</v>
      </c>
      <c r="M263">
        <v>40.659999999999997</v>
      </c>
      <c r="N263">
        <v>1351.07</v>
      </c>
      <c r="O263" t="s">
        <v>25</v>
      </c>
      <c r="P263" t="s">
        <v>3046</v>
      </c>
      <c r="Q263" t="s">
        <v>3036</v>
      </c>
      <c r="R263" t="s">
        <v>4977</v>
      </c>
      <c r="S263" t="s">
        <v>4992</v>
      </c>
      <c r="T263" t="s">
        <v>4992</v>
      </c>
    </row>
    <row r="264" spans="1:20" x14ac:dyDescent="0.25">
      <c r="A264" t="s">
        <v>758</v>
      </c>
      <c r="B264" t="s">
        <v>759</v>
      </c>
      <c r="C264" s="1">
        <v>46029.706307870372</v>
      </c>
      <c r="D264">
        <v>2389.67</v>
      </c>
      <c r="E264" t="s">
        <v>25</v>
      </c>
      <c r="F264" t="s">
        <v>20</v>
      </c>
      <c r="G264" t="s">
        <v>26</v>
      </c>
      <c r="H264" t="s">
        <v>760</v>
      </c>
      <c r="I264" t="s">
        <v>3343</v>
      </c>
      <c r="J264" t="s">
        <v>3034</v>
      </c>
      <c r="K264" s="1">
        <v>46029.713252314818</v>
      </c>
      <c r="L264">
        <v>2389.67</v>
      </c>
      <c r="M264">
        <v>69.599999999999994</v>
      </c>
      <c r="N264">
        <v>2320.0700000000002</v>
      </c>
      <c r="O264" t="s">
        <v>25</v>
      </c>
      <c r="P264" t="s">
        <v>3048</v>
      </c>
      <c r="Q264" t="s">
        <v>3036</v>
      </c>
      <c r="R264" t="s">
        <v>4977</v>
      </c>
      <c r="S264" t="s">
        <v>4992</v>
      </c>
      <c r="T264" t="s">
        <v>4992</v>
      </c>
    </row>
    <row r="265" spans="1:20" x14ac:dyDescent="0.25">
      <c r="A265" t="s">
        <v>761</v>
      </c>
      <c r="B265" t="s">
        <v>762</v>
      </c>
      <c r="C265" s="1">
        <v>46030.785694444443</v>
      </c>
      <c r="D265">
        <v>416.81</v>
      </c>
      <c r="E265" t="s">
        <v>25</v>
      </c>
      <c r="F265" t="s">
        <v>20</v>
      </c>
      <c r="G265" t="s">
        <v>30</v>
      </c>
      <c r="H265" t="s">
        <v>763</v>
      </c>
      <c r="I265" t="s">
        <v>3344</v>
      </c>
      <c r="J265" t="s">
        <v>3034</v>
      </c>
      <c r="K265" s="1">
        <v>46030.792638888888</v>
      </c>
      <c r="L265">
        <v>416.81</v>
      </c>
      <c r="M265">
        <v>12.39</v>
      </c>
      <c r="N265">
        <v>404.42</v>
      </c>
      <c r="O265" t="s">
        <v>25</v>
      </c>
      <c r="P265" t="s">
        <v>3050</v>
      </c>
      <c r="Q265" t="s">
        <v>3036</v>
      </c>
      <c r="R265" t="s">
        <v>4977</v>
      </c>
      <c r="S265" t="s">
        <v>4992</v>
      </c>
      <c r="T265" t="s">
        <v>4992</v>
      </c>
    </row>
    <row r="266" spans="1:20" x14ac:dyDescent="0.25">
      <c r="A266" t="s">
        <v>764</v>
      </c>
      <c r="B266" t="s">
        <v>765</v>
      </c>
      <c r="C266" s="1">
        <v>46031.909328703703</v>
      </c>
      <c r="D266">
        <v>1773.93</v>
      </c>
      <c r="E266" t="s">
        <v>25</v>
      </c>
      <c r="F266" t="s">
        <v>20</v>
      </c>
      <c r="G266" t="s">
        <v>21</v>
      </c>
      <c r="H266" t="s">
        <v>766</v>
      </c>
      <c r="I266" t="s">
        <v>3345</v>
      </c>
      <c r="J266" t="s">
        <v>3034</v>
      </c>
      <c r="K266" s="1">
        <v>46031.916273148148</v>
      </c>
      <c r="L266">
        <v>1773.93</v>
      </c>
      <c r="M266">
        <v>51.74</v>
      </c>
      <c r="N266">
        <v>1722.19</v>
      </c>
      <c r="O266" t="s">
        <v>25</v>
      </c>
      <c r="P266" t="s">
        <v>3052</v>
      </c>
      <c r="Q266" t="s">
        <v>3036</v>
      </c>
      <c r="R266" t="s">
        <v>4977</v>
      </c>
      <c r="S266" t="s">
        <v>4992</v>
      </c>
      <c r="T266" t="s">
        <v>4992</v>
      </c>
    </row>
    <row r="267" spans="1:20" x14ac:dyDescent="0.25">
      <c r="A267" t="s">
        <v>767</v>
      </c>
      <c r="B267" t="s">
        <v>768</v>
      </c>
      <c r="C267" s="1">
        <v>46033.000972222224</v>
      </c>
      <c r="D267">
        <v>2214.61</v>
      </c>
      <c r="E267" t="s">
        <v>25</v>
      </c>
      <c r="F267" t="s">
        <v>20</v>
      </c>
      <c r="G267" t="s">
        <v>26</v>
      </c>
      <c r="H267" t="s">
        <v>769</v>
      </c>
      <c r="I267" t="s">
        <v>3346</v>
      </c>
      <c r="J267" t="s">
        <v>3034</v>
      </c>
      <c r="K267" s="1">
        <v>46033.007916666669</v>
      </c>
      <c r="L267">
        <v>2214.61</v>
      </c>
      <c r="M267">
        <v>64.52</v>
      </c>
      <c r="N267">
        <v>2150.09</v>
      </c>
      <c r="O267" t="s">
        <v>25</v>
      </c>
      <c r="P267" t="s">
        <v>3079</v>
      </c>
      <c r="Q267" t="s">
        <v>3036</v>
      </c>
      <c r="R267" t="s">
        <v>4977</v>
      </c>
      <c r="S267" t="s">
        <v>4992</v>
      </c>
      <c r="T267" t="s">
        <v>4992</v>
      </c>
    </row>
    <row r="268" spans="1:20" x14ac:dyDescent="0.25">
      <c r="A268" t="s">
        <v>770</v>
      </c>
      <c r="B268" t="s">
        <v>771</v>
      </c>
      <c r="C268" s="1">
        <v>46034.051342592589</v>
      </c>
      <c r="D268">
        <v>119.67</v>
      </c>
      <c r="E268" t="s">
        <v>25</v>
      </c>
      <c r="F268" t="s">
        <v>20</v>
      </c>
      <c r="G268" t="s">
        <v>30</v>
      </c>
      <c r="H268" t="s">
        <v>772</v>
      </c>
      <c r="I268" t="s">
        <v>3347</v>
      </c>
      <c r="J268" t="s">
        <v>3034</v>
      </c>
      <c r="K268" s="1">
        <v>46034.058287037034</v>
      </c>
      <c r="L268">
        <v>119.67</v>
      </c>
      <c r="M268">
        <v>3.77</v>
      </c>
      <c r="N268">
        <v>115.9</v>
      </c>
      <c r="O268" t="s">
        <v>25</v>
      </c>
      <c r="P268" t="s">
        <v>3081</v>
      </c>
      <c r="Q268" t="s">
        <v>3036</v>
      </c>
      <c r="R268" t="s">
        <v>4977</v>
      </c>
      <c r="S268" t="s">
        <v>4992</v>
      </c>
      <c r="T268" t="s">
        <v>4992</v>
      </c>
    </row>
    <row r="269" spans="1:20" x14ac:dyDescent="0.25">
      <c r="A269" t="s">
        <v>773</v>
      </c>
      <c r="B269" t="s">
        <v>774</v>
      </c>
      <c r="C269" s="1">
        <v>46035.164444444446</v>
      </c>
      <c r="D269">
        <v>2445</v>
      </c>
      <c r="E269" t="s">
        <v>52</v>
      </c>
      <c r="F269" t="s">
        <v>20</v>
      </c>
      <c r="G269" t="s">
        <v>21</v>
      </c>
      <c r="H269" t="s">
        <v>775</v>
      </c>
      <c r="I269" t="s">
        <v>3348</v>
      </c>
      <c r="J269" t="s">
        <v>3034</v>
      </c>
      <c r="K269" s="1">
        <v>46035.171388888892</v>
      </c>
      <c r="L269">
        <v>2445</v>
      </c>
      <c r="M269">
        <v>71.209999999999994</v>
      </c>
      <c r="N269">
        <v>2373.79</v>
      </c>
      <c r="O269" t="s">
        <v>52</v>
      </c>
      <c r="P269" t="s">
        <v>3102</v>
      </c>
      <c r="Q269" t="s">
        <v>3036</v>
      </c>
      <c r="R269" t="s">
        <v>4977</v>
      </c>
      <c r="S269" t="s">
        <v>4992</v>
      </c>
      <c r="T269" t="s">
        <v>4992</v>
      </c>
    </row>
    <row r="270" spans="1:20" x14ac:dyDescent="0.25">
      <c r="A270" t="s">
        <v>776</v>
      </c>
      <c r="B270" t="s">
        <v>777</v>
      </c>
      <c r="C270" s="1">
        <v>46035.259143518517</v>
      </c>
      <c r="D270">
        <v>1561.2</v>
      </c>
      <c r="E270" t="s">
        <v>19</v>
      </c>
      <c r="F270" t="s">
        <v>20</v>
      </c>
      <c r="G270" t="s">
        <v>26</v>
      </c>
      <c r="H270" t="s">
        <v>778</v>
      </c>
      <c r="I270" t="s">
        <v>3349</v>
      </c>
      <c r="J270" t="s">
        <v>3034</v>
      </c>
      <c r="K270" s="1">
        <v>46035.266087962962</v>
      </c>
      <c r="L270">
        <v>1561.2</v>
      </c>
      <c r="M270">
        <v>45.57</v>
      </c>
      <c r="N270">
        <v>1515.63</v>
      </c>
      <c r="O270" t="s">
        <v>19</v>
      </c>
      <c r="P270" t="s">
        <v>3186</v>
      </c>
      <c r="Q270" t="s">
        <v>3036</v>
      </c>
      <c r="R270" t="s">
        <v>4977</v>
      </c>
      <c r="S270" t="s">
        <v>4992</v>
      </c>
      <c r="T270" t="s">
        <v>4992</v>
      </c>
    </row>
    <row r="271" spans="1:20" x14ac:dyDescent="0.25">
      <c r="A271" t="s">
        <v>779</v>
      </c>
      <c r="B271" t="s">
        <v>780</v>
      </c>
      <c r="C271" s="1">
        <v>46036.335972222223</v>
      </c>
      <c r="D271">
        <v>1326.62</v>
      </c>
      <c r="E271" t="s">
        <v>25</v>
      </c>
      <c r="F271" t="s">
        <v>20</v>
      </c>
      <c r="G271" t="s">
        <v>30</v>
      </c>
      <c r="H271" t="s">
        <v>781</v>
      </c>
      <c r="I271" t="s">
        <v>3350</v>
      </c>
      <c r="J271" t="s">
        <v>3034</v>
      </c>
      <c r="K271" s="1">
        <v>46036.342916666668</v>
      </c>
      <c r="L271">
        <v>1326.62</v>
      </c>
      <c r="M271">
        <v>38.770000000000003</v>
      </c>
      <c r="N271">
        <v>1287.8499999999999</v>
      </c>
      <c r="O271" t="s">
        <v>25</v>
      </c>
      <c r="P271" t="s">
        <v>3062</v>
      </c>
      <c r="Q271" t="s">
        <v>3036</v>
      </c>
      <c r="R271" t="s">
        <v>4977</v>
      </c>
      <c r="S271" t="s">
        <v>4992</v>
      </c>
      <c r="T271" t="s">
        <v>4992</v>
      </c>
    </row>
    <row r="272" spans="1:20" x14ac:dyDescent="0.25">
      <c r="A272" t="s">
        <v>782</v>
      </c>
      <c r="B272" t="s">
        <v>783</v>
      </c>
      <c r="C272" s="1">
        <v>46023.45045138889</v>
      </c>
      <c r="D272">
        <v>1705.01</v>
      </c>
      <c r="E272" t="s">
        <v>25</v>
      </c>
      <c r="F272" t="s">
        <v>20</v>
      </c>
      <c r="G272" t="s">
        <v>21</v>
      </c>
      <c r="H272" t="s">
        <v>784</v>
      </c>
      <c r="I272" t="s">
        <v>3351</v>
      </c>
      <c r="J272" t="s">
        <v>3034</v>
      </c>
      <c r="K272" s="1">
        <v>46023.457395833335</v>
      </c>
      <c r="L272">
        <v>1705.01</v>
      </c>
      <c r="M272">
        <v>50.12</v>
      </c>
      <c r="N272">
        <v>1654.89</v>
      </c>
      <c r="O272" t="s">
        <v>25</v>
      </c>
      <c r="P272" t="s">
        <v>3064</v>
      </c>
      <c r="Q272" t="s">
        <v>3036</v>
      </c>
      <c r="R272" t="s">
        <v>4977</v>
      </c>
      <c r="S272" t="s">
        <v>4992</v>
      </c>
      <c r="T272" t="s">
        <v>4992</v>
      </c>
    </row>
    <row r="273" spans="1:20" x14ac:dyDescent="0.25">
      <c r="A273" t="s">
        <v>785</v>
      </c>
      <c r="B273" t="s">
        <v>786</v>
      </c>
      <c r="C273" s="1">
        <v>46024.517500000002</v>
      </c>
      <c r="D273">
        <v>379.15</v>
      </c>
      <c r="E273" t="s">
        <v>25</v>
      </c>
      <c r="F273" t="s">
        <v>20</v>
      </c>
      <c r="G273" t="s">
        <v>26</v>
      </c>
      <c r="H273" t="s">
        <v>787</v>
      </c>
      <c r="I273" t="s">
        <v>3352</v>
      </c>
      <c r="J273" t="s">
        <v>3034</v>
      </c>
      <c r="K273" s="1">
        <v>46024.524444444447</v>
      </c>
      <c r="L273">
        <v>379.15</v>
      </c>
      <c r="M273">
        <v>11.3</v>
      </c>
      <c r="N273">
        <v>367.85</v>
      </c>
      <c r="O273" t="s">
        <v>25</v>
      </c>
      <c r="P273" t="s">
        <v>3038</v>
      </c>
      <c r="Q273" t="s">
        <v>3036</v>
      </c>
      <c r="R273" t="s">
        <v>4977</v>
      </c>
      <c r="S273" t="s">
        <v>4992</v>
      </c>
      <c r="T273" t="s">
        <v>4992</v>
      </c>
    </row>
    <row r="274" spans="1:20" x14ac:dyDescent="0.25">
      <c r="A274" t="s">
        <v>788</v>
      </c>
      <c r="B274" t="s">
        <v>789</v>
      </c>
      <c r="C274" s="1">
        <v>46025.618009259262</v>
      </c>
      <c r="D274">
        <v>854.41</v>
      </c>
      <c r="E274" t="s">
        <v>25</v>
      </c>
      <c r="F274" t="s">
        <v>20</v>
      </c>
      <c r="G274" t="s">
        <v>30</v>
      </c>
      <c r="H274" t="s">
        <v>790</v>
      </c>
      <c r="I274" t="s">
        <v>3353</v>
      </c>
      <c r="J274" t="s">
        <v>3034</v>
      </c>
      <c r="K274" s="1">
        <v>46025.6249537037</v>
      </c>
      <c r="L274">
        <v>854.41</v>
      </c>
      <c r="M274">
        <v>25.08</v>
      </c>
      <c r="N274">
        <v>829.33</v>
      </c>
      <c r="O274" t="s">
        <v>25</v>
      </c>
      <c r="P274" t="s">
        <v>3040</v>
      </c>
      <c r="Q274" t="s">
        <v>3036</v>
      </c>
      <c r="R274" t="s">
        <v>4977</v>
      </c>
      <c r="S274" t="s">
        <v>4992</v>
      </c>
      <c r="T274" t="s">
        <v>4992</v>
      </c>
    </row>
    <row r="275" spans="1:20" x14ac:dyDescent="0.25">
      <c r="A275" t="s">
        <v>791</v>
      </c>
      <c r="B275" t="s">
        <v>792</v>
      </c>
      <c r="C275" s="1">
        <v>46026.695636574077</v>
      </c>
      <c r="D275">
        <v>1448.81</v>
      </c>
      <c r="E275" t="s">
        <v>25</v>
      </c>
      <c r="F275" t="s">
        <v>20</v>
      </c>
      <c r="G275" t="s">
        <v>21</v>
      </c>
      <c r="H275" t="s">
        <v>793</v>
      </c>
      <c r="I275" t="s">
        <v>3354</v>
      </c>
      <c r="J275" t="s">
        <v>3034</v>
      </c>
      <c r="K275" s="1">
        <v>46026.702581018515</v>
      </c>
      <c r="L275">
        <v>1448.81</v>
      </c>
      <c r="M275">
        <v>42.32</v>
      </c>
      <c r="N275">
        <v>1406.49</v>
      </c>
      <c r="O275" t="s">
        <v>25</v>
      </c>
      <c r="P275" t="s">
        <v>3042</v>
      </c>
      <c r="Q275" t="s">
        <v>3036</v>
      </c>
      <c r="R275" t="s">
        <v>4977</v>
      </c>
      <c r="S275" t="s">
        <v>4992</v>
      </c>
      <c r="T275" t="s">
        <v>4992</v>
      </c>
    </row>
    <row r="276" spans="1:20" x14ac:dyDescent="0.25">
      <c r="A276" t="s">
        <v>794</v>
      </c>
      <c r="B276" t="s">
        <v>795</v>
      </c>
      <c r="C276" s="1">
        <v>46027.82236111111</v>
      </c>
      <c r="D276">
        <v>239.84</v>
      </c>
      <c r="E276" t="s">
        <v>25</v>
      </c>
      <c r="F276" t="s">
        <v>20</v>
      </c>
      <c r="G276" t="s">
        <v>26</v>
      </c>
      <c r="H276" t="s">
        <v>796</v>
      </c>
      <c r="I276" t="s">
        <v>3355</v>
      </c>
      <c r="J276" t="s">
        <v>3034</v>
      </c>
      <c r="K276" s="1">
        <v>46027.829305555555</v>
      </c>
      <c r="L276">
        <v>239.84</v>
      </c>
      <c r="M276">
        <v>7.26</v>
      </c>
      <c r="N276">
        <v>232.58</v>
      </c>
      <c r="O276" t="s">
        <v>25</v>
      </c>
      <c r="P276" t="s">
        <v>3068</v>
      </c>
      <c r="Q276" t="s">
        <v>3036</v>
      </c>
      <c r="R276" t="s">
        <v>4977</v>
      </c>
      <c r="S276" t="s">
        <v>4992</v>
      </c>
      <c r="T276" t="s">
        <v>4992</v>
      </c>
    </row>
    <row r="277" spans="1:20" x14ac:dyDescent="0.25">
      <c r="A277" t="s">
        <v>797</v>
      </c>
      <c r="B277" t="s">
        <v>798</v>
      </c>
      <c r="C277" s="1">
        <v>46028.895972222221</v>
      </c>
      <c r="D277">
        <v>2438.25</v>
      </c>
      <c r="E277" t="s">
        <v>25</v>
      </c>
      <c r="F277" t="s">
        <v>20</v>
      </c>
      <c r="G277" t="s">
        <v>30</v>
      </c>
      <c r="H277" t="s">
        <v>799</v>
      </c>
      <c r="I277" t="s">
        <v>3356</v>
      </c>
      <c r="J277" t="s">
        <v>3034</v>
      </c>
      <c r="K277" s="1">
        <v>46028.902916666666</v>
      </c>
      <c r="L277">
        <v>2438.25</v>
      </c>
      <c r="M277">
        <v>71.010000000000005</v>
      </c>
      <c r="N277">
        <v>2367.2399999999998</v>
      </c>
      <c r="O277" t="s">
        <v>25</v>
      </c>
      <c r="P277" t="s">
        <v>3046</v>
      </c>
      <c r="Q277" t="s">
        <v>3036</v>
      </c>
      <c r="R277" t="s">
        <v>4977</v>
      </c>
      <c r="S277" t="s">
        <v>4992</v>
      </c>
      <c r="T277" t="s">
        <v>4992</v>
      </c>
    </row>
    <row r="278" spans="1:20" x14ac:dyDescent="0.25">
      <c r="A278" t="s">
        <v>797</v>
      </c>
      <c r="B278" t="s">
        <v>798</v>
      </c>
      <c r="C278" s="1">
        <v>46028.895972222221</v>
      </c>
      <c r="D278">
        <v>2438.25</v>
      </c>
      <c r="E278" t="s">
        <v>25</v>
      </c>
      <c r="F278" t="s">
        <v>20</v>
      </c>
      <c r="G278" t="s">
        <v>30</v>
      </c>
      <c r="H278" t="s">
        <v>799</v>
      </c>
      <c r="I278" t="s">
        <v>3356</v>
      </c>
      <c r="J278" t="s">
        <v>3034</v>
      </c>
      <c r="K278" s="1">
        <v>46028.902916666666</v>
      </c>
      <c r="L278">
        <v>2438.25</v>
      </c>
      <c r="M278">
        <v>71.010000000000005</v>
      </c>
      <c r="N278">
        <v>2367.2399999999998</v>
      </c>
      <c r="O278" t="s">
        <v>25</v>
      </c>
      <c r="P278" t="s">
        <v>3046</v>
      </c>
      <c r="Q278" t="s">
        <v>3036</v>
      </c>
      <c r="R278" t="s">
        <v>4977</v>
      </c>
      <c r="S278" t="s">
        <v>4992</v>
      </c>
      <c r="T278" t="s">
        <v>4992</v>
      </c>
    </row>
    <row r="279" spans="1:20" x14ac:dyDescent="0.25">
      <c r="A279" t="s">
        <v>800</v>
      </c>
      <c r="B279" t="s">
        <v>801</v>
      </c>
      <c r="C279" s="1">
        <v>46029.99459490741</v>
      </c>
      <c r="D279">
        <v>902.81</v>
      </c>
      <c r="E279" t="s">
        <v>25</v>
      </c>
      <c r="F279" t="s">
        <v>20</v>
      </c>
      <c r="G279" t="s">
        <v>21</v>
      </c>
      <c r="H279" t="s">
        <v>802</v>
      </c>
      <c r="I279" t="s">
        <v>3357</v>
      </c>
      <c r="J279" t="s">
        <v>3034</v>
      </c>
      <c r="K279" s="1">
        <v>46030.001539351855</v>
      </c>
      <c r="L279">
        <v>902.81</v>
      </c>
      <c r="M279">
        <v>26.48</v>
      </c>
      <c r="N279">
        <v>876.33</v>
      </c>
      <c r="O279" t="s">
        <v>25</v>
      </c>
      <c r="P279" t="s">
        <v>3048</v>
      </c>
      <c r="Q279" t="s">
        <v>3036</v>
      </c>
      <c r="R279" t="s">
        <v>4977</v>
      </c>
      <c r="S279" t="s">
        <v>4992</v>
      </c>
      <c r="T279" t="s">
        <v>4992</v>
      </c>
    </row>
    <row r="280" spans="1:20" x14ac:dyDescent="0.25">
      <c r="A280" t="s">
        <v>803</v>
      </c>
      <c r="B280" t="s">
        <v>804</v>
      </c>
      <c r="C280" s="1">
        <v>46031.069456018522</v>
      </c>
      <c r="D280">
        <v>2009.92</v>
      </c>
      <c r="E280" t="s">
        <v>52</v>
      </c>
      <c r="F280" t="s">
        <v>20</v>
      </c>
      <c r="G280" t="s">
        <v>26</v>
      </c>
      <c r="H280" t="s">
        <v>805</v>
      </c>
      <c r="I280" t="s">
        <v>3358</v>
      </c>
      <c r="J280" t="s">
        <v>3034</v>
      </c>
      <c r="K280" s="1">
        <v>46031.07640046296</v>
      </c>
      <c r="L280">
        <v>2009.92</v>
      </c>
      <c r="M280">
        <v>58.59</v>
      </c>
      <c r="N280">
        <v>1951.33</v>
      </c>
      <c r="O280" t="s">
        <v>52</v>
      </c>
      <c r="P280" t="s">
        <v>3115</v>
      </c>
      <c r="Q280" t="s">
        <v>3036</v>
      </c>
      <c r="R280" t="s">
        <v>4977</v>
      </c>
      <c r="S280" t="s">
        <v>4992</v>
      </c>
      <c r="T280" t="s">
        <v>4992</v>
      </c>
    </row>
    <row r="281" spans="1:20" x14ac:dyDescent="0.25">
      <c r="A281" t="s">
        <v>806</v>
      </c>
      <c r="B281" t="s">
        <v>807</v>
      </c>
      <c r="C281" s="1">
        <v>46032.184687499997</v>
      </c>
      <c r="D281">
        <v>1149.1600000000001</v>
      </c>
      <c r="E281" t="s">
        <v>19</v>
      </c>
      <c r="F281" t="s">
        <v>429</v>
      </c>
      <c r="G281" t="s">
        <v>30</v>
      </c>
      <c r="H281" t="s">
        <v>808</v>
      </c>
      <c r="I281" t="s">
        <v>3359</v>
      </c>
      <c r="J281" t="s">
        <v>3034</v>
      </c>
      <c r="K281" s="1">
        <v>46032.191631944443</v>
      </c>
      <c r="L281">
        <v>1149.1600000000001</v>
      </c>
      <c r="M281">
        <v>33.630000000000003</v>
      </c>
      <c r="N281">
        <v>1115.53</v>
      </c>
      <c r="O281" t="s">
        <v>19</v>
      </c>
      <c r="P281" t="s">
        <v>3117</v>
      </c>
      <c r="Q281" t="s">
        <v>3036</v>
      </c>
      <c r="R281" t="s">
        <v>4977</v>
      </c>
      <c r="S281" t="s">
        <v>4992</v>
      </c>
      <c r="T281" t="s">
        <v>4992</v>
      </c>
    </row>
    <row r="282" spans="1:20" x14ac:dyDescent="0.25">
      <c r="A282" t="s">
        <v>806</v>
      </c>
      <c r="B282" t="s">
        <v>807</v>
      </c>
      <c r="C282" s="1">
        <v>46032.184687499997</v>
      </c>
      <c r="D282">
        <v>1149.1600000000001</v>
      </c>
      <c r="E282" t="s">
        <v>19</v>
      </c>
      <c r="F282" t="s">
        <v>429</v>
      </c>
      <c r="G282" t="s">
        <v>30</v>
      </c>
      <c r="H282" t="s">
        <v>808</v>
      </c>
      <c r="I282" t="s">
        <v>3360</v>
      </c>
      <c r="J282" t="s">
        <v>3076</v>
      </c>
      <c r="K282" s="1">
        <v>46033.184687499997</v>
      </c>
      <c r="L282">
        <v>-1149.1600000000001</v>
      </c>
      <c r="M282">
        <v>0</v>
      </c>
      <c r="N282">
        <v>-1149.1600000000001</v>
      </c>
      <c r="O282" t="s">
        <v>19</v>
      </c>
      <c r="P282" t="s">
        <v>3361</v>
      </c>
      <c r="Q282" t="s">
        <v>3036</v>
      </c>
      <c r="R282" t="s">
        <v>4977</v>
      </c>
      <c r="S282" t="s">
        <v>4991</v>
      </c>
      <c r="T282" t="s">
        <v>4992</v>
      </c>
    </row>
    <row r="283" spans="1:20" x14ac:dyDescent="0.25">
      <c r="A283" t="s">
        <v>809</v>
      </c>
      <c r="B283" t="s">
        <v>810</v>
      </c>
      <c r="C283" s="1">
        <v>46032.255416666667</v>
      </c>
      <c r="D283">
        <v>1360.56</v>
      </c>
      <c r="E283" t="s">
        <v>25</v>
      </c>
      <c r="F283" t="s">
        <v>20</v>
      </c>
      <c r="G283" t="s">
        <v>21</v>
      </c>
      <c r="H283" t="s">
        <v>811</v>
      </c>
      <c r="I283" t="s">
        <v>3362</v>
      </c>
      <c r="J283" t="s">
        <v>3034</v>
      </c>
      <c r="K283" s="1">
        <v>46032.262361111112</v>
      </c>
      <c r="L283">
        <v>1360.56</v>
      </c>
      <c r="M283">
        <v>39.76</v>
      </c>
      <c r="N283">
        <v>1320.8</v>
      </c>
      <c r="O283" t="s">
        <v>25</v>
      </c>
      <c r="P283" t="s">
        <v>3079</v>
      </c>
      <c r="Q283" t="s">
        <v>3036</v>
      </c>
      <c r="R283" t="s">
        <v>4977</v>
      </c>
      <c r="S283" t="s">
        <v>4992</v>
      </c>
      <c r="T283" t="s">
        <v>4992</v>
      </c>
    </row>
    <row r="284" spans="1:20" x14ac:dyDescent="0.25">
      <c r="A284" t="s">
        <v>812</v>
      </c>
      <c r="B284" t="s">
        <v>813</v>
      </c>
      <c r="C284" s="1">
        <v>46033.373865740738</v>
      </c>
      <c r="D284">
        <v>1210.75</v>
      </c>
      <c r="E284" t="s">
        <v>25</v>
      </c>
      <c r="F284" t="s">
        <v>20</v>
      </c>
      <c r="G284" t="s">
        <v>26</v>
      </c>
      <c r="H284" t="s">
        <v>814</v>
      </c>
      <c r="I284" t="s">
        <v>3363</v>
      </c>
      <c r="J284" t="s">
        <v>3034</v>
      </c>
      <c r="K284" s="1">
        <v>46033.380810185183</v>
      </c>
      <c r="L284">
        <v>1210.75</v>
      </c>
      <c r="M284">
        <v>35.409999999999997</v>
      </c>
      <c r="N284">
        <v>1175.3399999999999</v>
      </c>
      <c r="O284" t="s">
        <v>25</v>
      </c>
      <c r="P284" t="s">
        <v>3081</v>
      </c>
      <c r="Q284" t="s">
        <v>3036</v>
      </c>
      <c r="R284" t="s">
        <v>4977</v>
      </c>
      <c r="S284" t="s">
        <v>4992</v>
      </c>
      <c r="T284" t="s">
        <v>4992</v>
      </c>
    </row>
    <row r="285" spans="1:20" x14ac:dyDescent="0.25">
      <c r="A285" t="s">
        <v>815</v>
      </c>
      <c r="B285" t="s">
        <v>816</v>
      </c>
      <c r="C285" s="1">
        <v>46034.465358796297</v>
      </c>
      <c r="D285">
        <v>949.56</v>
      </c>
      <c r="E285" t="s">
        <v>25</v>
      </c>
      <c r="F285" t="s">
        <v>92</v>
      </c>
      <c r="G285" t="s">
        <v>30</v>
      </c>
      <c r="H285" t="s">
        <v>817</v>
      </c>
      <c r="I285" t="s">
        <v>3364</v>
      </c>
      <c r="J285" t="s">
        <v>3034</v>
      </c>
      <c r="K285" s="1">
        <v>46034.472303240742</v>
      </c>
      <c r="L285">
        <v>949.56</v>
      </c>
      <c r="M285">
        <v>27.84</v>
      </c>
      <c r="N285">
        <v>921.72</v>
      </c>
      <c r="O285" t="s">
        <v>25</v>
      </c>
      <c r="P285" t="s">
        <v>3058</v>
      </c>
      <c r="Q285" t="s">
        <v>3036</v>
      </c>
      <c r="R285" t="s">
        <v>4977</v>
      </c>
      <c r="S285" t="s">
        <v>4992</v>
      </c>
      <c r="T285" t="s">
        <v>4992</v>
      </c>
    </row>
    <row r="286" spans="1:20" x14ac:dyDescent="0.25">
      <c r="A286" t="s">
        <v>815</v>
      </c>
      <c r="B286" t="s">
        <v>816</v>
      </c>
      <c r="C286" s="1">
        <v>46034.465358796297</v>
      </c>
      <c r="D286">
        <v>949.56</v>
      </c>
      <c r="E286" t="s">
        <v>25</v>
      </c>
      <c r="F286" t="s">
        <v>92</v>
      </c>
      <c r="G286" t="s">
        <v>30</v>
      </c>
      <c r="H286" t="s">
        <v>817</v>
      </c>
      <c r="I286" t="s">
        <v>3365</v>
      </c>
      <c r="J286" t="s">
        <v>3076</v>
      </c>
      <c r="K286" s="1">
        <v>46035.465358796297</v>
      </c>
      <c r="L286">
        <v>-474.78</v>
      </c>
      <c r="M286">
        <v>0</v>
      </c>
      <c r="N286">
        <v>-474.78</v>
      </c>
      <c r="O286" t="s">
        <v>25</v>
      </c>
      <c r="P286" t="s">
        <v>3366</v>
      </c>
      <c r="Q286" t="s">
        <v>3036</v>
      </c>
      <c r="R286" t="s">
        <v>4977</v>
      </c>
      <c r="S286" t="s">
        <v>4991</v>
      </c>
      <c r="T286" t="s">
        <v>4992</v>
      </c>
    </row>
    <row r="287" spans="1:20" x14ac:dyDescent="0.25">
      <c r="A287" t="s">
        <v>818</v>
      </c>
      <c r="B287" t="s">
        <v>819</v>
      </c>
      <c r="C287" s="1">
        <v>46035.525717592594</v>
      </c>
      <c r="D287">
        <v>708.7</v>
      </c>
      <c r="E287" t="s">
        <v>25</v>
      </c>
      <c r="F287" t="s">
        <v>20</v>
      </c>
      <c r="G287" t="s">
        <v>21</v>
      </c>
      <c r="H287" t="s">
        <v>820</v>
      </c>
      <c r="I287" t="s">
        <v>3367</v>
      </c>
      <c r="J287" t="s">
        <v>3034</v>
      </c>
      <c r="K287" s="1">
        <v>46035.53266203704</v>
      </c>
      <c r="L287">
        <v>708.7</v>
      </c>
      <c r="M287">
        <v>20.85</v>
      </c>
      <c r="N287">
        <v>687.85</v>
      </c>
      <c r="O287" t="s">
        <v>25</v>
      </c>
      <c r="P287" t="s">
        <v>3060</v>
      </c>
      <c r="Q287" t="s">
        <v>3036</v>
      </c>
      <c r="R287" t="s">
        <v>4977</v>
      </c>
      <c r="S287" t="s">
        <v>4992</v>
      </c>
      <c r="T287" t="s">
        <v>4992</v>
      </c>
    </row>
    <row r="288" spans="1:20" x14ac:dyDescent="0.25">
      <c r="A288" t="s">
        <v>821</v>
      </c>
      <c r="B288" t="s">
        <v>822</v>
      </c>
      <c r="C288" s="1">
        <v>46036.61818287037</v>
      </c>
      <c r="D288">
        <v>1916.51</v>
      </c>
      <c r="E288" t="s">
        <v>25</v>
      </c>
      <c r="F288" t="s">
        <v>20</v>
      </c>
      <c r="G288" t="s">
        <v>26</v>
      </c>
      <c r="H288" t="s">
        <v>823</v>
      </c>
      <c r="I288" t="s">
        <v>3368</v>
      </c>
      <c r="J288" t="s">
        <v>3034</v>
      </c>
      <c r="K288" s="1">
        <v>46036.625127314815</v>
      </c>
      <c r="L288">
        <v>1916.51</v>
      </c>
      <c r="M288">
        <v>55.88</v>
      </c>
      <c r="N288">
        <v>1860.63</v>
      </c>
      <c r="O288" t="s">
        <v>25</v>
      </c>
      <c r="P288" t="s">
        <v>3369</v>
      </c>
      <c r="Q288" t="s">
        <v>3036</v>
      </c>
      <c r="R288" t="s">
        <v>4977</v>
      </c>
      <c r="S288" t="s">
        <v>4992</v>
      </c>
      <c r="T288" t="s">
        <v>4992</v>
      </c>
    </row>
    <row r="289" spans="1:20" x14ac:dyDescent="0.25">
      <c r="A289" t="s">
        <v>824</v>
      </c>
      <c r="B289" t="s">
        <v>825</v>
      </c>
      <c r="C289" s="1">
        <v>46023.707939814813</v>
      </c>
      <c r="D289">
        <v>736.22</v>
      </c>
      <c r="E289" t="s">
        <v>25</v>
      </c>
      <c r="F289" t="s">
        <v>20</v>
      </c>
      <c r="G289" t="s">
        <v>30</v>
      </c>
      <c r="H289" t="s">
        <v>826</v>
      </c>
      <c r="I289" t="s">
        <v>3370</v>
      </c>
      <c r="J289" t="s">
        <v>3034</v>
      </c>
      <c r="K289" s="1">
        <v>46023.714884259258</v>
      </c>
      <c r="L289">
        <v>736.22</v>
      </c>
      <c r="M289">
        <v>21.65</v>
      </c>
      <c r="N289">
        <v>714.57</v>
      </c>
      <c r="O289" t="s">
        <v>25</v>
      </c>
      <c r="P289" t="s">
        <v>3064</v>
      </c>
      <c r="Q289" t="s">
        <v>3036</v>
      </c>
      <c r="R289" t="s">
        <v>4977</v>
      </c>
      <c r="S289" t="s">
        <v>4992</v>
      </c>
      <c r="T289" t="s">
        <v>4992</v>
      </c>
    </row>
    <row r="290" spans="1:20" x14ac:dyDescent="0.25">
      <c r="A290" t="s">
        <v>827</v>
      </c>
      <c r="B290" t="s">
        <v>828</v>
      </c>
      <c r="C290" s="1">
        <v>46024.82916666667</v>
      </c>
      <c r="D290">
        <v>366.26</v>
      </c>
      <c r="E290" t="s">
        <v>25</v>
      </c>
      <c r="F290" t="s">
        <v>20</v>
      </c>
      <c r="G290" t="s">
        <v>21</v>
      </c>
      <c r="H290" t="s">
        <v>829</v>
      </c>
      <c r="I290" t="s">
        <v>3371</v>
      </c>
      <c r="J290" t="s">
        <v>3034</v>
      </c>
      <c r="K290" s="1">
        <v>46024.836111111108</v>
      </c>
      <c r="L290">
        <v>366.26</v>
      </c>
      <c r="M290">
        <v>10.92</v>
      </c>
      <c r="N290">
        <v>355.34</v>
      </c>
      <c r="O290" t="s">
        <v>25</v>
      </c>
      <c r="P290" t="s">
        <v>3038</v>
      </c>
      <c r="Q290" t="s">
        <v>3036</v>
      </c>
      <c r="R290" t="s">
        <v>4977</v>
      </c>
      <c r="S290" t="s">
        <v>4992</v>
      </c>
      <c r="T290" t="s">
        <v>4992</v>
      </c>
    </row>
    <row r="291" spans="1:20" x14ac:dyDescent="0.25">
      <c r="A291" t="s">
        <v>830</v>
      </c>
      <c r="B291" t="s">
        <v>831</v>
      </c>
      <c r="C291" s="1">
        <v>46025.894259259258</v>
      </c>
      <c r="D291">
        <v>1715.84</v>
      </c>
      <c r="E291" t="s">
        <v>25</v>
      </c>
      <c r="F291" t="s">
        <v>20</v>
      </c>
      <c r="G291" t="s">
        <v>26</v>
      </c>
      <c r="H291" t="s">
        <v>832</v>
      </c>
      <c r="I291" t="s">
        <v>3372</v>
      </c>
      <c r="J291" t="s">
        <v>3034</v>
      </c>
      <c r="K291" s="1">
        <v>46025.901203703703</v>
      </c>
      <c r="L291">
        <v>1715.84</v>
      </c>
      <c r="M291">
        <v>50.06</v>
      </c>
      <c r="N291">
        <v>1665.78</v>
      </c>
      <c r="O291" t="s">
        <v>25</v>
      </c>
      <c r="P291" t="s">
        <v>3040</v>
      </c>
      <c r="Q291" t="s">
        <v>3036</v>
      </c>
      <c r="R291" t="s">
        <v>4977</v>
      </c>
      <c r="S291" t="s">
        <v>4992</v>
      </c>
      <c r="T291" t="s">
        <v>4992</v>
      </c>
    </row>
    <row r="292" spans="1:20" x14ac:dyDescent="0.25">
      <c r="A292" t="s">
        <v>833</v>
      </c>
      <c r="B292" t="s">
        <v>834</v>
      </c>
      <c r="C292" s="1">
        <v>46026.994444444441</v>
      </c>
      <c r="D292">
        <v>897.02</v>
      </c>
      <c r="E292" t="s">
        <v>52</v>
      </c>
      <c r="F292" t="s">
        <v>20</v>
      </c>
      <c r="G292" t="s">
        <v>30</v>
      </c>
      <c r="H292" t="s">
        <v>835</v>
      </c>
      <c r="I292" t="s">
        <v>3373</v>
      </c>
      <c r="J292" t="s">
        <v>3034</v>
      </c>
      <c r="K292" s="1">
        <v>46027.001388888886</v>
      </c>
      <c r="L292">
        <v>897.02</v>
      </c>
      <c r="M292">
        <v>26.31</v>
      </c>
      <c r="N292">
        <v>870.71</v>
      </c>
      <c r="O292" t="s">
        <v>52</v>
      </c>
      <c r="P292" t="s">
        <v>3128</v>
      </c>
      <c r="Q292" t="s">
        <v>3036</v>
      </c>
      <c r="R292" t="s">
        <v>4977</v>
      </c>
      <c r="S292" t="s">
        <v>4992</v>
      </c>
      <c r="T292" t="s">
        <v>4992</v>
      </c>
    </row>
    <row r="293" spans="1:20" x14ac:dyDescent="0.25">
      <c r="A293" t="s">
        <v>836</v>
      </c>
      <c r="B293" t="s">
        <v>837</v>
      </c>
      <c r="C293" s="1">
        <v>46028.070104166669</v>
      </c>
      <c r="D293">
        <v>15.39</v>
      </c>
      <c r="E293" t="s">
        <v>19</v>
      </c>
      <c r="F293" t="s">
        <v>20</v>
      </c>
      <c r="G293" t="s">
        <v>21</v>
      </c>
      <c r="H293" t="s">
        <v>838</v>
      </c>
      <c r="I293" t="s">
        <v>3374</v>
      </c>
      <c r="J293" t="s">
        <v>3034</v>
      </c>
      <c r="K293" s="1">
        <v>46028.077048611114</v>
      </c>
      <c r="L293">
        <v>15.39</v>
      </c>
      <c r="M293">
        <v>0.75</v>
      </c>
      <c r="N293">
        <v>14.64</v>
      </c>
      <c r="O293" t="s">
        <v>19</v>
      </c>
      <c r="P293" t="s">
        <v>3130</v>
      </c>
      <c r="Q293" t="s">
        <v>3036</v>
      </c>
      <c r="R293" t="s">
        <v>4977</v>
      </c>
      <c r="S293" t="s">
        <v>4992</v>
      </c>
      <c r="T293" t="s">
        <v>4992</v>
      </c>
    </row>
    <row r="294" spans="1:20" x14ac:dyDescent="0.25">
      <c r="A294" t="s">
        <v>839</v>
      </c>
      <c r="B294" t="s">
        <v>840</v>
      </c>
      <c r="C294" s="1">
        <v>46029.197581018518</v>
      </c>
      <c r="D294">
        <v>1971.5</v>
      </c>
      <c r="E294" t="s">
        <v>25</v>
      </c>
      <c r="F294" t="s">
        <v>20</v>
      </c>
      <c r="G294" t="s">
        <v>26</v>
      </c>
      <c r="H294" t="s">
        <v>841</v>
      </c>
      <c r="I294" t="s">
        <v>3375</v>
      </c>
      <c r="J294" t="s">
        <v>3034</v>
      </c>
      <c r="K294" s="1">
        <v>46029.204525462963</v>
      </c>
      <c r="L294">
        <v>1971.5</v>
      </c>
      <c r="M294">
        <v>57.47</v>
      </c>
      <c r="N294">
        <v>1914.03</v>
      </c>
      <c r="O294" t="s">
        <v>25</v>
      </c>
      <c r="P294" t="s">
        <v>3046</v>
      </c>
      <c r="Q294" t="s">
        <v>3036</v>
      </c>
      <c r="R294" t="s">
        <v>4977</v>
      </c>
      <c r="S294" t="s">
        <v>4992</v>
      </c>
      <c r="T294" t="s">
        <v>4992</v>
      </c>
    </row>
    <row r="295" spans="1:20" x14ac:dyDescent="0.25">
      <c r="A295" t="s">
        <v>842</v>
      </c>
      <c r="B295" t="s">
        <v>843</v>
      </c>
      <c r="C295" s="1">
        <v>46029.262812499997</v>
      </c>
      <c r="D295">
        <v>586.64</v>
      </c>
      <c r="E295" t="s">
        <v>25</v>
      </c>
      <c r="F295" t="s">
        <v>20</v>
      </c>
      <c r="G295" t="s">
        <v>30</v>
      </c>
      <c r="H295" t="s">
        <v>844</v>
      </c>
      <c r="I295" t="s">
        <v>3376</v>
      </c>
      <c r="J295" t="s">
        <v>3034</v>
      </c>
      <c r="K295" s="1">
        <v>46029.269756944443</v>
      </c>
      <c r="L295">
        <v>586.64</v>
      </c>
      <c r="M295">
        <v>17.309999999999999</v>
      </c>
      <c r="N295">
        <v>569.33000000000004</v>
      </c>
      <c r="O295" t="s">
        <v>25</v>
      </c>
      <c r="P295" t="s">
        <v>3048</v>
      </c>
      <c r="Q295" t="s">
        <v>3036</v>
      </c>
      <c r="R295" t="s">
        <v>4977</v>
      </c>
      <c r="S295" t="s">
        <v>4992</v>
      </c>
      <c r="T295" t="s">
        <v>4992</v>
      </c>
    </row>
    <row r="296" spans="1:20" x14ac:dyDescent="0.25">
      <c r="A296" t="s">
        <v>842</v>
      </c>
      <c r="B296" t="s">
        <v>843</v>
      </c>
      <c r="C296" s="1">
        <v>46029.262812499997</v>
      </c>
      <c r="D296">
        <v>586.64</v>
      </c>
      <c r="E296" t="s">
        <v>25</v>
      </c>
      <c r="F296" t="s">
        <v>20</v>
      </c>
      <c r="G296" t="s">
        <v>30</v>
      </c>
      <c r="H296" t="s">
        <v>844</v>
      </c>
      <c r="I296" t="s">
        <v>3377</v>
      </c>
      <c r="J296" t="s">
        <v>3034</v>
      </c>
      <c r="K296" s="1">
        <v>46029.270451388889</v>
      </c>
      <c r="L296">
        <v>586.64</v>
      </c>
      <c r="M296">
        <v>17.309999999999999</v>
      </c>
      <c r="N296">
        <v>569.33000000000004</v>
      </c>
      <c r="O296" t="s">
        <v>25</v>
      </c>
      <c r="P296" t="s">
        <v>3048</v>
      </c>
      <c r="Q296" t="s">
        <v>3036</v>
      </c>
      <c r="R296" t="s">
        <v>4977</v>
      </c>
      <c r="S296" t="s">
        <v>4992</v>
      </c>
      <c r="T296" t="s">
        <v>4992</v>
      </c>
    </row>
    <row r="297" spans="1:20" x14ac:dyDescent="0.25">
      <c r="A297" t="s">
        <v>845</v>
      </c>
      <c r="B297" t="s">
        <v>846</v>
      </c>
      <c r="C297" s="1">
        <v>46030.373506944445</v>
      </c>
      <c r="D297">
        <v>870.35</v>
      </c>
      <c r="E297" t="s">
        <v>25</v>
      </c>
      <c r="F297" t="s">
        <v>20</v>
      </c>
      <c r="G297" t="s">
        <v>21</v>
      </c>
      <c r="H297" t="s">
        <v>847</v>
      </c>
      <c r="I297" t="s">
        <v>3378</v>
      </c>
      <c r="J297" t="s">
        <v>3034</v>
      </c>
      <c r="K297" s="1">
        <v>46030.38045138889</v>
      </c>
      <c r="L297">
        <v>870.35</v>
      </c>
      <c r="M297">
        <v>25.54</v>
      </c>
      <c r="N297">
        <v>844.81</v>
      </c>
      <c r="O297" t="s">
        <v>25</v>
      </c>
      <c r="P297" t="s">
        <v>3050</v>
      </c>
      <c r="Q297" t="s">
        <v>3036</v>
      </c>
      <c r="R297" t="s">
        <v>4977</v>
      </c>
      <c r="S297" t="s">
        <v>4992</v>
      </c>
      <c r="T297" t="s">
        <v>4992</v>
      </c>
    </row>
    <row r="298" spans="1:20" x14ac:dyDescent="0.25">
      <c r="A298" t="s">
        <v>848</v>
      </c>
      <c r="B298" t="s">
        <v>849</v>
      </c>
      <c r="C298" s="1">
        <v>46031.467743055553</v>
      </c>
      <c r="D298">
        <v>1388.97</v>
      </c>
      <c r="E298" t="s">
        <v>25</v>
      </c>
      <c r="F298" t="s">
        <v>20</v>
      </c>
      <c r="G298" t="s">
        <v>26</v>
      </c>
      <c r="H298" t="s">
        <v>850</v>
      </c>
      <c r="I298" t="s">
        <v>3379</v>
      </c>
      <c r="J298" t="s">
        <v>3034</v>
      </c>
      <c r="K298" s="1">
        <v>46031.474687499998</v>
      </c>
      <c r="L298">
        <v>1388.97</v>
      </c>
      <c r="M298">
        <v>40.58</v>
      </c>
      <c r="N298">
        <v>1348.39</v>
      </c>
      <c r="O298" t="s">
        <v>25</v>
      </c>
      <c r="P298" t="s">
        <v>3052</v>
      </c>
      <c r="Q298" t="s">
        <v>3036</v>
      </c>
      <c r="R298" t="s">
        <v>4977</v>
      </c>
      <c r="S298" t="s">
        <v>4992</v>
      </c>
      <c r="T298" t="s">
        <v>4992</v>
      </c>
    </row>
    <row r="299" spans="1:20" x14ac:dyDescent="0.25">
      <c r="A299" t="s">
        <v>851</v>
      </c>
      <c r="B299" t="s">
        <v>852</v>
      </c>
      <c r="C299" s="1">
        <v>46032.53465277778</v>
      </c>
      <c r="D299">
        <v>936.66</v>
      </c>
      <c r="E299" t="s">
        <v>25</v>
      </c>
      <c r="F299" t="s">
        <v>20</v>
      </c>
      <c r="G299" t="s">
        <v>30</v>
      </c>
      <c r="H299" t="s">
        <v>853</v>
      </c>
      <c r="I299" t="s">
        <v>3380</v>
      </c>
      <c r="J299" t="s">
        <v>3034</v>
      </c>
      <c r="K299" s="1">
        <v>46032.541597222225</v>
      </c>
      <c r="L299">
        <v>936.66</v>
      </c>
      <c r="M299">
        <v>27.46</v>
      </c>
      <c r="N299">
        <v>909.2</v>
      </c>
      <c r="O299" t="s">
        <v>25</v>
      </c>
      <c r="P299" t="s">
        <v>3079</v>
      </c>
      <c r="Q299" t="s">
        <v>3036</v>
      </c>
      <c r="R299" t="s">
        <v>4977</v>
      </c>
      <c r="S299" t="s">
        <v>4992</v>
      </c>
      <c r="T299" t="s">
        <v>4992</v>
      </c>
    </row>
    <row r="300" spans="1:20" x14ac:dyDescent="0.25">
      <c r="A300" t="s">
        <v>854</v>
      </c>
      <c r="B300" t="s">
        <v>855</v>
      </c>
      <c r="C300" s="1">
        <v>46033.6409375</v>
      </c>
      <c r="D300">
        <v>1732.21</v>
      </c>
      <c r="E300" t="s">
        <v>25</v>
      </c>
      <c r="F300" t="s">
        <v>20</v>
      </c>
      <c r="G300" t="s">
        <v>21</v>
      </c>
      <c r="H300" t="s">
        <v>856</v>
      </c>
      <c r="I300" t="s">
        <v>3381</v>
      </c>
      <c r="J300" t="s">
        <v>3034</v>
      </c>
      <c r="K300" s="1">
        <v>46033.647881944446</v>
      </c>
      <c r="L300">
        <v>1732.21</v>
      </c>
      <c r="M300">
        <v>50.53</v>
      </c>
      <c r="N300">
        <v>1681.68</v>
      </c>
      <c r="O300" t="s">
        <v>25</v>
      </c>
      <c r="P300" t="s">
        <v>3081</v>
      </c>
      <c r="Q300" t="s">
        <v>3036</v>
      </c>
      <c r="R300" t="s">
        <v>4977</v>
      </c>
      <c r="S300" t="s">
        <v>4992</v>
      </c>
      <c r="T300" t="s">
        <v>4992</v>
      </c>
    </row>
    <row r="301" spans="1:20" x14ac:dyDescent="0.25">
      <c r="A301" t="s">
        <v>857</v>
      </c>
      <c r="B301" t="s">
        <v>858</v>
      </c>
      <c r="C301" s="1">
        <v>46034.73065972222</v>
      </c>
      <c r="D301">
        <v>1770.82</v>
      </c>
      <c r="E301" t="s">
        <v>25</v>
      </c>
      <c r="F301" t="s">
        <v>20</v>
      </c>
      <c r="G301" t="s">
        <v>26</v>
      </c>
      <c r="H301" t="s">
        <v>859</v>
      </c>
      <c r="I301" t="s">
        <v>3382</v>
      </c>
      <c r="J301" t="s">
        <v>3034</v>
      </c>
      <c r="K301" s="1">
        <v>46034.737604166665</v>
      </c>
      <c r="L301">
        <v>1770.82</v>
      </c>
      <c r="M301">
        <v>51.65</v>
      </c>
      <c r="N301">
        <v>1719.17</v>
      </c>
      <c r="O301" t="s">
        <v>25</v>
      </c>
      <c r="P301" t="s">
        <v>3058</v>
      </c>
      <c r="Q301" t="s">
        <v>3036</v>
      </c>
      <c r="R301" t="s">
        <v>4977</v>
      </c>
      <c r="S301" t="s">
        <v>4992</v>
      </c>
      <c r="T301" t="s">
        <v>4992</v>
      </c>
    </row>
    <row r="302" spans="1:20" x14ac:dyDescent="0.25">
      <c r="A302" t="s">
        <v>860</v>
      </c>
      <c r="B302" t="s">
        <v>861</v>
      </c>
      <c r="C302" s="1">
        <v>46035.841458333336</v>
      </c>
      <c r="D302">
        <v>1558.99</v>
      </c>
      <c r="E302" t="s">
        <v>25</v>
      </c>
      <c r="F302" t="s">
        <v>20</v>
      </c>
      <c r="G302" t="s">
        <v>30</v>
      </c>
      <c r="H302" t="s">
        <v>862</v>
      </c>
      <c r="I302" t="s">
        <v>3383</v>
      </c>
      <c r="J302" t="s">
        <v>3034</v>
      </c>
      <c r="K302" s="1">
        <v>46035.848402777781</v>
      </c>
      <c r="L302">
        <v>1558.99</v>
      </c>
      <c r="M302">
        <v>45.51</v>
      </c>
      <c r="N302">
        <v>1513.48</v>
      </c>
      <c r="O302" t="s">
        <v>25</v>
      </c>
      <c r="P302" t="s">
        <v>3060</v>
      </c>
      <c r="Q302" t="s">
        <v>3036</v>
      </c>
      <c r="R302" t="s">
        <v>4977</v>
      </c>
      <c r="S302" t="s">
        <v>4992</v>
      </c>
      <c r="T302" t="s">
        <v>4992</v>
      </c>
    </row>
    <row r="303" spans="1:20" x14ac:dyDescent="0.25">
      <c r="A303" t="s">
        <v>863</v>
      </c>
      <c r="B303" t="s">
        <v>864</v>
      </c>
      <c r="C303" s="1">
        <v>46036.903263888889</v>
      </c>
      <c r="D303">
        <v>959.99</v>
      </c>
      <c r="E303" t="s">
        <v>52</v>
      </c>
      <c r="F303" t="s">
        <v>20</v>
      </c>
      <c r="G303" t="s">
        <v>21</v>
      </c>
      <c r="H303" t="s">
        <v>865</v>
      </c>
      <c r="I303" t="s">
        <v>3384</v>
      </c>
      <c r="J303" t="s">
        <v>3034</v>
      </c>
      <c r="K303" s="1">
        <v>46036.910208333335</v>
      </c>
      <c r="L303">
        <v>959.99</v>
      </c>
      <c r="M303">
        <v>28.14</v>
      </c>
      <c r="N303">
        <v>931.85</v>
      </c>
      <c r="O303" t="s">
        <v>52</v>
      </c>
      <c r="P303" t="s">
        <v>3385</v>
      </c>
      <c r="Q303" t="s">
        <v>3036</v>
      </c>
      <c r="R303" t="s">
        <v>4977</v>
      </c>
      <c r="S303" t="s">
        <v>4992</v>
      </c>
      <c r="T303" t="s">
        <v>4992</v>
      </c>
    </row>
    <row r="304" spans="1:20" x14ac:dyDescent="0.25">
      <c r="A304" t="s">
        <v>866</v>
      </c>
      <c r="B304" t="s">
        <v>867</v>
      </c>
      <c r="C304" s="1">
        <v>46023.98709490741</v>
      </c>
      <c r="D304">
        <v>537.38</v>
      </c>
      <c r="E304" t="s">
        <v>19</v>
      </c>
      <c r="F304" t="s">
        <v>20</v>
      </c>
      <c r="G304" t="s">
        <v>26</v>
      </c>
      <c r="H304" t="s">
        <v>868</v>
      </c>
      <c r="I304" t="s">
        <v>3386</v>
      </c>
      <c r="J304" t="s">
        <v>3034</v>
      </c>
      <c r="K304" s="1">
        <v>46023.994039351855</v>
      </c>
      <c r="L304">
        <v>537.38</v>
      </c>
      <c r="M304">
        <v>15.88</v>
      </c>
      <c r="N304">
        <v>521.5</v>
      </c>
      <c r="O304" t="s">
        <v>19</v>
      </c>
      <c r="P304" t="s">
        <v>3035</v>
      </c>
      <c r="Q304" t="s">
        <v>3036</v>
      </c>
      <c r="R304" t="s">
        <v>4977</v>
      </c>
      <c r="S304" t="s">
        <v>4992</v>
      </c>
      <c r="T304" t="s">
        <v>4992</v>
      </c>
    </row>
    <row r="305" spans="1:20" x14ac:dyDescent="0.25">
      <c r="A305" t="s">
        <v>869</v>
      </c>
      <c r="B305" t="s">
        <v>870</v>
      </c>
      <c r="C305" s="1">
        <v>46025.106631944444</v>
      </c>
      <c r="D305">
        <v>1372.7</v>
      </c>
      <c r="E305" t="s">
        <v>25</v>
      </c>
      <c r="F305" t="s">
        <v>20</v>
      </c>
      <c r="G305" t="s">
        <v>30</v>
      </c>
      <c r="H305" t="s">
        <v>871</v>
      </c>
      <c r="I305" t="s">
        <v>3387</v>
      </c>
      <c r="J305" t="s">
        <v>3034</v>
      </c>
      <c r="K305" s="1">
        <v>46025.113576388889</v>
      </c>
      <c r="L305">
        <v>1372.7</v>
      </c>
      <c r="M305">
        <v>40.11</v>
      </c>
      <c r="N305">
        <v>1332.59</v>
      </c>
      <c r="O305" t="s">
        <v>25</v>
      </c>
      <c r="P305" t="s">
        <v>3388</v>
      </c>
      <c r="Q305" t="s">
        <v>3036</v>
      </c>
      <c r="R305" t="s">
        <v>4977</v>
      </c>
      <c r="S305" t="s">
        <v>4992</v>
      </c>
      <c r="T305" t="s">
        <v>4992</v>
      </c>
    </row>
    <row r="306" spans="1:20" x14ac:dyDescent="0.25">
      <c r="A306" t="s">
        <v>872</v>
      </c>
      <c r="B306" t="s">
        <v>873</v>
      </c>
      <c r="C306" s="1">
        <v>46026.19908564815</v>
      </c>
      <c r="D306">
        <v>782.74</v>
      </c>
      <c r="E306" t="s">
        <v>25</v>
      </c>
      <c r="F306" t="s">
        <v>20</v>
      </c>
      <c r="G306" t="s">
        <v>21</v>
      </c>
      <c r="H306" t="s">
        <v>874</v>
      </c>
      <c r="I306" t="s">
        <v>3389</v>
      </c>
      <c r="J306" t="s">
        <v>3034</v>
      </c>
      <c r="K306" s="1">
        <v>46026.206030092595</v>
      </c>
      <c r="L306">
        <v>782.74</v>
      </c>
      <c r="M306">
        <v>23</v>
      </c>
      <c r="N306">
        <v>759.74</v>
      </c>
      <c r="O306" t="s">
        <v>25</v>
      </c>
      <c r="P306" t="s">
        <v>3040</v>
      </c>
      <c r="Q306" t="s">
        <v>3036</v>
      </c>
      <c r="R306" t="s">
        <v>4977</v>
      </c>
      <c r="S306" t="s">
        <v>4992</v>
      </c>
      <c r="T306" t="s">
        <v>4992</v>
      </c>
    </row>
    <row r="307" spans="1:20" x14ac:dyDescent="0.25">
      <c r="A307" t="s">
        <v>875</v>
      </c>
      <c r="B307" t="s">
        <v>876</v>
      </c>
      <c r="C307" s="1">
        <v>46026.264849537038</v>
      </c>
      <c r="D307">
        <v>2256.85</v>
      </c>
      <c r="E307" t="s">
        <v>25</v>
      </c>
      <c r="F307" t="s">
        <v>20</v>
      </c>
      <c r="G307" t="s">
        <v>26</v>
      </c>
      <c r="H307" t="s">
        <v>877</v>
      </c>
      <c r="I307" t="s">
        <v>3390</v>
      </c>
      <c r="J307" t="s">
        <v>3034</v>
      </c>
      <c r="K307" s="1">
        <v>46026.271793981483</v>
      </c>
      <c r="L307">
        <v>2256.85</v>
      </c>
      <c r="M307">
        <v>65.75</v>
      </c>
      <c r="N307">
        <v>2191.1</v>
      </c>
      <c r="O307" t="s">
        <v>25</v>
      </c>
      <c r="P307" t="s">
        <v>3042</v>
      </c>
      <c r="Q307" t="s">
        <v>3036</v>
      </c>
      <c r="R307" t="s">
        <v>4977</v>
      </c>
      <c r="S307" t="s">
        <v>4992</v>
      </c>
      <c r="T307" t="s">
        <v>4992</v>
      </c>
    </row>
    <row r="308" spans="1:20" x14ac:dyDescent="0.25">
      <c r="A308" t="s">
        <v>878</v>
      </c>
      <c r="B308" t="s">
        <v>879</v>
      </c>
      <c r="C308" s="1">
        <v>46027.379710648151</v>
      </c>
      <c r="D308">
        <v>2248</v>
      </c>
      <c r="E308" t="s">
        <v>25</v>
      </c>
      <c r="F308" t="s">
        <v>20</v>
      </c>
      <c r="G308" t="s">
        <v>30</v>
      </c>
      <c r="H308" t="s">
        <v>880</v>
      </c>
      <c r="I308" t="s">
        <v>3391</v>
      </c>
      <c r="J308" t="s">
        <v>3034</v>
      </c>
      <c r="K308" s="1">
        <v>46027.386655092596</v>
      </c>
      <c r="L308">
        <v>2248</v>
      </c>
      <c r="M308">
        <v>65.489999999999995</v>
      </c>
      <c r="N308">
        <v>2182.5100000000002</v>
      </c>
      <c r="O308" t="s">
        <v>25</v>
      </c>
      <c r="P308" t="s">
        <v>3068</v>
      </c>
      <c r="Q308" t="s">
        <v>3036</v>
      </c>
      <c r="R308" t="s">
        <v>4977</v>
      </c>
      <c r="S308" t="s">
        <v>4992</v>
      </c>
      <c r="T308" t="s">
        <v>4992</v>
      </c>
    </row>
    <row r="309" spans="1:20" x14ac:dyDescent="0.25">
      <c r="A309" t="s">
        <v>878</v>
      </c>
      <c r="B309" t="s">
        <v>879</v>
      </c>
      <c r="C309" s="1">
        <v>46027.379710648151</v>
      </c>
      <c r="D309">
        <v>2248</v>
      </c>
      <c r="E309" t="s">
        <v>25</v>
      </c>
      <c r="F309" t="s">
        <v>20</v>
      </c>
      <c r="G309" t="s">
        <v>30</v>
      </c>
      <c r="H309" t="s">
        <v>880</v>
      </c>
      <c r="I309" t="s">
        <v>3392</v>
      </c>
      <c r="J309" t="s">
        <v>3034</v>
      </c>
      <c r="K309" s="1">
        <v>46027.387349537035</v>
      </c>
      <c r="L309">
        <v>2248</v>
      </c>
      <c r="M309">
        <v>65.489999999999995</v>
      </c>
      <c r="N309">
        <v>2182.5100000000002</v>
      </c>
      <c r="O309" t="s">
        <v>25</v>
      </c>
      <c r="P309" t="s">
        <v>3068</v>
      </c>
      <c r="Q309" t="s">
        <v>3036</v>
      </c>
      <c r="R309" t="s">
        <v>4977</v>
      </c>
      <c r="S309" t="s">
        <v>4992</v>
      </c>
      <c r="T309" t="s">
        <v>4992</v>
      </c>
    </row>
    <row r="310" spans="1:20" x14ac:dyDescent="0.25">
      <c r="A310" t="s">
        <v>881</v>
      </c>
      <c r="B310" t="s">
        <v>882</v>
      </c>
      <c r="C310" s="1">
        <v>46028.44332175926</v>
      </c>
      <c r="D310">
        <v>1855.63</v>
      </c>
      <c r="E310" t="s">
        <v>25</v>
      </c>
      <c r="F310" t="s">
        <v>20</v>
      </c>
      <c r="G310" t="s">
        <v>21</v>
      </c>
      <c r="H310" t="s">
        <v>883</v>
      </c>
      <c r="I310" t="s">
        <v>3393</v>
      </c>
      <c r="J310" t="s">
        <v>3034</v>
      </c>
      <c r="K310" s="1">
        <v>46028.450266203705</v>
      </c>
      <c r="L310">
        <v>1855.63</v>
      </c>
      <c r="M310">
        <v>54.11</v>
      </c>
      <c r="N310">
        <v>1801.52</v>
      </c>
      <c r="O310" t="s">
        <v>25</v>
      </c>
      <c r="P310" t="s">
        <v>3046</v>
      </c>
      <c r="Q310" t="s">
        <v>3036</v>
      </c>
      <c r="R310" t="s">
        <v>4977</v>
      </c>
      <c r="S310" t="s">
        <v>4992</v>
      </c>
      <c r="T310" t="s">
        <v>4992</v>
      </c>
    </row>
    <row r="311" spans="1:20" x14ac:dyDescent="0.25">
      <c r="A311" t="s">
        <v>884</v>
      </c>
      <c r="B311" t="s">
        <v>885</v>
      </c>
      <c r="C311" s="1">
        <v>46029.571712962963</v>
      </c>
      <c r="D311">
        <v>821.57</v>
      </c>
      <c r="E311" t="s">
        <v>25</v>
      </c>
      <c r="F311" t="s">
        <v>20</v>
      </c>
      <c r="G311" t="s">
        <v>26</v>
      </c>
      <c r="H311" t="s">
        <v>886</v>
      </c>
      <c r="I311" t="s">
        <v>3394</v>
      </c>
      <c r="J311" t="s">
        <v>3034</v>
      </c>
      <c r="K311" s="1">
        <v>46029.578657407408</v>
      </c>
      <c r="L311">
        <v>821.57</v>
      </c>
      <c r="M311">
        <v>24.13</v>
      </c>
      <c r="N311">
        <v>797.44</v>
      </c>
      <c r="O311" t="s">
        <v>25</v>
      </c>
      <c r="P311" t="s">
        <v>3048</v>
      </c>
      <c r="Q311" t="s">
        <v>3036</v>
      </c>
      <c r="R311" t="s">
        <v>4977</v>
      </c>
      <c r="S311" t="s">
        <v>4992</v>
      </c>
      <c r="T311" t="s">
        <v>4992</v>
      </c>
    </row>
    <row r="312" spans="1:20" x14ac:dyDescent="0.25">
      <c r="A312" t="s">
        <v>887</v>
      </c>
      <c r="B312" t="s">
        <v>888</v>
      </c>
      <c r="C312" s="1">
        <v>46030.649930555555</v>
      </c>
      <c r="D312">
        <v>1377.95</v>
      </c>
      <c r="E312" t="s">
        <v>25</v>
      </c>
      <c r="F312" t="s">
        <v>20</v>
      </c>
      <c r="G312" t="s">
        <v>30</v>
      </c>
      <c r="H312" t="s">
        <v>889</v>
      </c>
      <c r="I312" t="s">
        <v>3395</v>
      </c>
      <c r="J312" t="s">
        <v>3034</v>
      </c>
      <c r="K312" s="1">
        <v>46030.656875000001</v>
      </c>
      <c r="L312">
        <v>1377.95</v>
      </c>
      <c r="M312">
        <v>40.26</v>
      </c>
      <c r="N312">
        <v>1337.69</v>
      </c>
      <c r="O312" t="s">
        <v>25</v>
      </c>
      <c r="P312" t="s">
        <v>3050</v>
      </c>
      <c r="Q312" t="s">
        <v>3036</v>
      </c>
      <c r="R312" t="s">
        <v>4977</v>
      </c>
      <c r="S312" t="s">
        <v>4992</v>
      </c>
      <c r="T312" t="s">
        <v>4992</v>
      </c>
    </row>
    <row r="313" spans="1:20" x14ac:dyDescent="0.25">
      <c r="A313" t="s">
        <v>890</v>
      </c>
      <c r="B313" t="s">
        <v>891</v>
      </c>
      <c r="C313" s="1">
        <v>46031.722986111112</v>
      </c>
      <c r="D313">
        <v>1166.75</v>
      </c>
      <c r="E313" t="s">
        <v>25</v>
      </c>
      <c r="F313" t="s">
        <v>20</v>
      </c>
      <c r="G313" t="s">
        <v>21</v>
      </c>
      <c r="H313" t="s">
        <v>892</v>
      </c>
      <c r="I313" t="s">
        <v>3396</v>
      </c>
      <c r="J313" t="s">
        <v>3034</v>
      </c>
      <c r="K313" s="1">
        <v>46031.729930555557</v>
      </c>
      <c r="L313">
        <v>1166.75</v>
      </c>
      <c r="M313">
        <v>34.14</v>
      </c>
      <c r="N313">
        <v>1132.6099999999999</v>
      </c>
      <c r="O313" t="s">
        <v>25</v>
      </c>
      <c r="P313" t="s">
        <v>3052</v>
      </c>
      <c r="Q313" t="s">
        <v>3036</v>
      </c>
      <c r="R313" t="s">
        <v>4977</v>
      </c>
      <c r="S313" t="s">
        <v>4992</v>
      </c>
      <c r="T313" t="s">
        <v>4992</v>
      </c>
    </row>
    <row r="314" spans="1:20" x14ac:dyDescent="0.25">
      <c r="A314" t="s">
        <v>893</v>
      </c>
      <c r="B314" t="s">
        <v>894</v>
      </c>
      <c r="C314" s="1">
        <v>46032.825682870367</v>
      </c>
      <c r="D314">
        <v>263.57</v>
      </c>
      <c r="E314" t="s">
        <v>52</v>
      </c>
      <c r="F314" t="s">
        <v>20</v>
      </c>
      <c r="G314" t="s">
        <v>26</v>
      </c>
      <c r="H314" t="s">
        <v>895</v>
      </c>
      <c r="I314" t="s">
        <v>3397</v>
      </c>
      <c r="J314" t="s">
        <v>3034</v>
      </c>
      <c r="K314" s="1">
        <v>46032.832627314812</v>
      </c>
      <c r="L314">
        <v>263.57</v>
      </c>
      <c r="M314">
        <v>7.94</v>
      </c>
      <c r="N314">
        <v>255.63</v>
      </c>
      <c r="O314" t="s">
        <v>52</v>
      </c>
      <c r="P314" t="s">
        <v>3054</v>
      </c>
      <c r="Q314" t="s">
        <v>3036</v>
      </c>
      <c r="R314" t="s">
        <v>4977</v>
      </c>
      <c r="S314" t="s">
        <v>4992</v>
      </c>
      <c r="T314" t="s">
        <v>4992</v>
      </c>
    </row>
    <row r="315" spans="1:20" x14ac:dyDescent="0.25">
      <c r="A315" t="s">
        <v>896</v>
      </c>
      <c r="B315" t="s">
        <v>897</v>
      </c>
      <c r="C315" s="1">
        <v>46033.91914351852</v>
      </c>
      <c r="D315">
        <v>574</v>
      </c>
      <c r="E315" t="s">
        <v>19</v>
      </c>
      <c r="F315" t="s">
        <v>20</v>
      </c>
      <c r="G315" t="s">
        <v>30</v>
      </c>
      <c r="H315" t="s">
        <v>898</v>
      </c>
      <c r="I315" t="s">
        <v>3398</v>
      </c>
      <c r="J315" t="s">
        <v>3034</v>
      </c>
      <c r="K315" s="1">
        <v>46033.926087962966</v>
      </c>
      <c r="L315">
        <v>574</v>
      </c>
      <c r="M315">
        <v>16.95</v>
      </c>
      <c r="N315">
        <v>557.04999999999995</v>
      </c>
      <c r="O315" t="s">
        <v>19</v>
      </c>
      <c r="P315" t="s">
        <v>3056</v>
      </c>
      <c r="Q315" t="s">
        <v>3036</v>
      </c>
      <c r="R315" t="s">
        <v>4977</v>
      </c>
      <c r="S315" t="s">
        <v>4992</v>
      </c>
      <c r="T315" t="s">
        <v>4992</v>
      </c>
    </row>
    <row r="316" spans="1:20" x14ac:dyDescent="0.25">
      <c r="A316" t="s">
        <v>899</v>
      </c>
      <c r="B316" t="s">
        <v>900</v>
      </c>
      <c r="C316" s="1">
        <v>46035.030057870368</v>
      </c>
      <c r="D316">
        <v>385.78</v>
      </c>
      <c r="E316" t="s">
        <v>25</v>
      </c>
      <c r="F316" t="s">
        <v>20</v>
      </c>
      <c r="G316" t="s">
        <v>21</v>
      </c>
      <c r="H316" t="s">
        <v>901</v>
      </c>
      <c r="I316" t="s">
        <v>3399</v>
      </c>
      <c r="J316" t="s">
        <v>3034</v>
      </c>
      <c r="K316" s="1">
        <v>46035.037002314813</v>
      </c>
      <c r="L316">
        <v>385.78</v>
      </c>
      <c r="M316">
        <v>11.49</v>
      </c>
      <c r="N316">
        <v>374.29</v>
      </c>
      <c r="O316" t="s">
        <v>25</v>
      </c>
      <c r="P316" t="s">
        <v>3058</v>
      </c>
      <c r="Q316" t="s">
        <v>3036</v>
      </c>
      <c r="R316" t="s">
        <v>4977</v>
      </c>
      <c r="S316" t="s">
        <v>4992</v>
      </c>
      <c r="T316" t="s">
        <v>4992</v>
      </c>
    </row>
    <row r="317" spans="1:20" x14ac:dyDescent="0.25">
      <c r="A317" t="s">
        <v>902</v>
      </c>
      <c r="B317" t="s">
        <v>903</v>
      </c>
      <c r="C317" s="1">
        <v>46036.125219907408</v>
      </c>
      <c r="D317">
        <v>640.36</v>
      </c>
      <c r="E317" t="s">
        <v>25</v>
      </c>
      <c r="F317" t="s">
        <v>20</v>
      </c>
      <c r="G317" t="s">
        <v>26</v>
      </c>
      <c r="H317" t="s">
        <v>904</v>
      </c>
      <c r="I317" t="s">
        <v>3400</v>
      </c>
      <c r="J317" t="s">
        <v>3034</v>
      </c>
      <c r="K317" s="1">
        <v>46036.132164351853</v>
      </c>
      <c r="L317">
        <v>640.36</v>
      </c>
      <c r="M317">
        <v>18.87</v>
      </c>
      <c r="N317">
        <v>621.49</v>
      </c>
      <c r="O317" t="s">
        <v>25</v>
      </c>
      <c r="P317" t="s">
        <v>3060</v>
      </c>
      <c r="Q317" t="s">
        <v>3036</v>
      </c>
      <c r="R317" t="s">
        <v>4977</v>
      </c>
      <c r="S317" t="s">
        <v>4992</v>
      </c>
      <c r="T317" t="s">
        <v>4992</v>
      </c>
    </row>
    <row r="318" spans="1:20" x14ac:dyDescent="0.25">
      <c r="A318" t="s">
        <v>905</v>
      </c>
      <c r="B318" t="s">
        <v>906</v>
      </c>
      <c r="C318" s="1">
        <v>46037.191724537035</v>
      </c>
      <c r="D318">
        <v>1855.44</v>
      </c>
      <c r="E318" t="s">
        <v>25</v>
      </c>
      <c r="F318" t="s">
        <v>20</v>
      </c>
      <c r="G318" t="s">
        <v>30</v>
      </c>
      <c r="H318" t="s">
        <v>907</v>
      </c>
      <c r="I318" t="s">
        <v>3401</v>
      </c>
      <c r="J318" t="s">
        <v>3034</v>
      </c>
      <c r="K318" s="1">
        <v>46037.19866898148</v>
      </c>
      <c r="L318">
        <v>1855.44</v>
      </c>
      <c r="M318">
        <v>54.11</v>
      </c>
      <c r="N318">
        <v>1801.33</v>
      </c>
      <c r="O318" t="s">
        <v>25</v>
      </c>
      <c r="P318" t="s">
        <v>3062</v>
      </c>
      <c r="Q318" t="s">
        <v>3036</v>
      </c>
      <c r="R318" t="s">
        <v>4977</v>
      </c>
      <c r="S318" t="s">
        <v>4992</v>
      </c>
      <c r="T318" t="s">
        <v>4992</v>
      </c>
    </row>
    <row r="319" spans="1:20" x14ac:dyDescent="0.25">
      <c r="A319" t="s">
        <v>908</v>
      </c>
      <c r="B319" t="s">
        <v>909</v>
      </c>
      <c r="C319" s="1">
        <v>46023.273333333331</v>
      </c>
      <c r="D319">
        <v>2282.7800000000002</v>
      </c>
      <c r="E319" t="s">
        <v>25</v>
      </c>
      <c r="F319" t="s">
        <v>429</v>
      </c>
      <c r="G319" t="s">
        <v>21</v>
      </c>
      <c r="H319" t="s">
        <v>910</v>
      </c>
      <c r="I319" t="s">
        <v>3402</v>
      </c>
      <c r="J319" t="s">
        <v>3034</v>
      </c>
      <c r="K319" s="1">
        <v>46023.280277777776</v>
      </c>
      <c r="L319">
        <v>2282.7800000000002</v>
      </c>
      <c r="M319">
        <v>66.5</v>
      </c>
      <c r="N319">
        <v>2216.2800000000002</v>
      </c>
      <c r="O319" t="s">
        <v>25</v>
      </c>
      <c r="P319" t="s">
        <v>3064</v>
      </c>
      <c r="Q319" t="s">
        <v>3036</v>
      </c>
      <c r="R319" t="s">
        <v>4977</v>
      </c>
      <c r="S319" t="s">
        <v>4992</v>
      </c>
      <c r="T319" t="s">
        <v>4992</v>
      </c>
    </row>
    <row r="320" spans="1:20" x14ac:dyDescent="0.25">
      <c r="A320" t="s">
        <v>908</v>
      </c>
      <c r="B320" t="s">
        <v>909</v>
      </c>
      <c r="C320" s="1">
        <v>46023.273333333331</v>
      </c>
      <c r="D320">
        <v>2282.7800000000002</v>
      </c>
      <c r="E320" t="s">
        <v>25</v>
      </c>
      <c r="F320" t="s">
        <v>429</v>
      </c>
      <c r="G320" t="s">
        <v>21</v>
      </c>
      <c r="H320" t="s">
        <v>910</v>
      </c>
      <c r="I320" t="s">
        <v>3403</v>
      </c>
      <c r="J320" t="s">
        <v>3076</v>
      </c>
      <c r="K320" s="1">
        <v>46024.273333333331</v>
      </c>
      <c r="L320">
        <v>-2282.7800000000002</v>
      </c>
      <c r="M320">
        <v>0</v>
      </c>
      <c r="N320">
        <v>-2282.7800000000002</v>
      </c>
      <c r="O320" t="s">
        <v>25</v>
      </c>
      <c r="P320" t="s">
        <v>3404</v>
      </c>
      <c r="Q320" t="s">
        <v>3036</v>
      </c>
      <c r="R320" t="s">
        <v>4977</v>
      </c>
      <c r="S320" t="s">
        <v>4991</v>
      </c>
      <c r="T320" t="s">
        <v>4992</v>
      </c>
    </row>
    <row r="321" spans="1:20" x14ac:dyDescent="0.25">
      <c r="A321" t="s">
        <v>911</v>
      </c>
      <c r="B321" t="s">
        <v>912</v>
      </c>
      <c r="C321" s="1">
        <v>46024.366875</v>
      </c>
      <c r="D321">
        <v>1518.35</v>
      </c>
      <c r="E321" t="s">
        <v>25</v>
      </c>
      <c r="F321" t="s">
        <v>20</v>
      </c>
      <c r="G321" t="s">
        <v>26</v>
      </c>
      <c r="H321" t="s">
        <v>913</v>
      </c>
      <c r="I321" t="s">
        <v>3405</v>
      </c>
      <c r="J321" t="s">
        <v>3034</v>
      </c>
      <c r="K321" s="1">
        <v>46024.373819444445</v>
      </c>
      <c r="L321">
        <v>1518.35</v>
      </c>
      <c r="M321">
        <v>44.33</v>
      </c>
      <c r="N321">
        <v>1474.02</v>
      </c>
      <c r="O321" t="s">
        <v>25</v>
      </c>
      <c r="P321" t="s">
        <v>3038</v>
      </c>
      <c r="Q321" t="s">
        <v>3036</v>
      </c>
      <c r="R321" t="s">
        <v>4977</v>
      </c>
      <c r="S321" t="s">
        <v>4992</v>
      </c>
      <c r="T321" t="s">
        <v>4992</v>
      </c>
    </row>
    <row r="322" spans="1:20" x14ac:dyDescent="0.25">
      <c r="A322" t="s">
        <v>914</v>
      </c>
      <c r="B322" t="s">
        <v>915</v>
      </c>
      <c r="C322" s="1">
        <v>46025.459421296298</v>
      </c>
      <c r="D322">
        <v>719.23</v>
      </c>
      <c r="E322" t="s">
        <v>25</v>
      </c>
      <c r="F322" t="s">
        <v>20</v>
      </c>
      <c r="G322" t="s">
        <v>30</v>
      </c>
      <c r="H322" t="s">
        <v>916</v>
      </c>
      <c r="I322" t="s">
        <v>3406</v>
      </c>
      <c r="J322" t="s">
        <v>3034</v>
      </c>
      <c r="K322" s="1">
        <v>46025.466365740744</v>
      </c>
      <c r="L322">
        <v>719.23</v>
      </c>
      <c r="M322">
        <v>21.16</v>
      </c>
      <c r="N322">
        <v>698.07</v>
      </c>
      <c r="O322" t="s">
        <v>25</v>
      </c>
      <c r="P322" t="s">
        <v>3040</v>
      </c>
      <c r="Q322" t="s">
        <v>3036</v>
      </c>
      <c r="R322" t="s">
        <v>4977</v>
      </c>
      <c r="S322" t="s">
        <v>4992</v>
      </c>
      <c r="T322" t="s">
        <v>4992</v>
      </c>
    </row>
    <row r="323" spans="1:20" x14ac:dyDescent="0.25">
      <c r="A323" t="s">
        <v>917</v>
      </c>
      <c r="B323" t="s">
        <v>918</v>
      </c>
      <c r="C323" s="1">
        <v>46026.547511574077</v>
      </c>
      <c r="D323">
        <v>701.11</v>
      </c>
      <c r="E323" t="s">
        <v>25</v>
      </c>
      <c r="F323" t="s">
        <v>20</v>
      </c>
      <c r="G323" t="s">
        <v>21</v>
      </c>
      <c r="H323" t="s">
        <v>919</v>
      </c>
      <c r="I323" t="s">
        <v>3407</v>
      </c>
      <c r="J323" t="s">
        <v>3034</v>
      </c>
      <c r="K323" s="1">
        <v>46026.554456018515</v>
      </c>
      <c r="L323">
        <v>701.11</v>
      </c>
      <c r="M323">
        <v>20.63</v>
      </c>
      <c r="N323">
        <v>680.48</v>
      </c>
      <c r="O323" t="s">
        <v>25</v>
      </c>
      <c r="P323" t="s">
        <v>3042</v>
      </c>
      <c r="Q323" t="s">
        <v>3036</v>
      </c>
      <c r="R323" t="s">
        <v>4977</v>
      </c>
      <c r="S323" t="s">
        <v>4992</v>
      </c>
      <c r="T323" t="s">
        <v>4992</v>
      </c>
    </row>
    <row r="324" spans="1:20" x14ac:dyDescent="0.25">
      <c r="A324" t="s">
        <v>920</v>
      </c>
      <c r="B324" t="s">
        <v>921</v>
      </c>
      <c r="C324" s="1">
        <v>46027.649710648147</v>
      </c>
      <c r="D324">
        <v>1865.59</v>
      </c>
      <c r="E324" t="s">
        <v>25</v>
      </c>
      <c r="F324" t="s">
        <v>20</v>
      </c>
      <c r="G324" t="s">
        <v>26</v>
      </c>
      <c r="H324" t="s">
        <v>922</v>
      </c>
      <c r="I324" t="s">
        <v>3408</v>
      </c>
      <c r="J324" t="s">
        <v>3034</v>
      </c>
      <c r="K324" s="1">
        <v>46027.656655092593</v>
      </c>
      <c r="L324">
        <v>1865.59</v>
      </c>
      <c r="M324">
        <v>54.4</v>
      </c>
      <c r="N324">
        <v>1811.19</v>
      </c>
      <c r="O324" t="s">
        <v>25</v>
      </c>
      <c r="P324" t="s">
        <v>3068</v>
      </c>
      <c r="Q324" t="s">
        <v>3036</v>
      </c>
      <c r="R324" t="s">
        <v>4977</v>
      </c>
      <c r="S324" t="s">
        <v>4992</v>
      </c>
      <c r="T324" t="s">
        <v>4992</v>
      </c>
    </row>
    <row r="325" spans="1:20" x14ac:dyDescent="0.25">
      <c r="A325" t="s">
        <v>923</v>
      </c>
      <c r="B325" t="s">
        <v>924</v>
      </c>
      <c r="C325" s="1">
        <v>46028.731226851851</v>
      </c>
      <c r="D325">
        <v>1508.09</v>
      </c>
      <c r="E325" t="s">
        <v>52</v>
      </c>
      <c r="F325" t="s">
        <v>20</v>
      </c>
      <c r="G325" t="s">
        <v>30</v>
      </c>
      <c r="H325" t="s">
        <v>925</v>
      </c>
      <c r="I325" t="s">
        <v>3409</v>
      </c>
      <c r="J325" t="s">
        <v>3034</v>
      </c>
      <c r="K325" s="1">
        <v>46028.738171296296</v>
      </c>
      <c r="L325">
        <v>1508.09</v>
      </c>
      <c r="M325">
        <v>44.03</v>
      </c>
      <c r="N325">
        <v>1464.06</v>
      </c>
      <c r="O325" t="s">
        <v>52</v>
      </c>
      <c r="P325" t="s">
        <v>3070</v>
      </c>
      <c r="Q325" t="s">
        <v>3036</v>
      </c>
      <c r="R325" t="s">
        <v>4977</v>
      </c>
      <c r="S325" t="s">
        <v>4992</v>
      </c>
      <c r="T325" t="s">
        <v>4992</v>
      </c>
    </row>
    <row r="326" spans="1:20" x14ac:dyDescent="0.25">
      <c r="A326" t="s">
        <v>926</v>
      </c>
      <c r="B326" t="s">
        <v>927</v>
      </c>
      <c r="C326" s="1">
        <v>46029.856296296297</v>
      </c>
      <c r="D326">
        <v>1259.0899999999999</v>
      </c>
      <c r="E326" t="s">
        <v>19</v>
      </c>
      <c r="F326" t="s">
        <v>20</v>
      </c>
      <c r="G326" t="s">
        <v>21</v>
      </c>
      <c r="H326" t="s">
        <v>928</v>
      </c>
      <c r="I326" t="s">
        <v>3410</v>
      </c>
      <c r="J326" t="s">
        <v>3034</v>
      </c>
      <c r="K326" s="1">
        <v>46029.863240740742</v>
      </c>
      <c r="L326">
        <v>1259.0899999999999</v>
      </c>
      <c r="M326">
        <v>36.81</v>
      </c>
      <c r="N326">
        <v>1222.28</v>
      </c>
      <c r="O326" t="s">
        <v>19</v>
      </c>
      <c r="P326" t="s">
        <v>3072</v>
      </c>
      <c r="Q326" t="s">
        <v>3036</v>
      </c>
      <c r="R326" t="s">
        <v>4977</v>
      </c>
      <c r="S326" t="s">
        <v>4992</v>
      </c>
      <c r="T326" t="s">
        <v>4992</v>
      </c>
    </row>
    <row r="327" spans="1:20" x14ac:dyDescent="0.25">
      <c r="A327" t="s">
        <v>926</v>
      </c>
      <c r="B327" t="s">
        <v>927</v>
      </c>
      <c r="C327" s="1">
        <v>46029.856296296297</v>
      </c>
      <c r="D327">
        <v>1259.0899999999999</v>
      </c>
      <c r="E327" t="s">
        <v>19</v>
      </c>
      <c r="F327" t="s">
        <v>20</v>
      </c>
      <c r="G327" t="s">
        <v>21</v>
      </c>
      <c r="H327" t="s">
        <v>928</v>
      </c>
      <c r="I327" t="s">
        <v>3410</v>
      </c>
      <c r="J327" t="s">
        <v>3034</v>
      </c>
      <c r="K327" s="1">
        <v>46029.863240740742</v>
      </c>
      <c r="L327">
        <v>1259.0899999999999</v>
      </c>
      <c r="M327">
        <v>36.81</v>
      </c>
      <c r="N327">
        <v>1222.28</v>
      </c>
      <c r="O327" t="s">
        <v>19</v>
      </c>
      <c r="P327" t="s">
        <v>3072</v>
      </c>
      <c r="Q327" t="s">
        <v>3036</v>
      </c>
      <c r="R327" t="s">
        <v>4977</v>
      </c>
      <c r="S327" t="s">
        <v>4992</v>
      </c>
      <c r="T327" t="s">
        <v>4992</v>
      </c>
    </row>
    <row r="328" spans="1:20" x14ac:dyDescent="0.25">
      <c r="A328" t="s">
        <v>929</v>
      </c>
      <c r="B328" t="s">
        <v>930</v>
      </c>
      <c r="C328" s="1">
        <v>46030.949664351851</v>
      </c>
      <c r="D328">
        <v>2178.96</v>
      </c>
      <c r="E328" t="s">
        <v>25</v>
      </c>
      <c r="F328" t="s">
        <v>20</v>
      </c>
      <c r="G328" t="s">
        <v>26</v>
      </c>
      <c r="H328" t="s">
        <v>931</v>
      </c>
      <c r="I328" t="s">
        <v>3411</v>
      </c>
      <c r="J328" t="s">
        <v>3034</v>
      </c>
      <c r="K328" s="1">
        <v>46030.956608796296</v>
      </c>
      <c r="L328">
        <v>2178.96</v>
      </c>
      <c r="M328">
        <v>63.49</v>
      </c>
      <c r="N328">
        <v>2115.4699999999998</v>
      </c>
      <c r="O328" t="s">
        <v>25</v>
      </c>
      <c r="P328" t="s">
        <v>3050</v>
      </c>
      <c r="Q328" t="s">
        <v>3036</v>
      </c>
      <c r="R328" t="s">
        <v>4977</v>
      </c>
      <c r="S328" t="s">
        <v>4992</v>
      </c>
      <c r="T328" t="s">
        <v>4992</v>
      </c>
    </row>
    <row r="329" spans="1:20" x14ac:dyDescent="0.25">
      <c r="A329" t="s">
        <v>932</v>
      </c>
      <c r="B329" t="s">
        <v>933</v>
      </c>
      <c r="C329" s="1">
        <v>46032.028252314813</v>
      </c>
      <c r="D329">
        <v>2325.39</v>
      </c>
      <c r="E329" t="s">
        <v>25</v>
      </c>
      <c r="F329" t="s">
        <v>20</v>
      </c>
      <c r="G329" t="s">
        <v>30</v>
      </c>
      <c r="H329" t="s">
        <v>934</v>
      </c>
      <c r="I329" t="s">
        <v>3412</v>
      </c>
      <c r="J329" t="s">
        <v>3034</v>
      </c>
      <c r="K329" s="1">
        <v>46032.035196759258</v>
      </c>
      <c r="L329">
        <v>2325.39</v>
      </c>
      <c r="M329">
        <v>67.739999999999995</v>
      </c>
      <c r="N329">
        <v>2257.65</v>
      </c>
      <c r="O329" t="s">
        <v>25</v>
      </c>
      <c r="P329" t="s">
        <v>3052</v>
      </c>
      <c r="Q329" t="s">
        <v>3036</v>
      </c>
      <c r="R329" t="s">
        <v>4977</v>
      </c>
      <c r="S329" t="s">
        <v>4992</v>
      </c>
      <c r="T329" t="s">
        <v>4992</v>
      </c>
    </row>
    <row r="330" spans="1:20" x14ac:dyDescent="0.25">
      <c r="A330" t="s">
        <v>932</v>
      </c>
      <c r="B330" t="s">
        <v>933</v>
      </c>
      <c r="C330" s="1">
        <v>46032.028252314813</v>
      </c>
      <c r="D330">
        <v>2325.39</v>
      </c>
      <c r="E330" t="s">
        <v>25</v>
      </c>
      <c r="F330" t="s">
        <v>20</v>
      </c>
      <c r="G330" t="s">
        <v>30</v>
      </c>
      <c r="H330" t="s">
        <v>934</v>
      </c>
      <c r="I330" t="s">
        <v>3412</v>
      </c>
      <c r="J330" t="s">
        <v>3034</v>
      </c>
      <c r="K330" s="1">
        <v>46032.035196759258</v>
      </c>
      <c r="L330">
        <v>2325.39</v>
      </c>
      <c r="M330">
        <v>67.739999999999995</v>
      </c>
      <c r="N330">
        <v>2257.65</v>
      </c>
      <c r="O330" t="s">
        <v>25</v>
      </c>
      <c r="P330" t="s">
        <v>3052</v>
      </c>
      <c r="Q330" t="s">
        <v>3036</v>
      </c>
      <c r="R330" t="s">
        <v>4977</v>
      </c>
      <c r="S330" t="s">
        <v>4992</v>
      </c>
      <c r="T330" t="s">
        <v>4992</v>
      </c>
    </row>
    <row r="331" spans="1:20" x14ac:dyDescent="0.25">
      <c r="A331" t="s">
        <v>935</v>
      </c>
      <c r="B331" t="s">
        <v>936</v>
      </c>
      <c r="C331" s="1">
        <v>46033.118622685186</v>
      </c>
      <c r="D331">
        <v>7.53</v>
      </c>
      <c r="E331" t="s">
        <v>25</v>
      </c>
      <c r="F331" t="s">
        <v>20</v>
      </c>
      <c r="G331" t="s">
        <v>21</v>
      </c>
      <c r="H331" t="s">
        <v>937</v>
      </c>
      <c r="I331" t="s">
        <v>3413</v>
      </c>
      <c r="J331" t="s">
        <v>3034</v>
      </c>
      <c r="K331" s="1">
        <v>46033.125567129631</v>
      </c>
      <c r="L331">
        <v>7.53</v>
      </c>
      <c r="M331">
        <v>0.52</v>
      </c>
      <c r="N331">
        <v>7.01</v>
      </c>
      <c r="O331" t="s">
        <v>25</v>
      </c>
      <c r="P331" t="s">
        <v>3414</v>
      </c>
      <c r="Q331" t="s">
        <v>3036</v>
      </c>
      <c r="R331" t="s">
        <v>4977</v>
      </c>
      <c r="S331" t="s">
        <v>4992</v>
      </c>
      <c r="T331" t="s">
        <v>4992</v>
      </c>
    </row>
    <row r="332" spans="1:20" x14ac:dyDescent="0.25">
      <c r="A332" t="s">
        <v>938</v>
      </c>
      <c r="B332" t="s">
        <v>939</v>
      </c>
      <c r="C332" s="1">
        <v>46034.210451388892</v>
      </c>
      <c r="D332">
        <v>1952.91</v>
      </c>
      <c r="E332" t="s">
        <v>25</v>
      </c>
      <c r="F332" t="s">
        <v>20</v>
      </c>
      <c r="G332" t="s">
        <v>26</v>
      </c>
      <c r="H332" t="s">
        <v>940</v>
      </c>
      <c r="I332" t="s">
        <v>3415</v>
      </c>
      <c r="J332" t="s">
        <v>3034</v>
      </c>
      <c r="K332" s="1">
        <v>46034.217395833337</v>
      </c>
      <c r="L332">
        <v>1952.91</v>
      </c>
      <c r="M332">
        <v>56.93</v>
      </c>
      <c r="N332">
        <v>1895.98</v>
      </c>
      <c r="O332" t="s">
        <v>25</v>
      </c>
      <c r="P332" t="s">
        <v>3081</v>
      </c>
      <c r="Q332" t="s">
        <v>3036</v>
      </c>
      <c r="R332" t="s">
        <v>4977</v>
      </c>
      <c r="S332" t="s">
        <v>4992</v>
      </c>
      <c r="T332" t="s">
        <v>4992</v>
      </c>
    </row>
    <row r="333" spans="1:20" x14ac:dyDescent="0.25">
      <c r="A333" t="s">
        <v>941</v>
      </c>
      <c r="B333" t="s">
        <v>942</v>
      </c>
      <c r="C333" s="1">
        <v>46034.287094907406</v>
      </c>
      <c r="D333">
        <v>2013.2</v>
      </c>
      <c r="E333" t="s">
        <v>25</v>
      </c>
      <c r="F333" t="s">
        <v>20</v>
      </c>
      <c r="G333" t="s">
        <v>30</v>
      </c>
      <c r="H333" t="s">
        <v>943</v>
      </c>
      <c r="I333" t="s">
        <v>3416</v>
      </c>
      <c r="J333" t="s">
        <v>3034</v>
      </c>
      <c r="K333" s="1">
        <v>46034.294039351851</v>
      </c>
      <c r="L333">
        <v>2013.2</v>
      </c>
      <c r="M333">
        <v>58.68</v>
      </c>
      <c r="N333">
        <v>1954.52</v>
      </c>
      <c r="O333" t="s">
        <v>25</v>
      </c>
      <c r="P333" t="s">
        <v>3058</v>
      </c>
      <c r="Q333" t="s">
        <v>3036</v>
      </c>
      <c r="R333" t="s">
        <v>4977</v>
      </c>
      <c r="S333" t="s">
        <v>4992</v>
      </c>
      <c r="T333" t="s">
        <v>4992</v>
      </c>
    </row>
    <row r="334" spans="1:20" x14ac:dyDescent="0.25">
      <c r="A334" t="s">
        <v>944</v>
      </c>
      <c r="B334" t="s">
        <v>945</v>
      </c>
      <c r="C334" s="1">
        <v>46035.394444444442</v>
      </c>
      <c r="D334">
        <v>2323.16</v>
      </c>
      <c r="E334" t="s">
        <v>25</v>
      </c>
      <c r="F334" t="s">
        <v>20</v>
      </c>
      <c r="G334" t="s">
        <v>21</v>
      </c>
      <c r="H334" t="s">
        <v>946</v>
      </c>
      <c r="I334" t="s">
        <v>3417</v>
      </c>
      <c r="J334" t="s">
        <v>3034</v>
      </c>
      <c r="K334" s="1">
        <v>46035.401388888888</v>
      </c>
      <c r="L334">
        <v>2323.16</v>
      </c>
      <c r="M334">
        <v>67.67</v>
      </c>
      <c r="N334">
        <v>2255.4899999999998</v>
      </c>
      <c r="O334" t="s">
        <v>25</v>
      </c>
      <c r="P334" t="s">
        <v>3060</v>
      </c>
      <c r="Q334" t="s">
        <v>3036</v>
      </c>
      <c r="R334" t="s">
        <v>4977</v>
      </c>
      <c r="S334" t="s">
        <v>4992</v>
      </c>
      <c r="T334" t="s">
        <v>4992</v>
      </c>
    </row>
    <row r="335" spans="1:20" x14ac:dyDescent="0.25">
      <c r="A335" t="s">
        <v>947</v>
      </c>
      <c r="B335" t="s">
        <v>948</v>
      </c>
      <c r="C335" s="1">
        <v>46036.49</v>
      </c>
      <c r="D335">
        <v>1433.41</v>
      </c>
      <c r="E335" t="s">
        <v>25</v>
      </c>
      <c r="F335" t="s">
        <v>20</v>
      </c>
      <c r="G335" t="s">
        <v>26</v>
      </c>
      <c r="H335" t="s">
        <v>949</v>
      </c>
      <c r="I335" t="s">
        <v>3418</v>
      </c>
      <c r="J335" t="s">
        <v>3034</v>
      </c>
      <c r="K335" s="1">
        <v>46036.496944444443</v>
      </c>
      <c r="L335">
        <v>1433.41</v>
      </c>
      <c r="M335">
        <v>41.87</v>
      </c>
      <c r="N335">
        <v>1391.54</v>
      </c>
      <c r="O335" t="s">
        <v>25</v>
      </c>
      <c r="P335" t="s">
        <v>3062</v>
      </c>
      <c r="Q335" t="s">
        <v>3036</v>
      </c>
      <c r="R335" t="s">
        <v>4977</v>
      </c>
      <c r="S335" t="s">
        <v>4992</v>
      </c>
      <c r="T335" t="s">
        <v>4992</v>
      </c>
    </row>
    <row r="336" spans="1:20" x14ac:dyDescent="0.25">
      <c r="A336" t="s">
        <v>950</v>
      </c>
      <c r="B336" t="s">
        <v>951</v>
      </c>
      <c r="C336" s="1">
        <v>46023.566134259258</v>
      </c>
      <c r="D336">
        <v>262.83999999999997</v>
      </c>
      <c r="E336" t="s">
        <v>25</v>
      </c>
      <c r="F336" t="s">
        <v>20</v>
      </c>
      <c r="G336" t="s">
        <v>30</v>
      </c>
      <c r="H336" t="s">
        <v>952</v>
      </c>
      <c r="I336" t="s">
        <v>3419</v>
      </c>
      <c r="J336" t="s">
        <v>3034</v>
      </c>
      <c r="K336" s="1">
        <v>46023.573078703703</v>
      </c>
      <c r="L336">
        <v>262.83999999999997</v>
      </c>
      <c r="M336">
        <v>7.92</v>
      </c>
      <c r="N336">
        <v>254.92</v>
      </c>
      <c r="O336" t="s">
        <v>25</v>
      </c>
      <c r="P336" t="s">
        <v>3064</v>
      </c>
      <c r="Q336" t="s">
        <v>3036</v>
      </c>
      <c r="R336" t="s">
        <v>4977</v>
      </c>
      <c r="S336" t="s">
        <v>4992</v>
      </c>
      <c r="T336" t="s">
        <v>4992</v>
      </c>
    </row>
    <row r="337" spans="1:20" x14ac:dyDescent="0.25">
      <c r="A337" t="s">
        <v>953</v>
      </c>
      <c r="B337" t="s">
        <v>954</v>
      </c>
      <c r="C337" s="1">
        <v>46024.669976851852</v>
      </c>
      <c r="D337">
        <v>1000.11</v>
      </c>
      <c r="E337" t="s">
        <v>52</v>
      </c>
      <c r="F337" t="s">
        <v>20</v>
      </c>
      <c r="G337" t="s">
        <v>21</v>
      </c>
      <c r="H337" t="s">
        <v>955</v>
      </c>
      <c r="I337" t="s">
        <v>3420</v>
      </c>
      <c r="J337" t="s">
        <v>3034</v>
      </c>
      <c r="K337" s="1">
        <v>46024.676921296297</v>
      </c>
      <c r="L337">
        <v>1000.11</v>
      </c>
      <c r="M337">
        <v>29.3</v>
      </c>
      <c r="N337">
        <v>970.81</v>
      </c>
      <c r="O337" t="s">
        <v>52</v>
      </c>
      <c r="P337" t="s">
        <v>3172</v>
      </c>
      <c r="Q337" t="s">
        <v>3036</v>
      </c>
      <c r="R337" t="s">
        <v>4977</v>
      </c>
      <c r="S337" t="s">
        <v>4992</v>
      </c>
      <c r="T337" t="s">
        <v>4992</v>
      </c>
    </row>
    <row r="338" spans="1:20" x14ac:dyDescent="0.25">
      <c r="A338" t="s">
        <v>956</v>
      </c>
      <c r="B338" t="s">
        <v>957</v>
      </c>
      <c r="C338" s="1">
        <v>46025.735949074071</v>
      </c>
      <c r="D338">
        <v>1122.82</v>
      </c>
      <c r="E338" t="s">
        <v>19</v>
      </c>
      <c r="F338" t="s">
        <v>20</v>
      </c>
      <c r="G338" t="s">
        <v>26</v>
      </c>
      <c r="H338" t="s">
        <v>958</v>
      </c>
      <c r="I338" t="s">
        <v>3421</v>
      </c>
      <c r="J338" t="s">
        <v>3034</v>
      </c>
      <c r="K338" s="1">
        <v>46025.742893518516</v>
      </c>
      <c r="L338">
        <v>1122.82</v>
      </c>
      <c r="M338">
        <v>32.86</v>
      </c>
      <c r="N338">
        <v>1089.96</v>
      </c>
      <c r="O338" t="s">
        <v>19</v>
      </c>
      <c r="P338" t="s">
        <v>3174</v>
      </c>
      <c r="Q338" t="s">
        <v>3036</v>
      </c>
      <c r="R338" t="s">
        <v>4977</v>
      </c>
      <c r="S338" t="s">
        <v>4992</v>
      </c>
      <c r="T338" t="s">
        <v>4992</v>
      </c>
    </row>
    <row r="339" spans="1:20" x14ac:dyDescent="0.25">
      <c r="A339" t="s">
        <v>959</v>
      </c>
      <c r="B339" t="s">
        <v>960</v>
      </c>
      <c r="C339" s="1">
        <v>46026.850347222222</v>
      </c>
      <c r="D339">
        <v>786.97</v>
      </c>
      <c r="E339" t="s">
        <v>25</v>
      </c>
      <c r="F339" t="s">
        <v>20</v>
      </c>
      <c r="G339" t="s">
        <v>30</v>
      </c>
      <c r="H339" t="s">
        <v>961</v>
      </c>
      <c r="I339" t="s">
        <v>3422</v>
      </c>
      <c r="J339" t="s">
        <v>3034</v>
      </c>
      <c r="K339" s="1">
        <v>46026.857291666667</v>
      </c>
      <c r="L339">
        <v>786.97</v>
      </c>
      <c r="M339">
        <v>23.12</v>
      </c>
      <c r="N339">
        <v>763.85</v>
      </c>
      <c r="O339" t="s">
        <v>25</v>
      </c>
      <c r="P339" t="s">
        <v>3042</v>
      </c>
      <c r="Q339" t="s">
        <v>3036</v>
      </c>
      <c r="R339" t="s">
        <v>4977</v>
      </c>
      <c r="S339" t="s">
        <v>4992</v>
      </c>
      <c r="T339" t="s">
        <v>4992</v>
      </c>
    </row>
    <row r="340" spans="1:20" x14ac:dyDescent="0.25">
      <c r="A340" t="s">
        <v>962</v>
      </c>
      <c r="B340" t="s">
        <v>963</v>
      </c>
      <c r="C340" s="1">
        <v>46027.926134259258</v>
      </c>
      <c r="D340">
        <v>1774.51</v>
      </c>
      <c r="E340" t="s">
        <v>25</v>
      </c>
      <c r="F340" t="s">
        <v>20</v>
      </c>
      <c r="G340" t="s">
        <v>21</v>
      </c>
      <c r="H340" t="s">
        <v>964</v>
      </c>
      <c r="I340" t="s">
        <v>3423</v>
      </c>
      <c r="J340" t="s">
        <v>3034</v>
      </c>
      <c r="K340" s="1">
        <v>46027.933078703703</v>
      </c>
      <c r="L340">
        <v>1774.51</v>
      </c>
      <c r="M340">
        <v>51.76</v>
      </c>
      <c r="N340">
        <v>1722.75</v>
      </c>
      <c r="O340" t="s">
        <v>25</v>
      </c>
      <c r="P340" t="s">
        <v>3068</v>
      </c>
      <c r="Q340" t="s">
        <v>3036</v>
      </c>
      <c r="R340" t="s">
        <v>4977</v>
      </c>
      <c r="S340" t="s">
        <v>4992</v>
      </c>
      <c r="T340" t="s">
        <v>4992</v>
      </c>
    </row>
    <row r="341" spans="1:20" x14ac:dyDescent="0.25">
      <c r="A341" t="s">
        <v>965</v>
      </c>
      <c r="B341" t="s">
        <v>966</v>
      </c>
      <c r="C341" s="1">
        <v>46029.033495370371</v>
      </c>
      <c r="D341">
        <v>1851.28</v>
      </c>
      <c r="E341" t="s">
        <v>25</v>
      </c>
      <c r="F341" t="s">
        <v>20</v>
      </c>
      <c r="G341" t="s">
        <v>26</v>
      </c>
      <c r="H341" t="s">
        <v>967</v>
      </c>
      <c r="I341" t="s">
        <v>3424</v>
      </c>
      <c r="J341" t="s">
        <v>3034</v>
      </c>
      <c r="K341" s="1">
        <v>46029.040439814817</v>
      </c>
      <c r="L341">
        <v>1851.28</v>
      </c>
      <c r="M341">
        <v>53.99</v>
      </c>
      <c r="N341">
        <v>1797.29</v>
      </c>
      <c r="O341" t="s">
        <v>25</v>
      </c>
      <c r="P341" t="s">
        <v>3046</v>
      </c>
      <c r="Q341" t="s">
        <v>3036</v>
      </c>
      <c r="R341" t="s">
        <v>4977</v>
      </c>
      <c r="S341" t="s">
        <v>4992</v>
      </c>
      <c r="T341" t="s">
        <v>4992</v>
      </c>
    </row>
    <row r="342" spans="1:20" x14ac:dyDescent="0.25">
      <c r="A342" t="s">
        <v>968</v>
      </c>
      <c r="B342" t="s">
        <v>969</v>
      </c>
      <c r="C342" s="1">
        <v>46030.123993055553</v>
      </c>
      <c r="D342">
        <v>2499.6</v>
      </c>
      <c r="E342" t="s">
        <v>25</v>
      </c>
      <c r="F342" t="s">
        <v>20</v>
      </c>
      <c r="G342" t="s">
        <v>30</v>
      </c>
      <c r="H342" t="s">
        <v>970</v>
      </c>
      <c r="I342" t="s">
        <v>3425</v>
      </c>
      <c r="J342" t="s">
        <v>3034</v>
      </c>
      <c r="K342" s="1">
        <v>46030.130937499998</v>
      </c>
      <c r="L342">
        <v>2499.6</v>
      </c>
      <c r="M342">
        <v>72.790000000000006</v>
      </c>
      <c r="N342">
        <v>2426.81</v>
      </c>
      <c r="O342" t="s">
        <v>25</v>
      </c>
      <c r="P342" t="s">
        <v>3048</v>
      </c>
      <c r="Q342" t="s">
        <v>3036</v>
      </c>
      <c r="R342" t="s">
        <v>4977</v>
      </c>
      <c r="S342" t="s">
        <v>4992</v>
      </c>
      <c r="T342" t="s">
        <v>4992</v>
      </c>
    </row>
    <row r="343" spans="1:20" x14ac:dyDescent="0.25">
      <c r="A343" t="s">
        <v>971</v>
      </c>
      <c r="B343" t="s">
        <v>972</v>
      </c>
      <c r="C343" s="1">
        <v>46031.209305555552</v>
      </c>
      <c r="D343">
        <v>546.1</v>
      </c>
      <c r="E343" t="s">
        <v>25</v>
      </c>
      <c r="F343" t="s">
        <v>20</v>
      </c>
      <c r="G343" t="s">
        <v>21</v>
      </c>
      <c r="H343" t="s">
        <v>973</v>
      </c>
      <c r="I343" t="s">
        <v>3426</v>
      </c>
      <c r="J343" t="s">
        <v>3034</v>
      </c>
      <c r="K343" s="1">
        <v>46031.216249999998</v>
      </c>
      <c r="L343">
        <v>546.1</v>
      </c>
      <c r="M343">
        <v>16.14</v>
      </c>
      <c r="N343">
        <v>529.96</v>
      </c>
      <c r="O343" t="s">
        <v>25</v>
      </c>
      <c r="P343" t="s">
        <v>3427</v>
      </c>
      <c r="Q343" t="s">
        <v>3036</v>
      </c>
      <c r="R343" t="s">
        <v>4977</v>
      </c>
      <c r="S343" t="s">
        <v>4992</v>
      </c>
      <c r="T343" t="s">
        <v>4992</v>
      </c>
    </row>
    <row r="344" spans="1:20" x14ac:dyDescent="0.25">
      <c r="A344" t="s">
        <v>974</v>
      </c>
      <c r="B344" t="s">
        <v>975</v>
      </c>
      <c r="C344" s="1">
        <v>46031.320381944446</v>
      </c>
      <c r="D344">
        <v>2347.63</v>
      </c>
      <c r="E344" t="s">
        <v>25</v>
      </c>
      <c r="F344" t="s">
        <v>20</v>
      </c>
      <c r="G344" t="s">
        <v>26</v>
      </c>
      <c r="H344" t="s">
        <v>976</v>
      </c>
      <c r="I344" t="s">
        <v>3428</v>
      </c>
      <c r="J344" t="s">
        <v>3034</v>
      </c>
      <c r="K344" s="1">
        <v>46031.327326388891</v>
      </c>
      <c r="L344">
        <v>2347.63</v>
      </c>
      <c r="M344">
        <v>68.38</v>
      </c>
      <c r="N344">
        <v>2279.25</v>
      </c>
      <c r="O344" t="s">
        <v>25</v>
      </c>
      <c r="P344" t="s">
        <v>3052</v>
      </c>
      <c r="Q344" t="s">
        <v>3036</v>
      </c>
      <c r="R344" t="s">
        <v>4977</v>
      </c>
      <c r="S344" t="s">
        <v>4992</v>
      </c>
      <c r="T344" t="s">
        <v>4992</v>
      </c>
    </row>
    <row r="345" spans="1:20" x14ac:dyDescent="0.25">
      <c r="A345" t="s">
        <v>977</v>
      </c>
      <c r="B345" t="s">
        <v>978</v>
      </c>
      <c r="C345" s="1">
        <v>46032.397650462961</v>
      </c>
      <c r="D345">
        <v>1255.42</v>
      </c>
      <c r="E345" t="s">
        <v>25</v>
      </c>
      <c r="F345" t="s">
        <v>20</v>
      </c>
      <c r="G345" t="s">
        <v>30</v>
      </c>
      <c r="H345" t="s">
        <v>979</v>
      </c>
      <c r="I345" t="s">
        <v>3429</v>
      </c>
      <c r="J345" t="s">
        <v>3034</v>
      </c>
      <c r="K345" s="1">
        <v>46032.404594907406</v>
      </c>
      <c r="L345">
        <v>1255.42</v>
      </c>
      <c r="M345">
        <v>36.71</v>
      </c>
      <c r="N345">
        <v>1218.71</v>
      </c>
      <c r="O345" t="s">
        <v>25</v>
      </c>
      <c r="P345" t="s">
        <v>3079</v>
      </c>
      <c r="Q345" t="s">
        <v>3036</v>
      </c>
      <c r="R345" t="s">
        <v>4977</v>
      </c>
      <c r="S345" t="s">
        <v>4992</v>
      </c>
      <c r="T345" t="s">
        <v>4992</v>
      </c>
    </row>
    <row r="346" spans="1:20" x14ac:dyDescent="0.25">
      <c r="A346" t="s">
        <v>980</v>
      </c>
      <c r="B346" t="s">
        <v>981</v>
      </c>
      <c r="C346" s="1">
        <v>46033.499548611115</v>
      </c>
      <c r="D346">
        <v>553.92999999999995</v>
      </c>
      <c r="E346" t="s">
        <v>25</v>
      </c>
      <c r="F346" t="s">
        <v>20</v>
      </c>
      <c r="G346" t="s">
        <v>21</v>
      </c>
      <c r="H346" t="s">
        <v>982</v>
      </c>
      <c r="I346" t="s">
        <v>3430</v>
      </c>
      <c r="J346" t="s">
        <v>3034</v>
      </c>
      <c r="K346" s="1">
        <v>46033.506493055553</v>
      </c>
      <c r="L346">
        <v>553.92999999999995</v>
      </c>
      <c r="M346">
        <v>16.36</v>
      </c>
      <c r="N346">
        <v>537.57000000000005</v>
      </c>
      <c r="O346" t="s">
        <v>25</v>
      </c>
      <c r="P346" t="s">
        <v>3081</v>
      </c>
      <c r="Q346" t="s">
        <v>3036</v>
      </c>
      <c r="R346" t="s">
        <v>4977</v>
      </c>
      <c r="S346" t="s">
        <v>4992</v>
      </c>
      <c r="T346" t="s">
        <v>4992</v>
      </c>
    </row>
    <row r="347" spans="1:20" x14ac:dyDescent="0.25">
      <c r="A347" t="s">
        <v>983</v>
      </c>
      <c r="B347" t="s">
        <v>984</v>
      </c>
      <c r="C347" s="1">
        <v>46034.570844907408</v>
      </c>
      <c r="D347">
        <v>1160.74</v>
      </c>
      <c r="E347" t="s">
        <v>52</v>
      </c>
      <c r="F347" t="s">
        <v>20</v>
      </c>
      <c r="G347" t="s">
        <v>26</v>
      </c>
      <c r="H347" t="s">
        <v>985</v>
      </c>
      <c r="I347" t="s">
        <v>3431</v>
      </c>
      <c r="J347" t="s">
        <v>3034</v>
      </c>
      <c r="K347" s="1">
        <v>46034.577789351853</v>
      </c>
      <c r="L347">
        <v>1160.74</v>
      </c>
      <c r="M347">
        <v>33.96</v>
      </c>
      <c r="N347">
        <v>1126.78</v>
      </c>
      <c r="O347" t="s">
        <v>52</v>
      </c>
      <c r="P347" t="s">
        <v>3102</v>
      </c>
      <c r="Q347" t="s">
        <v>3036</v>
      </c>
      <c r="R347" t="s">
        <v>4977</v>
      </c>
      <c r="S347" t="s">
        <v>4992</v>
      </c>
      <c r="T347" t="s">
        <v>4992</v>
      </c>
    </row>
    <row r="348" spans="1:20" x14ac:dyDescent="0.25">
      <c r="A348" t="s">
        <v>986</v>
      </c>
      <c r="B348" t="s">
        <v>987</v>
      </c>
      <c r="C348" s="1">
        <v>46035.669618055559</v>
      </c>
      <c r="D348">
        <v>760.18</v>
      </c>
      <c r="E348" t="s">
        <v>19</v>
      </c>
      <c r="F348" t="s">
        <v>20</v>
      </c>
      <c r="G348" t="s">
        <v>30</v>
      </c>
      <c r="H348" t="s">
        <v>988</v>
      </c>
      <c r="I348" t="s">
        <v>3432</v>
      </c>
      <c r="J348" t="s">
        <v>3034</v>
      </c>
      <c r="K348" s="1">
        <v>46035.676562499997</v>
      </c>
      <c r="L348">
        <v>760.18</v>
      </c>
      <c r="M348">
        <v>22.35</v>
      </c>
      <c r="N348">
        <v>737.83</v>
      </c>
      <c r="O348" t="s">
        <v>19</v>
      </c>
      <c r="P348" t="s">
        <v>3186</v>
      </c>
      <c r="Q348" t="s">
        <v>3036</v>
      </c>
      <c r="R348" t="s">
        <v>4977</v>
      </c>
      <c r="S348" t="s">
        <v>4992</v>
      </c>
      <c r="T348" t="s">
        <v>4992</v>
      </c>
    </row>
    <row r="349" spans="1:20" x14ac:dyDescent="0.25">
      <c r="A349" t="s">
        <v>989</v>
      </c>
      <c r="B349" t="s">
        <v>990</v>
      </c>
      <c r="C349" s="1">
        <v>46036.783599537041</v>
      </c>
      <c r="D349">
        <v>1000.52</v>
      </c>
      <c r="E349" t="s">
        <v>25</v>
      </c>
      <c r="F349" t="s">
        <v>20</v>
      </c>
      <c r="G349" t="s">
        <v>21</v>
      </c>
      <c r="H349" t="s">
        <v>991</v>
      </c>
      <c r="I349" t="s">
        <v>3433</v>
      </c>
      <c r="J349" t="s">
        <v>3034</v>
      </c>
      <c r="K349" s="1">
        <v>46036.790543981479</v>
      </c>
      <c r="L349">
        <v>1000.52</v>
      </c>
      <c r="M349">
        <v>29.32</v>
      </c>
      <c r="N349">
        <v>971.2</v>
      </c>
      <c r="O349" t="s">
        <v>25</v>
      </c>
      <c r="P349" t="s">
        <v>3062</v>
      </c>
      <c r="Q349" t="s">
        <v>3036</v>
      </c>
      <c r="R349" t="s">
        <v>4977</v>
      </c>
      <c r="S349" t="s">
        <v>4992</v>
      </c>
      <c r="T349" t="s">
        <v>4992</v>
      </c>
    </row>
    <row r="350" spans="1:20" x14ac:dyDescent="0.25">
      <c r="A350" t="s">
        <v>992</v>
      </c>
      <c r="B350" t="s">
        <v>993</v>
      </c>
      <c r="C350" s="1">
        <v>46023.87427083333</v>
      </c>
      <c r="D350">
        <v>1784.64</v>
      </c>
      <c r="E350" t="s">
        <v>25</v>
      </c>
      <c r="F350" t="s">
        <v>20</v>
      </c>
      <c r="G350" t="s">
        <v>26</v>
      </c>
      <c r="H350" t="s">
        <v>994</v>
      </c>
      <c r="I350" t="s">
        <v>3434</v>
      </c>
      <c r="J350" t="s">
        <v>3034</v>
      </c>
      <c r="K350" s="1">
        <v>46023.881215277775</v>
      </c>
      <c r="L350">
        <v>1784.64</v>
      </c>
      <c r="M350">
        <v>52.05</v>
      </c>
      <c r="N350">
        <v>1732.59</v>
      </c>
      <c r="O350" t="s">
        <v>25</v>
      </c>
      <c r="P350" t="s">
        <v>3064</v>
      </c>
      <c r="Q350" t="s">
        <v>3036</v>
      </c>
      <c r="R350" t="s">
        <v>4977</v>
      </c>
      <c r="S350" t="s">
        <v>4992</v>
      </c>
      <c r="T350" t="s">
        <v>4992</v>
      </c>
    </row>
    <row r="351" spans="1:20" x14ac:dyDescent="0.25">
      <c r="A351" t="s">
        <v>995</v>
      </c>
      <c r="B351" t="s">
        <v>996</v>
      </c>
      <c r="C351" s="1">
        <v>46024.947164351855</v>
      </c>
      <c r="D351">
        <v>422.05</v>
      </c>
      <c r="E351" t="s">
        <v>25</v>
      </c>
      <c r="F351" t="s">
        <v>20</v>
      </c>
      <c r="G351" t="s">
        <v>30</v>
      </c>
      <c r="H351" t="s">
        <v>997</v>
      </c>
      <c r="I351" t="s">
        <v>3435</v>
      </c>
      <c r="J351" t="s">
        <v>3034</v>
      </c>
      <c r="K351" s="1">
        <v>46024.954108796293</v>
      </c>
      <c r="L351">
        <v>422.05</v>
      </c>
      <c r="M351">
        <v>12.54</v>
      </c>
      <c r="N351">
        <v>409.51</v>
      </c>
      <c r="O351" t="s">
        <v>25</v>
      </c>
      <c r="P351" t="s">
        <v>3038</v>
      </c>
      <c r="Q351" t="s">
        <v>3036</v>
      </c>
      <c r="R351" t="s">
        <v>4977</v>
      </c>
      <c r="S351" t="s">
        <v>4992</v>
      </c>
      <c r="T351" t="s">
        <v>4992</v>
      </c>
    </row>
    <row r="352" spans="1:20" x14ac:dyDescent="0.25">
      <c r="A352" t="s">
        <v>998</v>
      </c>
      <c r="B352" t="s">
        <v>999</v>
      </c>
      <c r="C352" s="1">
        <v>46026.045057870368</v>
      </c>
      <c r="D352">
        <v>569.9</v>
      </c>
      <c r="E352" t="s">
        <v>25</v>
      </c>
      <c r="F352" t="s">
        <v>20</v>
      </c>
      <c r="G352" t="s">
        <v>21</v>
      </c>
      <c r="H352" t="s">
        <v>1000</v>
      </c>
      <c r="I352" t="s">
        <v>3436</v>
      </c>
      <c r="J352" t="s">
        <v>3034</v>
      </c>
      <c r="K352" s="1">
        <v>46026.052002314813</v>
      </c>
      <c r="L352">
        <v>569.9</v>
      </c>
      <c r="M352">
        <v>16.829999999999998</v>
      </c>
      <c r="N352">
        <v>553.07000000000005</v>
      </c>
      <c r="O352" t="s">
        <v>25</v>
      </c>
      <c r="P352" t="s">
        <v>3040</v>
      </c>
      <c r="Q352" t="s">
        <v>3036</v>
      </c>
      <c r="R352" t="s">
        <v>4977</v>
      </c>
      <c r="S352" t="s">
        <v>4992</v>
      </c>
      <c r="T352" t="s">
        <v>4992</v>
      </c>
    </row>
    <row r="353" spans="1:20" x14ac:dyDescent="0.25">
      <c r="A353" t="s">
        <v>1001</v>
      </c>
      <c r="B353" t="s">
        <v>1002</v>
      </c>
      <c r="C353" s="1">
        <v>46027.109571759262</v>
      </c>
      <c r="D353">
        <v>36.31</v>
      </c>
      <c r="E353" t="s">
        <v>25</v>
      </c>
      <c r="F353" t="s">
        <v>20</v>
      </c>
      <c r="G353" t="s">
        <v>26</v>
      </c>
      <c r="H353" t="s">
        <v>1003</v>
      </c>
      <c r="I353" t="s">
        <v>3437</v>
      </c>
      <c r="J353" t="s">
        <v>3034</v>
      </c>
      <c r="K353" s="1">
        <v>46027.116516203707</v>
      </c>
      <c r="L353">
        <v>36.31</v>
      </c>
      <c r="M353">
        <v>1.35</v>
      </c>
      <c r="N353">
        <v>34.96</v>
      </c>
      <c r="O353" t="s">
        <v>25</v>
      </c>
      <c r="P353" t="s">
        <v>3042</v>
      </c>
      <c r="Q353" t="s">
        <v>3036</v>
      </c>
      <c r="R353" t="s">
        <v>4977</v>
      </c>
      <c r="S353" t="s">
        <v>4992</v>
      </c>
      <c r="T353" t="s">
        <v>4992</v>
      </c>
    </row>
    <row r="354" spans="1:20" x14ac:dyDescent="0.25">
      <c r="A354" t="s">
        <v>1004</v>
      </c>
      <c r="B354" t="s">
        <v>1005</v>
      </c>
      <c r="C354" s="1">
        <v>46028.210902777777</v>
      </c>
      <c r="D354">
        <v>2139.86</v>
      </c>
      <c r="E354" t="s">
        <v>25</v>
      </c>
      <c r="F354" t="s">
        <v>20</v>
      </c>
      <c r="G354" t="s">
        <v>30</v>
      </c>
      <c r="H354" t="s">
        <v>1006</v>
      </c>
      <c r="I354" t="s">
        <v>3438</v>
      </c>
      <c r="J354" t="s">
        <v>3034</v>
      </c>
      <c r="K354" s="1">
        <v>46028.217847222222</v>
      </c>
      <c r="L354">
        <v>2139.86</v>
      </c>
      <c r="M354">
        <v>62.36</v>
      </c>
      <c r="N354">
        <v>2077.5</v>
      </c>
      <c r="O354" t="s">
        <v>25</v>
      </c>
      <c r="P354" t="s">
        <v>3068</v>
      </c>
      <c r="Q354" t="s">
        <v>3036</v>
      </c>
      <c r="R354" t="s">
        <v>4977</v>
      </c>
      <c r="S354" t="s">
        <v>4992</v>
      </c>
      <c r="T354" t="s">
        <v>4992</v>
      </c>
    </row>
    <row r="355" spans="1:20" x14ac:dyDescent="0.25">
      <c r="A355" t="s">
        <v>1007</v>
      </c>
      <c r="B355" t="s">
        <v>1008</v>
      </c>
      <c r="C355" s="1">
        <v>46028.330555555556</v>
      </c>
      <c r="D355">
        <v>837.2</v>
      </c>
      <c r="E355" t="s">
        <v>25</v>
      </c>
      <c r="F355" t="s">
        <v>20</v>
      </c>
      <c r="G355" t="s">
        <v>21</v>
      </c>
      <c r="H355" t="s">
        <v>1009</v>
      </c>
      <c r="I355" t="s">
        <v>3439</v>
      </c>
      <c r="J355" t="s">
        <v>3034</v>
      </c>
      <c r="K355" s="1">
        <v>46028.337500000001</v>
      </c>
      <c r="L355">
        <v>837.2</v>
      </c>
      <c r="M355">
        <v>24.58</v>
      </c>
      <c r="N355">
        <v>812.62</v>
      </c>
      <c r="O355" t="s">
        <v>25</v>
      </c>
      <c r="P355" t="s">
        <v>3046</v>
      </c>
      <c r="Q355" t="s">
        <v>3036</v>
      </c>
      <c r="R355" t="s">
        <v>4977</v>
      </c>
      <c r="S355" t="s">
        <v>4992</v>
      </c>
      <c r="T355" t="s">
        <v>4992</v>
      </c>
    </row>
    <row r="356" spans="1:20" x14ac:dyDescent="0.25">
      <c r="A356" t="s">
        <v>1010</v>
      </c>
      <c r="B356" t="s">
        <v>1011</v>
      </c>
      <c r="C356" s="1">
        <v>46029.405381944445</v>
      </c>
      <c r="D356">
        <v>509.77</v>
      </c>
      <c r="E356" t="s">
        <v>25</v>
      </c>
      <c r="F356" t="s">
        <v>20</v>
      </c>
      <c r="G356" t="s">
        <v>26</v>
      </c>
      <c r="H356" t="s">
        <v>1012</v>
      </c>
      <c r="I356" t="s">
        <v>3440</v>
      </c>
      <c r="J356" t="s">
        <v>3034</v>
      </c>
      <c r="K356" s="1">
        <v>46029.412326388891</v>
      </c>
      <c r="L356">
        <v>509.77</v>
      </c>
      <c r="M356">
        <v>15.08</v>
      </c>
      <c r="N356">
        <v>494.69</v>
      </c>
      <c r="O356" t="s">
        <v>25</v>
      </c>
      <c r="P356" t="s">
        <v>3048</v>
      </c>
      <c r="Q356" t="s">
        <v>3036</v>
      </c>
      <c r="R356" t="s">
        <v>4977</v>
      </c>
      <c r="S356" t="s">
        <v>4992</v>
      </c>
      <c r="T356" t="s">
        <v>4992</v>
      </c>
    </row>
    <row r="357" spans="1:20" x14ac:dyDescent="0.25">
      <c r="A357" t="s">
        <v>1013</v>
      </c>
      <c r="B357" t="s">
        <v>1014</v>
      </c>
      <c r="C357" s="1">
        <v>46030.488055555557</v>
      </c>
      <c r="D357">
        <v>333.41</v>
      </c>
      <c r="E357" t="s">
        <v>52</v>
      </c>
      <c r="F357" t="s">
        <v>20</v>
      </c>
      <c r="G357" t="s">
        <v>30</v>
      </c>
      <c r="H357" t="s">
        <v>1015</v>
      </c>
      <c r="I357" t="s">
        <v>3441</v>
      </c>
      <c r="J357" t="s">
        <v>3034</v>
      </c>
      <c r="K357" s="1">
        <v>46030.495000000003</v>
      </c>
      <c r="L357">
        <v>333.41</v>
      </c>
      <c r="M357">
        <v>9.9700000000000006</v>
      </c>
      <c r="N357">
        <v>323.44</v>
      </c>
      <c r="O357" t="s">
        <v>52</v>
      </c>
      <c r="P357" t="s">
        <v>3115</v>
      </c>
      <c r="Q357" t="s">
        <v>3036</v>
      </c>
      <c r="R357" t="s">
        <v>4977</v>
      </c>
      <c r="S357" t="s">
        <v>4992</v>
      </c>
      <c r="T357" t="s">
        <v>4992</v>
      </c>
    </row>
    <row r="358" spans="1:20" x14ac:dyDescent="0.25">
      <c r="A358" t="s">
        <v>1016</v>
      </c>
      <c r="B358" t="s">
        <v>1017</v>
      </c>
      <c r="C358" s="1">
        <v>46031.584768518522</v>
      </c>
      <c r="D358">
        <v>2439.62</v>
      </c>
      <c r="E358" t="s">
        <v>19</v>
      </c>
      <c r="F358" t="s">
        <v>20</v>
      </c>
      <c r="G358" t="s">
        <v>21</v>
      </c>
      <c r="H358" t="s">
        <v>1018</v>
      </c>
      <c r="I358" t="s">
        <v>3442</v>
      </c>
      <c r="J358" t="s">
        <v>3034</v>
      </c>
      <c r="K358" s="1">
        <v>46031.59171296296</v>
      </c>
      <c r="L358">
        <v>2439.62</v>
      </c>
      <c r="M358">
        <v>71.05</v>
      </c>
      <c r="N358">
        <v>2368.5700000000002</v>
      </c>
      <c r="O358" t="s">
        <v>19</v>
      </c>
      <c r="P358" t="s">
        <v>3443</v>
      </c>
      <c r="Q358" t="s">
        <v>3036</v>
      </c>
      <c r="R358" t="s">
        <v>4977</v>
      </c>
      <c r="S358" t="s">
        <v>4992</v>
      </c>
      <c r="T358" t="s">
        <v>4992</v>
      </c>
    </row>
    <row r="359" spans="1:20" x14ac:dyDescent="0.25">
      <c r="A359" t="s">
        <v>1019</v>
      </c>
      <c r="B359" t="s">
        <v>1020</v>
      </c>
      <c r="C359" s="1">
        <v>46032.686724537038</v>
      </c>
      <c r="D359">
        <v>793.48</v>
      </c>
      <c r="E359" t="s">
        <v>25</v>
      </c>
      <c r="F359" t="s">
        <v>20</v>
      </c>
      <c r="G359" t="s">
        <v>26</v>
      </c>
      <c r="H359" t="s">
        <v>1021</v>
      </c>
      <c r="I359" t="s">
        <v>3444</v>
      </c>
      <c r="J359" t="s">
        <v>3034</v>
      </c>
      <c r="K359" s="1">
        <v>46032.693668981483</v>
      </c>
      <c r="L359">
        <v>793.48</v>
      </c>
      <c r="M359">
        <v>23.31</v>
      </c>
      <c r="N359">
        <v>770.17</v>
      </c>
      <c r="O359" t="s">
        <v>25</v>
      </c>
      <c r="P359" t="s">
        <v>3079</v>
      </c>
      <c r="Q359" t="s">
        <v>3036</v>
      </c>
      <c r="R359" t="s">
        <v>4977</v>
      </c>
      <c r="S359" t="s">
        <v>4992</v>
      </c>
      <c r="T359" t="s">
        <v>4992</v>
      </c>
    </row>
    <row r="360" spans="1:20" x14ac:dyDescent="0.25">
      <c r="A360" t="s">
        <v>1022</v>
      </c>
      <c r="B360" t="s">
        <v>1023</v>
      </c>
      <c r="C360" s="1">
        <v>46033.754201388889</v>
      </c>
      <c r="D360">
        <v>31.31</v>
      </c>
      <c r="E360" t="s">
        <v>25</v>
      </c>
      <c r="F360" t="s">
        <v>20</v>
      </c>
      <c r="G360" t="s">
        <v>30</v>
      </c>
      <c r="H360" t="s">
        <v>1024</v>
      </c>
      <c r="I360" t="s">
        <v>3445</v>
      </c>
      <c r="J360" t="s">
        <v>3034</v>
      </c>
      <c r="K360" s="1">
        <v>46033.761145833334</v>
      </c>
      <c r="L360">
        <v>31.31</v>
      </c>
      <c r="M360">
        <v>1.21</v>
      </c>
      <c r="N360">
        <v>30.1</v>
      </c>
      <c r="O360" t="s">
        <v>25</v>
      </c>
      <c r="P360" t="s">
        <v>3081</v>
      </c>
      <c r="Q360" t="s">
        <v>3036</v>
      </c>
      <c r="R360" t="s">
        <v>4977</v>
      </c>
      <c r="S360" t="s">
        <v>4992</v>
      </c>
      <c r="T360" t="s">
        <v>4992</v>
      </c>
    </row>
    <row r="361" spans="1:20" x14ac:dyDescent="0.25">
      <c r="A361" t="s">
        <v>1025</v>
      </c>
      <c r="B361" t="s">
        <v>1026</v>
      </c>
      <c r="C361" s="1">
        <v>46034.853738425925</v>
      </c>
      <c r="D361">
        <v>2479.2800000000002</v>
      </c>
      <c r="E361" t="s">
        <v>25</v>
      </c>
      <c r="F361" t="s">
        <v>20</v>
      </c>
      <c r="G361" t="s">
        <v>21</v>
      </c>
      <c r="H361" t="s">
        <v>1027</v>
      </c>
      <c r="I361" t="s">
        <v>3446</v>
      </c>
      <c r="J361" t="s">
        <v>3034</v>
      </c>
      <c r="K361" s="1">
        <v>46034.860682870371</v>
      </c>
      <c r="L361">
        <v>2480.39</v>
      </c>
      <c r="M361">
        <v>72.23</v>
      </c>
      <c r="N361">
        <v>2408.16</v>
      </c>
      <c r="O361" t="s">
        <v>25</v>
      </c>
      <c r="P361" t="s">
        <v>3058</v>
      </c>
      <c r="Q361" t="s">
        <v>3036</v>
      </c>
      <c r="R361" t="s">
        <v>4977</v>
      </c>
      <c r="S361" t="s">
        <v>4991</v>
      </c>
      <c r="T361" t="s">
        <v>4992</v>
      </c>
    </row>
    <row r="362" spans="1:20" x14ac:dyDescent="0.25">
      <c r="A362" t="s">
        <v>1031</v>
      </c>
      <c r="B362" t="s">
        <v>1032</v>
      </c>
      <c r="C362" s="1">
        <v>46037.053576388891</v>
      </c>
      <c r="D362">
        <v>529.86</v>
      </c>
      <c r="E362" t="s">
        <v>25</v>
      </c>
      <c r="F362" t="s">
        <v>20</v>
      </c>
      <c r="G362" t="s">
        <v>30</v>
      </c>
      <c r="H362" t="s">
        <v>1033</v>
      </c>
      <c r="I362" t="s">
        <v>3447</v>
      </c>
      <c r="J362" t="s">
        <v>3034</v>
      </c>
      <c r="K362" s="1">
        <v>46037.060520833336</v>
      </c>
      <c r="L362">
        <v>529.86</v>
      </c>
      <c r="M362">
        <v>15.67</v>
      </c>
      <c r="N362">
        <v>514.19000000000005</v>
      </c>
      <c r="O362" t="s">
        <v>25</v>
      </c>
      <c r="P362" t="s">
        <v>3062</v>
      </c>
      <c r="Q362" t="s">
        <v>3036</v>
      </c>
      <c r="R362" t="s">
        <v>4977</v>
      </c>
      <c r="S362" t="s">
        <v>4992</v>
      </c>
      <c r="T362" t="s">
        <v>4992</v>
      </c>
    </row>
    <row r="363" spans="1:20" x14ac:dyDescent="0.25">
      <c r="A363" t="s">
        <v>1034</v>
      </c>
      <c r="B363" t="s">
        <v>1035</v>
      </c>
      <c r="C363" s="1">
        <v>46024.148252314815</v>
      </c>
      <c r="D363">
        <v>210.19</v>
      </c>
      <c r="E363" t="s">
        <v>25</v>
      </c>
      <c r="F363" t="s">
        <v>20</v>
      </c>
      <c r="G363" t="s">
        <v>21</v>
      </c>
      <c r="H363" t="s">
        <v>1036</v>
      </c>
      <c r="I363" t="s">
        <v>3448</v>
      </c>
      <c r="J363" t="s">
        <v>3034</v>
      </c>
      <c r="K363" s="1">
        <v>46024.15519675926</v>
      </c>
      <c r="L363">
        <v>211.3</v>
      </c>
      <c r="M363">
        <v>6.43</v>
      </c>
      <c r="N363">
        <v>204.87</v>
      </c>
      <c r="O363" t="s">
        <v>25</v>
      </c>
      <c r="P363" t="s">
        <v>3064</v>
      </c>
      <c r="Q363" t="s">
        <v>3036</v>
      </c>
      <c r="R363" t="s">
        <v>4977</v>
      </c>
      <c r="S363" t="s">
        <v>4991</v>
      </c>
      <c r="T363" t="s">
        <v>4992</v>
      </c>
    </row>
    <row r="364" spans="1:20" x14ac:dyDescent="0.25">
      <c r="A364" t="s">
        <v>1037</v>
      </c>
      <c r="B364" t="s">
        <v>1038</v>
      </c>
      <c r="C364" s="1">
        <v>46024.239189814813</v>
      </c>
      <c r="D364">
        <v>1658.46</v>
      </c>
      <c r="E364" t="s">
        <v>25</v>
      </c>
      <c r="F364" t="s">
        <v>20</v>
      </c>
      <c r="G364" t="s">
        <v>26</v>
      </c>
      <c r="H364" t="s">
        <v>1039</v>
      </c>
      <c r="I364" t="s">
        <v>3449</v>
      </c>
      <c r="J364" t="s">
        <v>3034</v>
      </c>
      <c r="K364" s="1">
        <v>46024.246134259258</v>
      </c>
      <c r="L364">
        <v>1658.46</v>
      </c>
      <c r="M364">
        <v>48.4</v>
      </c>
      <c r="N364">
        <v>1610.06</v>
      </c>
      <c r="O364" t="s">
        <v>25</v>
      </c>
      <c r="P364" t="s">
        <v>3038</v>
      </c>
      <c r="Q364" t="s">
        <v>3036</v>
      </c>
      <c r="R364" t="s">
        <v>4977</v>
      </c>
      <c r="S364" t="s">
        <v>4992</v>
      </c>
      <c r="T364" t="s">
        <v>4992</v>
      </c>
    </row>
    <row r="365" spans="1:20" x14ac:dyDescent="0.25">
      <c r="A365" t="s">
        <v>1040</v>
      </c>
      <c r="B365" t="s">
        <v>1041</v>
      </c>
      <c r="C365" s="1">
        <v>46025.305833333332</v>
      </c>
      <c r="D365">
        <v>1884.4</v>
      </c>
      <c r="E365" t="s">
        <v>25</v>
      </c>
      <c r="F365" t="s">
        <v>20</v>
      </c>
      <c r="G365" t="s">
        <v>30</v>
      </c>
      <c r="H365" t="s">
        <v>1042</v>
      </c>
      <c r="I365" t="s">
        <v>3450</v>
      </c>
      <c r="J365" t="s">
        <v>3034</v>
      </c>
      <c r="K365" s="1">
        <v>46025.312777777777</v>
      </c>
      <c r="L365">
        <v>1884.4</v>
      </c>
      <c r="M365">
        <v>54.95</v>
      </c>
      <c r="N365">
        <v>1829.45</v>
      </c>
      <c r="O365" t="s">
        <v>25</v>
      </c>
      <c r="P365" t="s">
        <v>3040</v>
      </c>
      <c r="Q365" t="s">
        <v>3036</v>
      </c>
      <c r="R365" t="s">
        <v>4977</v>
      </c>
      <c r="S365" t="s">
        <v>4992</v>
      </c>
      <c r="T365" t="s">
        <v>4992</v>
      </c>
    </row>
    <row r="366" spans="1:20" x14ac:dyDescent="0.25">
      <c r="A366" t="s">
        <v>1043</v>
      </c>
      <c r="B366" t="s">
        <v>1044</v>
      </c>
      <c r="C366" s="1">
        <v>46026.39303240741</v>
      </c>
      <c r="D366">
        <v>2051.5500000000002</v>
      </c>
      <c r="E366" t="s">
        <v>52</v>
      </c>
      <c r="F366" t="s">
        <v>20</v>
      </c>
      <c r="G366" t="s">
        <v>21</v>
      </c>
      <c r="H366" t="s">
        <v>1045</v>
      </c>
      <c r="I366" t="s">
        <v>3451</v>
      </c>
      <c r="J366" t="s">
        <v>3034</v>
      </c>
      <c r="K366" s="1">
        <v>46026.399976851855</v>
      </c>
      <c r="L366">
        <v>2051.5500000000002</v>
      </c>
      <c r="M366">
        <v>59.79</v>
      </c>
      <c r="N366">
        <v>1991.76</v>
      </c>
      <c r="O366" t="s">
        <v>52</v>
      </c>
      <c r="P366" t="s">
        <v>3128</v>
      </c>
      <c r="Q366" t="s">
        <v>3036</v>
      </c>
      <c r="R366" t="s">
        <v>4977</v>
      </c>
      <c r="S366" t="s">
        <v>4992</v>
      </c>
      <c r="T366" t="s">
        <v>4992</v>
      </c>
    </row>
    <row r="367" spans="1:20" x14ac:dyDescent="0.25">
      <c r="A367" t="s">
        <v>1046</v>
      </c>
      <c r="B367" t="s">
        <v>1047</v>
      </c>
      <c r="C367" s="1">
        <v>46027.496747685182</v>
      </c>
      <c r="D367">
        <v>100.91</v>
      </c>
      <c r="E367" t="s">
        <v>19</v>
      </c>
      <c r="F367" t="s">
        <v>20</v>
      </c>
      <c r="G367" t="s">
        <v>26</v>
      </c>
      <c r="H367" t="s">
        <v>1048</v>
      </c>
      <c r="I367" t="s">
        <v>3452</v>
      </c>
      <c r="J367" t="s">
        <v>3034</v>
      </c>
      <c r="K367" s="1">
        <v>46027.503692129627</v>
      </c>
      <c r="L367">
        <v>100.91</v>
      </c>
      <c r="M367">
        <v>3.23</v>
      </c>
      <c r="N367">
        <v>97.68</v>
      </c>
      <c r="O367" t="s">
        <v>19</v>
      </c>
      <c r="P367" t="s">
        <v>3453</v>
      </c>
      <c r="Q367" t="s">
        <v>3036</v>
      </c>
      <c r="R367" t="s">
        <v>4977</v>
      </c>
      <c r="S367" t="s">
        <v>4992</v>
      </c>
      <c r="T367" t="s">
        <v>4992</v>
      </c>
    </row>
    <row r="368" spans="1:20" x14ac:dyDescent="0.25">
      <c r="A368" t="s">
        <v>1049</v>
      </c>
      <c r="B368" t="s">
        <v>1050</v>
      </c>
      <c r="C368" s="1">
        <v>46028.588680555556</v>
      </c>
      <c r="D368">
        <v>165.67</v>
      </c>
      <c r="E368" t="s">
        <v>25</v>
      </c>
      <c r="F368" t="s">
        <v>20</v>
      </c>
      <c r="G368" t="s">
        <v>30</v>
      </c>
      <c r="H368" t="s">
        <v>1051</v>
      </c>
      <c r="I368" t="s">
        <v>3454</v>
      </c>
      <c r="J368" t="s">
        <v>3034</v>
      </c>
      <c r="K368" s="1">
        <v>46028.595625000002</v>
      </c>
      <c r="L368">
        <v>165.67</v>
      </c>
      <c r="M368">
        <v>5.0999999999999996</v>
      </c>
      <c r="N368">
        <v>160.57</v>
      </c>
      <c r="O368" t="s">
        <v>25</v>
      </c>
      <c r="P368" t="s">
        <v>3046</v>
      </c>
      <c r="Q368" t="s">
        <v>3036</v>
      </c>
      <c r="R368" t="s">
        <v>4977</v>
      </c>
      <c r="S368" t="s">
        <v>4992</v>
      </c>
      <c r="T368" t="s">
        <v>4992</v>
      </c>
    </row>
    <row r="369" spans="1:20" x14ac:dyDescent="0.25">
      <c r="A369" t="s">
        <v>1052</v>
      </c>
      <c r="B369" t="s">
        <v>1053</v>
      </c>
      <c r="C369" s="1">
        <v>46029.697650462964</v>
      </c>
      <c r="D369">
        <v>1425.43</v>
      </c>
      <c r="E369" t="s">
        <v>25</v>
      </c>
      <c r="F369" t="s">
        <v>20</v>
      </c>
      <c r="G369" t="s">
        <v>21</v>
      </c>
      <c r="H369" t="s">
        <v>1054</v>
      </c>
      <c r="I369" t="s">
        <v>3455</v>
      </c>
      <c r="J369" t="s">
        <v>3034</v>
      </c>
      <c r="K369" s="1">
        <v>46029.704594907409</v>
      </c>
      <c r="L369">
        <v>1425.43</v>
      </c>
      <c r="M369">
        <v>41.64</v>
      </c>
      <c r="N369">
        <v>1383.79</v>
      </c>
      <c r="O369" t="s">
        <v>25</v>
      </c>
      <c r="P369" t="s">
        <v>3048</v>
      </c>
      <c r="Q369" t="s">
        <v>3036</v>
      </c>
      <c r="R369" t="s">
        <v>4977</v>
      </c>
      <c r="S369" t="s">
        <v>4992</v>
      </c>
      <c r="T369" t="s">
        <v>4992</v>
      </c>
    </row>
    <row r="370" spans="1:20" x14ac:dyDescent="0.25">
      <c r="A370" t="s">
        <v>1055</v>
      </c>
      <c r="B370" t="s">
        <v>1056</v>
      </c>
      <c r="C370" s="1">
        <v>46030.79582175926</v>
      </c>
      <c r="D370">
        <v>841.15</v>
      </c>
      <c r="E370" t="s">
        <v>25</v>
      </c>
      <c r="F370" t="s">
        <v>20</v>
      </c>
      <c r="G370" t="s">
        <v>26</v>
      </c>
      <c r="H370" t="s">
        <v>1057</v>
      </c>
      <c r="I370" t="s">
        <v>3456</v>
      </c>
      <c r="J370" t="s">
        <v>3034</v>
      </c>
      <c r="K370" s="1">
        <v>46030.802766203706</v>
      </c>
      <c r="L370">
        <v>841.15</v>
      </c>
      <c r="M370">
        <v>24.69</v>
      </c>
      <c r="N370">
        <v>816.46</v>
      </c>
      <c r="O370" t="s">
        <v>25</v>
      </c>
      <c r="P370" t="s">
        <v>3050</v>
      </c>
      <c r="Q370" t="s">
        <v>3036</v>
      </c>
      <c r="R370" t="s">
        <v>4977</v>
      </c>
      <c r="S370" t="s">
        <v>4992</v>
      </c>
      <c r="T370" t="s">
        <v>4992</v>
      </c>
    </row>
    <row r="371" spans="1:20" x14ac:dyDescent="0.25">
      <c r="A371" t="s">
        <v>1058</v>
      </c>
      <c r="B371" t="s">
        <v>1059</v>
      </c>
      <c r="C371" s="1">
        <v>46031.876655092594</v>
      </c>
      <c r="D371">
        <v>2098.44</v>
      </c>
      <c r="E371" t="s">
        <v>25</v>
      </c>
      <c r="F371" t="s">
        <v>20</v>
      </c>
      <c r="G371" t="s">
        <v>30</v>
      </c>
      <c r="H371" t="s">
        <v>1060</v>
      </c>
      <c r="I371" t="s">
        <v>3457</v>
      </c>
      <c r="J371" t="s">
        <v>3034</v>
      </c>
      <c r="K371" s="1">
        <v>46031.883599537039</v>
      </c>
      <c r="L371">
        <v>2098.44</v>
      </c>
      <c r="M371">
        <v>61.15</v>
      </c>
      <c r="N371">
        <v>2037.29</v>
      </c>
      <c r="O371" t="s">
        <v>25</v>
      </c>
      <c r="P371" t="s">
        <v>3052</v>
      </c>
      <c r="Q371" t="s">
        <v>3036</v>
      </c>
      <c r="R371" t="s">
        <v>4977</v>
      </c>
      <c r="S371" t="s">
        <v>4992</v>
      </c>
      <c r="T371" t="s">
        <v>4992</v>
      </c>
    </row>
    <row r="372" spans="1:20" x14ac:dyDescent="0.25">
      <c r="A372" t="s">
        <v>1061</v>
      </c>
      <c r="B372" t="s">
        <v>1062</v>
      </c>
      <c r="C372" s="1">
        <v>46032.974050925928</v>
      </c>
      <c r="D372">
        <v>614.94000000000005</v>
      </c>
      <c r="E372" t="s">
        <v>25</v>
      </c>
      <c r="F372" t="s">
        <v>20</v>
      </c>
      <c r="G372" t="s">
        <v>21</v>
      </c>
      <c r="H372" t="s">
        <v>1063</v>
      </c>
      <c r="I372" t="s">
        <v>3458</v>
      </c>
      <c r="J372" t="s">
        <v>3034</v>
      </c>
      <c r="K372" s="1">
        <v>46032.980995370373</v>
      </c>
      <c r="L372">
        <v>614.94000000000005</v>
      </c>
      <c r="M372">
        <v>18.13</v>
      </c>
      <c r="N372">
        <v>596.80999999999995</v>
      </c>
      <c r="O372" t="s">
        <v>25</v>
      </c>
      <c r="P372" t="s">
        <v>3079</v>
      </c>
      <c r="Q372" t="s">
        <v>3036</v>
      </c>
      <c r="R372" t="s">
        <v>4977</v>
      </c>
      <c r="S372" t="s">
        <v>4992</v>
      </c>
      <c r="T372" t="s">
        <v>4992</v>
      </c>
    </row>
    <row r="373" spans="1:20" x14ac:dyDescent="0.25">
      <c r="A373" t="s">
        <v>1064</v>
      </c>
      <c r="B373" t="s">
        <v>1065</v>
      </c>
      <c r="C373" s="1">
        <v>46034.057175925926</v>
      </c>
      <c r="D373">
        <v>745.64</v>
      </c>
      <c r="E373" t="s">
        <v>25</v>
      </c>
      <c r="F373" t="s">
        <v>20</v>
      </c>
      <c r="G373" t="s">
        <v>26</v>
      </c>
      <c r="H373" t="s">
        <v>1066</v>
      </c>
      <c r="I373" t="s">
        <v>3459</v>
      </c>
      <c r="J373" t="s">
        <v>3034</v>
      </c>
      <c r="K373" s="1">
        <v>46034.064120370371</v>
      </c>
      <c r="L373">
        <v>745.64</v>
      </c>
      <c r="M373">
        <v>21.92</v>
      </c>
      <c r="N373">
        <v>723.72</v>
      </c>
      <c r="O373" t="s">
        <v>25</v>
      </c>
      <c r="P373" t="s">
        <v>3081</v>
      </c>
      <c r="Q373" t="s">
        <v>3036</v>
      </c>
      <c r="R373" t="s">
        <v>4977</v>
      </c>
      <c r="S373" t="s">
        <v>4992</v>
      </c>
      <c r="T373" t="s">
        <v>4992</v>
      </c>
    </row>
    <row r="374" spans="1:20" x14ac:dyDescent="0.25">
      <c r="A374" t="s">
        <v>1067</v>
      </c>
      <c r="B374" t="s">
        <v>1068</v>
      </c>
      <c r="C374" s="1">
        <v>46035.138067129628</v>
      </c>
      <c r="D374">
        <v>514.30999999999995</v>
      </c>
      <c r="E374" t="s">
        <v>25</v>
      </c>
      <c r="F374" t="s">
        <v>20</v>
      </c>
      <c r="G374" t="s">
        <v>30</v>
      </c>
      <c r="H374" t="s">
        <v>1069</v>
      </c>
      <c r="I374" t="s">
        <v>3460</v>
      </c>
      <c r="J374" t="s">
        <v>3034</v>
      </c>
      <c r="K374" s="1">
        <v>46035.145011574074</v>
      </c>
      <c r="L374">
        <v>514.30999999999995</v>
      </c>
      <c r="M374">
        <v>15.58</v>
      </c>
      <c r="N374">
        <v>498.73</v>
      </c>
      <c r="O374" t="s">
        <v>25</v>
      </c>
      <c r="P374" t="s">
        <v>3058</v>
      </c>
      <c r="Q374" t="s">
        <v>3036</v>
      </c>
      <c r="R374" t="s">
        <v>4977</v>
      </c>
      <c r="S374" t="s">
        <v>4992</v>
      </c>
      <c r="T374" t="s">
        <v>4992</v>
      </c>
    </row>
    <row r="375" spans="1:20" x14ac:dyDescent="0.25">
      <c r="A375" t="s">
        <v>1070</v>
      </c>
      <c r="B375" t="s">
        <v>1071</v>
      </c>
      <c r="C375" s="1">
        <v>46035.249826388892</v>
      </c>
      <c r="D375">
        <v>1913.19</v>
      </c>
      <c r="E375" t="s">
        <v>25</v>
      </c>
      <c r="F375" t="s">
        <v>20</v>
      </c>
      <c r="G375" t="s">
        <v>21</v>
      </c>
      <c r="H375" t="s">
        <v>1072</v>
      </c>
      <c r="I375" t="s">
        <v>3461</v>
      </c>
      <c r="J375" t="s">
        <v>3034</v>
      </c>
      <c r="K375" s="1">
        <v>46035.25677083333</v>
      </c>
      <c r="L375">
        <v>1913.19</v>
      </c>
      <c r="M375">
        <v>55.78</v>
      </c>
      <c r="N375">
        <v>1857.41</v>
      </c>
      <c r="O375" t="s">
        <v>25</v>
      </c>
      <c r="P375" t="s">
        <v>3060</v>
      </c>
      <c r="Q375" t="s">
        <v>3036</v>
      </c>
      <c r="R375" t="s">
        <v>4977</v>
      </c>
      <c r="S375" t="s">
        <v>4992</v>
      </c>
      <c r="T375" t="s">
        <v>4992</v>
      </c>
    </row>
    <row r="376" spans="1:20" x14ac:dyDescent="0.25">
      <c r="A376" t="s">
        <v>1073</v>
      </c>
      <c r="B376" t="s">
        <v>1074</v>
      </c>
      <c r="C376" s="1">
        <v>46036.323819444442</v>
      </c>
      <c r="D376">
        <v>2107.5100000000002</v>
      </c>
      <c r="E376" t="s">
        <v>52</v>
      </c>
      <c r="F376" t="s">
        <v>429</v>
      </c>
      <c r="G376" t="s">
        <v>26</v>
      </c>
      <c r="H376" t="s">
        <v>1075</v>
      </c>
      <c r="I376" t="s">
        <v>3462</v>
      </c>
      <c r="J376" t="s">
        <v>3034</v>
      </c>
      <c r="K376" s="1">
        <v>46036.330763888887</v>
      </c>
      <c r="L376">
        <v>2107.5100000000002</v>
      </c>
      <c r="M376">
        <v>61.42</v>
      </c>
      <c r="N376">
        <v>2046.09</v>
      </c>
      <c r="O376" t="s">
        <v>52</v>
      </c>
      <c r="P376" t="s">
        <v>3140</v>
      </c>
      <c r="Q376" t="s">
        <v>3036</v>
      </c>
      <c r="R376" t="s">
        <v>4977</v>
      </c>
      <c r="S376" t="s">
        <v>4992</v>
      </c>
      <c r="T376" t="s">
        <v>4992</v>
      </c>
    </row>
    <row r="377" spans="1:20" x14ac:dyDescent="0.25">
      <c r="A377" t="s">
        <v>1073</v>
      </c>
      <c r="B377" t="s">
        <v>1074</v>
      </c>
      <c r="C377" s="1">
        <v>46036.323819444442</v>
      </c>
      <c r="D377">
        <v>2107.5100000000002</v>
      </c>
      <c r="E377" t="s">
        <v>52</v>
      </c>
      <c r="F377" t="s">
        <v>429</v>
      </c>
      <c r="G377" t="s">
        <v>26</v>
      </c>
      <c r="H377" t="s">
        <v>1075</v>
      </c>
      <c r="I377" t="s">
        <v>3463</v>
      </c>
      <c r="J377" t="s">
        <v>3076</v>
      </c>
      <c r="K377" s="1">
        <v>46037.323819444442</v>
      </c>
      <c r="L377">
        <v>-2107.5100000000002</v>
      </c>
      <c r="M377">
        <v>0</v>
      </c>
      <c r="N377">
        <v>-2107.5100000000002</v>
      </c>
      <c r="O377" t="s">
        <v>52</v>
      </c>
      <c r="P377" t="s">
        <v>3464</v>
      </c>
      <c r="Q377" t="s">
        <v>3036</v>
      </c>
      <c r="R377" t="s">
        <v>4977</v>
      </c>
      <c r="S377" t="s">
        <v>4991</v>
      </c>
      <c r="T377" t="s">
        <v>4992</v>
      </c>
    </row>
    <row r="378" spans="1:20" x14ac:dyDescent="0.25">
      <c r="A378" t="s">
        <v>1076</v>
      </c>
      <c r="B378" t="s">
        <v>1077</v>
      </c>
      <c r="C378" s="1">
        <v>46023.403344907405</v>
      </c>
      <c r="D378">
        <v>2406.64</v>
      </c>
      <c r="E378" t="s">
        <v>19</v>
      </c>
      <c r="F378" t="s">
        <v>20</v>
      </c>
      <c r="G378" t="s">
        <v>30</v>
      </c>
      <c r="H378" t="s">
        <v>1078</v>
      </c>
      <c r="I378" t="s">
        <v>3465</v>
      </c>
      <c r="J378" t="s">
        <v>3034</v>
      </c>
      <c r="K378" s="1">
        <v>46023.41028935185</v>
      </c>
      <c r="L378">
        <v>2406.64</v>
      </c>
      <c r="M378">
        <v>70.09</v>
      </c>
      <c r="N378">
        <v>2336.5500000000002</v>
      </c>
      <c r="O378" t="s">
        <v>19</v>
      </c>
      <c r="P378" t="s">
        <v>3466</v>
      </c>
      <c r="Q378" t="s">
        <v>3036</v>
      </c>
      <c r="R378" t="s">
        <v>4977</v>
      </c>
      <c r="S378" t="s">
        <v>4992</v>
      </c>
      <c r="T378" t="s">
        <v>4992</v>
      </c>
    </row>
    <row r="379" spans="1:20" x14ac:dyDescent="0.25">
      <c r="A379" t="s">
        <v>1079</v>
      </c>
      <c r="B379" t="s">
        <v>1080</v>
      </c>
      <c r="C379" s="1">
        <v>46024.504259259258</v>
      </c>
      <c r="D379">
        <v>2119.7199999999998</v>
      </c>
      <c r="E379" t="s">
        <v>25</v>
      </c>
      <c r="F379" t="s">
        <v>20</v>
      </c>
      <c r="G379" t="s">
        <v>21</v>
      </c>
      <c r="H379" t="s">
        <v>1081</v>
      </c>
      <c r="I379" t="s">
        <v>3467</v>
      </c>
      <c r="J379" t="s">
        <v>3034</v>
      </c>
      <c r="K379" s="1">
        <v>46024.511203703703</v>
      </c>
      <c r="L379">
        <v>2119.7199999999998</v>
      </c>
      <c r="M379">
        <v>61.77</v>
      </c>
      <c r="N379">
        <v>2057.9499999999998</v>
      </c>
      <c r="O379" t="s">
        <v>25</v>
      </c>
      <c r="P379" t="s">
        <v>3468</v>
      </c>
      <c r="Q379" t="s">
        <v>3036</v>
      </c>
      <c r="R379" t="s">
        <v>4977</v>
      </c>
      <c r="S379" t="s">
        <v>4992</v>
      </c>
      <c r="T379" t="s">
        <v>4992</v>
      </c>
    </row>
    <row r="380" spans="1:20" x14ac:dyDescent="0.25">
      <c r="A380" t="s">
        <v>1082</v>
      </c>
      <c r="B380" t="s">
        <v>1083</v>
      </c>
      <c r="C380" s="1">
        <v>46025.624849537038</v>
      </c>
      <c r="D380">
        <v>874.64</v>
      </c>
      <c r="E380" t="s">
        <v>25</v>
      </c>
      <c r="F380" t="s">
        <v>20</v>
      </c>
      <c r="G380" t="s">
        <v>26</v>
      </c>
      <c r="H380" t="s">
        <v>1084</v>
      </c>
      <c r="I380" t="s">
        <v>3469</v>
      </c>
      <c r="J380" t="s">
        <v>3034</v>
      </c>
      <c r="K380" s="1">
        <v>46025.631793981483</v>
      </c>
      <c r="L380">
        <v>874.64</v>
      </c>
      <c r="M380">
        <v>25.66</v>
      </c>
      <c r="N380">
        <v>848.98</v>
      </c>
      <c r="O380" t="s">
        <v>25</v>
      </c>
      <c r="P380" t="s">
        <v>3470</v>
      </c>
      <c r="Q380" t="s">
        <v>3036</v>
      </c>
      <c r="R380" t="s">
        <v>4977</v>
      </c>
      <c r="S380" t="s">
        <v>4992</v>
      </c>
      <c r="T380" t="s">
        <v>4992</v>
      </c>
    </row>
    <row r="381" spans="1:20" x14ac:dyDescent="0.25">
      <c r="A381" t="s">
        <v>1085</v>
      </c>
      <c r="B381" t="s">
        <v>1086</v>
      </c>
      <c r="C381" s="1">
        <v>46026.683240740742</v>
      </c>
      <c r="D381">
        <v>513.54999999999995</v>
      </c>
      <c r="E381" t="s">
        <v>25</v>
      </c>
      <c r="F381" t="s">
        <v>20</v>
      </c>
      <c r="G381" t="s">
        <v>30</v>
      </c>
      <c r="H381" t="s">
        <v>1087</v>
      </c>
      <c r="I381" t="s">
        <v>3471</v>
      </c>
      <c r="J381" t="s">
        <v>3034</v>
      </c>
      <c r="K381" s="1">
        <v>46026.690185185187</v>
      </c>
      <c r="L381">
        <v>513.54999999999995</v>
      </c>
      <c r="M381">
        <v>15.19</v>
      </c>
      <c r="N381">
        <v>498.36</v>
      </c>
      <c r="O381" t="s">
        <v>25</v>
      </c>
      <c r="P381" t="s">
        <v>3472</v>
      </c>
      <c r="Q381" t="s">
        <v>3036</v>
      </c>
      <c r="R381" t="s">
        <v>4977</v>
      </c>
      <c r="S381" t="s">
        <v>4992</v>
      </c>
      <c r="T381" t="s">
        <v>4992</v>
      </c>
    </row>
    <row r="382" spans="1:20" x14ac:dyDescent="0.25">
      <c r="A382" t="s">
        <v>1088</v>
      </c>
      <c r="B382" t="s">
        <v>1089</v>
      </c>
      <c r="C382" s="1">
        <v>46027.800243055557</v>
      </c>
      <c r="D382">
        <v>2481.96</v>
      </c>
      <c r="E382" t="s">
        <v>25</v>
      </c>
      <c r="F382" t="s">
        <v>20</v>
      </c>
      <c r="G382" t="s">
        <v>21</v>
      </c>
      <c r="H382" t="s">
        <v>1090</v>
      </c>
      <c r="I382" t="s">
        <v>3473</v>
      </c>
      <c r="J382" t="s">
        <v>3034</v>
      </c>
      <c r="K382" s="1">
        <v>46027.807187500002</v>
      </c>
      <c r="L382">
        <v>2481.96</v>
      </c>
      <c r="M382">
        <v>72.28</v>
      </c>
      <c r="N382">
        <v>2409.6799999999998</v>
      </c>
      <c r="O382" t="s">
        <v>25</v>
      </c>
      <c r="P382" t="s">
        <v>3474</v>
      </c>
      <c r="Q382" t="s">
        <v>3036</v>
      </c>
      <c r="R382" t="s">
        <v>4977</v>
      </c>
      <c r="S382" t="s">
        <v>4992</v>
      </c>
      <c r="T382" t="s">
        <v>4992</v>
      </c>
    </row>
    <row r="383" spans="1:20" x14ac:dyDescent="0.25">
      <c r="A383" t="s">
        <v>1091</v>
      </c>
      <c r="B383" t="s">
        <v>1092</v>
      </c>
      <c r="C383" s="1">
        <v>46028.877210648148</v>
      </c>
      <c r="D383">
        <v>351.15</v>
      </c>
      <c r="E383" t="s">
        <v>25</v>
      </c>
      <c r="F383" t="s">
        <v>20</v>
      </c>
      <c r="G383" t="s">
        <v>26</v>
      </c>
      <c r="H383" t="s">
        <v>1093</v>
      </c>
      <c r="I383" t="s">
        <v>3475</v>
      </c>
      <c r="J383" t="s">
        <v>3034</v>
      </c>
      <c r="K383" s="1">
        <v>46028.884155092594</v>
      </c>
      <c r="L383">
        <v>351.15</v>
      </c>
      <c r="M383">
        <v>10.48</v>
      </c>
      <c r="N383">
        <v>340.67</v>
      </c>
      <c r="O383" t="s">
        <v>25</v>
      </c>
      <c r="P383" t="s">
        <v>3476</v>
      </c>
      <c r="Q383" t="s">
        <v>3036</v>
      </c>
      <c r="R383" t="s">
        <v>4977</v>
      </c>
      <c r="S383" t="s">
        <v>4992</v>
      </c>
      <c r="T383" t="s">
        <v>4992</v>
      </c>
    </row>
    <row r="384" spans="1:20" x14ac:dyDescent="0.25">
      <c r="A384" t="s">
        <v>1094</v>
      </c>
      <c r="B384" t="s">
        <v>1095</v>
      </c>
      <c r="C384" s="1">
        <v>46029.966817129629</v>
      </c>
      <c r="D384">
        <v>1680.45</v>
      </c>
      <c r="E384" t="s">
        <v>25</v>
      </c>
      <c r="F384" t="s">
        <v>20</v>
      </c>
      <c r="G384" t="s">
        <v>30</v>
      </c>
      <c r="H384" t="s">
        <v>1096</v>
      </c>
      <c r="I384" t="s">
        <v>3477</v>
      </c>
      <c r="J384" t="s">
        <v>3034</v>
      </c>
      <c r="K384" s="1">
        <v>46029.973761574074</v>
      </c>
      <c r="L384">
        <v>1680.45</v>
      </c>
      <c r="M384">
        <v>49.03</v>
      </c>
      <c r="N384">
        <v>1631.42</v>
      </c>
      <c r="O384" t="s">
        <v>25</v>
      </c>
      <c r="P384" t="s">
        <v>3478</v>
      </c>
      <c r="Q384" t="s">
        <v>3036</v>
      </c>
      <c r="R384" t="s">
        <v>4977</v>
      </c>
      <c r="S384" t="s">
        <v>4992</v>
      </c>
      <c r="T384" t="s">
        <v>4992</v>
      </c>
    </row>
    <row r="385" spans="1:20" x14ac:dyDescent="0.25">
      <c r="A385" t="s">
        <v>1097</v>
      </c>
      <c r="B385" t="s">
        <v>1098</v>
      </c>
      <c r="C385" s="1">
        <v>46031.075648148151</v>
      </c>
      <c r="D385">
        <v>1514.28</v>
      </c>
      <c r="E385" t="s">
        <v>25</v>
      </c>
      <c r="F385" t="s">
        <v>20</v>
      </c>
      <c r="G385" t="s">
        <v>21</v>
      </c>
      <c r="H385" t="s">
        <v>1099</v>
      </c>
      <c r="I385" t="s">
        <v>3479</v>
      </c>
      <c r="J385" t="s">
        <v>3034</v>
      </c>
      <c r="K385" s="1">
        <v>46031.082592592589</v>
      </c>
      <c r="L385">
        <v>1514.28</v>
      </c>
      <c r="M385">
        <v>44.21</v>
      </c>
      <c r="N385">
        <v>1470.07</v>
      </c>
      <c r="O385" t="s">
        <v>25</v>
      </c>
      <c r="P385" t="s">
        <v>3480</v>
      </c>
      <c r="Q385" t="s">
        <v>3036</v>
      </c>
      <c r="R385" t="s">
        <v>4977</v>
      </c>
      <c r="S385" t="s">
        <v>4992</v>
      </c>
      <c r="T385" t="s">
        <v>4992</v>
      </c>
    </row>
    <row r="386" spans="1:20" x14ac:dyDescent="0.25">
      <c r="A386" t="s">
        <v>1100</v>
      </c>
      <c r="B386" t="s">
        <v>1101</v>
      </c>
      <c r="C386" s="1">
        <v>46032.147696759261</v>
      </c>
      <c r="D386">
        <v>536.98</v>
      </c>
      <c r="E386" t="s">
        <v>25</v>
      </c>
      <c r="F386" t="s">
        <v>20</v>
      </c>
      <c r="G386" t="s">
        <v>26</v>
      </c>
      <c r="H386" t="s">
        <v>1102</v>
      </c>
      <c r="I386" t="s">
        <v>3481</v>
      </c>
      <c r="J386" t="s">
        <v>3034</v>
      </c>
      <c r="K386" s="1">
        <v>46032.154641203706</v>
      </c>
      <c r="L386">
        <v>536.98</v>
      </c>
      <c r="M386">
        <v>15.87</v>
      </c>
      <c r="N386">
        <v>521.11</v>
      </c>
      <c r="O386" t="s">
        <v>25</v>
      </c>
      <c r="P386" t="s">
        <v>3482</v>
      </c>
      <c r="Q386" t="s">
        <v>3036</v>
      </c>
      <c r="R386" t="s">
        <v>4977</v>
      </c>
      <c r="S386" t="s">
        <v>4992</v>
      </c>
      <c r="T386" t="s">
        <v>4992</v>
      </c>
    </row>
    <row r="387" spans="1:20" x14ac:dyDescent="0.25">
      <c r="A387" t="s">
        <v>1103</v>
      </c>
      <c r="B387" t="s">
        <v>1104</v>
      </c>
      <c r="C387" s="1">
        <v>46032.234768518516</v>
      </c>
      <c r="D387">
        <v>2425.8200000000002</v>
      </c>
      <c r="E387" t="s">
        <v>52</v>
      </c>
      <c r="F387" t="s">
        <v>20</v>
      </c>
      <c r="G387" t="s">
        <v>30</v>
      </c>
      <c r="H387" t="s">
        <v>1105</v>
      </c>
      <c r="I387" t="s">
        <v>3483</v>
      </c>
      <c r="J387" t="s">
        <v>3034</v>
      </c>
      <c r="K387" s="1">
        <v>46032.241712962961</v>
      </c>
      <c r="L387">
        <v>2425.8200000000002</v>
      </c>
      <c r="M387">
        <v>70.650000000000006</v>
      </c>
      <c r="N387">
        <v>2355.17</v>
      </c>
      <c r="O387" t="s">
        <v>52</v>
      </c>
      <c r="P387" t="s">
        <v>3484</v>
      </c>
      <c r="Q387" t="s">
        <v>3036</v>
      </c>
      <c r="R387" t="s">
        <v>4977</v>
      </c>
      <c r="S387" t="s">
        <v>4992</v>
      </c>
      <c r="T387" t="s">
        <v>4992</v>
      </c>
    </row>
    <row r="388" spans="1:20" x14ac:dyDescent="0.25">
      <c r="A388" t="s">
        <v>1106</v>
      </c>
      <c r="B388" t="s">
        <v>1107</v>
      </c>
      <c r="C388" s="1">
        <v>46033.346655092595</v>
      </c>
      <c r="D388">
        <v>858.24</v>
      </c>
      <c r="E388" t="s">
        <v>19</v>
      </c>
      <c r="F388" t="s">
        <v>20</v>
      </c>
      <c r="G388" t="s">
        <v>21</v>
      </c>
      <c r="H388" t="s">
        <v>1108</v>
      </c>
      <c r="I388" t="s">
        <v>3485</v>
      </c>
      <c r="J388" t="s">
        <v>3034</v>
      </c>
      <c r="K388" s="1">
        <v>46033.35359953704</v>
      </c>
      <c r="L388">
        <v>858.24</v>
      </c>
      <c r="M388">
        <v>25.19</v>
      </c>
      <c r="N388">
        <v>833.05</v>
      </c>
      <c r="O388" t="s">
        <v>19</v>
      </c>
      <c r="P388" t="s">
        <v>3486</v>
      </c>
      <c r="Q388" t="s">
        <v>3036</v>
      </c>
      <c r="R388" t="s">
        <v>4977</v>
      </c>
      <c r="S388" t="s">
        <v>4992</v>
      </c>
      <c r="T388" t="s">
        <v>4992</v>
      </c>
    </row>
    <row r="389" spans="1:20" x14ac:dyDescent="0.25">
      <c r="A389" t="s">
        <v>1109</v>
      </c>
      <c r="B389" t="s">
        <v>1110</v>
      </c>
      <c r="C389" s="1">
        <v>46034.413865740738</v>
      </c>
      <c r="D389">
        <v>1046.23</v>
      </c>
      <c r="E389" t="s">
        <v>25</v>
      </c>
      <c r="F389" t="s">
        <v>20</v>
      </c>
      <c r="G389" t="s">
        <v>26</v>
      </c>
      <c r="H389" t="s">
        <v>1111</v>
      </c>
      <c r="I389" t="s">
        <v>3487</v>
      </c>
      <c r="J389" t="s">
        <v>3034</v>
      </c>
      <c r="K389" s="1">
        <v>46034.420810185184</v>
      </c>
      <c r="L389">
        <v>1046.23</v>
      </c>
      <c r="M389">
        <v>30.64</v>
      </c>
      <c r="N389">
        <v>1015.59</v>
      </c>
      <c r="O389" t="s">
        <v>25</v>
      </c>
      <c r="P389" t="s">
        <v>3488</v>
      </c>
      <c r="Q389" t="s">
        <v>3036</v>
      </c>
      <c r="R389" t="s">
        <v>4977</v>
      </c>
      <c r="S389" t="s">
        <v>4992</v>
      </c>
      <c r="T389" t="s">
        <v>4992</v>
      </c>
    </row>
    <row r="390" spans="1:20" x14ac:dyDescent="0.25">
      <c r="A390" t="s">
        <v>1112</v>
      </c>
      <c r="B390" t="s">
        <v>1113</v>
      </c>
      <c r="C390" s="1">
        <v>46035.526631944442</v>
      </c>
      <c r="D390">
        <v>71.31</v>
      </c>
      <c r="E390" t="s">
        <v>25</v>
      </c>
      <c r="F390" t="s">
        <v>20</v>
      </c>
      <c r="G390" t="s">
        <v>30</v>
      </c>
      <c r="H390" t="s">
        <v>1114</v>
      </c>
      <c r="I390" t="s">
        <v>3489</v>
      </c>
      <c r="J390" t="s">
        <v>3034</v>
      </c>
      <c r="K390" s="1">
        <v>46035.533576388887</v>
      </c>
      <c r="L390">
        <v>71.31</v>
      </c>
      <c r="M390">
        <v>2.37</v>
      </c>
      <c r="N390">
        <v>68.94</v>
      </c>
      <c r="O390" t="s">
        <v>25</v>
      </c>
      <c r="P390" t="s">
        <v>3490</v>
      </c>
      <c r="Q390" t="s">
        <v>3036</v>
      </c>
      <c r="R390" t="s">
        <v>4977</v>
      </c>
      <c r="S390" t="s">
        <v>4992</v>
      </c>
      <c r="T390" t="s">
        <v>4992</v>
      </c>
    </row>
    <row r="391" spans="1:20" x14ac:dyDescent="0.25">
      <c r="A391" t="s">
        <v>1115</v>
      </c>
      <c r="B391" t="s">
        <v>1116</v>
      </c>
      <c r="C391" s="1">
        <v>46036.615856481483</v>
      </c>
      <c r="D391">
        <v>221.4</v>
      </c>
      <c r="E391" t="s">
        <v>25</v>
      </c>
      <c r="F391" t="s">
        <v>20</v>
      </c>
      <c r="G391" t="s">
        <v>21</v>
      </c>
      <c r="H391" t="s">
        <v>1117</v>
      </c>
      <c r="I391" t="s">
        <v>3491</v>
      </c>
      <c r="J391" t="s">
        <v>3034</v>
      </c>
      <c r="K391" s="1">
        <v>46036.622800925928</v>
      </c>
      <c r="L391">
        <v>221.4</v>
      </c>
      <c r="M391">
        <v>6.72</v>
      </c>
      <c r="N391">
        <v>214.68</v>
      </c>
      <c r="O391" t="s">
        <v>25</v>
      </c>
      <c r="P391" t="s">
        <v>3492</v>
      </c>
      <c r="Q391" t="s">
        <v>3036</v>
      </c>
      <c r="R391" t="s">
        <v>4977</v>
      </c>
      <c r="S391" t="s">
        <v>4992</v>
      </c>
      <c r="T391" t="s">
        <v>4992</v>
      </c>
    </row>
    <row r="392" spans="1:20" x14ac:dyDescent="0.25">
      <c r="A392" t="s">
        <v>1118</v>
      </c>
      <c r="B392" t="s">
        <v>1119</v>
      </c>
      <c r="C392" s="1">
        <v>46023.719768518517</v>
      </c>
      <c r="D392">
        <v>1852.59</v>
      </c>
      <c r="E392" t="s">
        <v>25</v>
      </c>
      <c r="F392" t="s">
        <v>20</v>
      </c>
      <c r="G392" t="s">
        <v>26</v>
      </c>
      <c r="H392" t="s">
        <v>1120</v>
      </c>
      <c r="I392" t="s">
        <v>3493</v>
      </c>
      <c r="J392" t="s">
        <v>3034</v>
      </c>
      <c r="K392" s="1">
        <v>46023.726712962962</v>
      </c>
      <c r="L392">
        <v>1852.59</v>
      </c>
      <c r="M392">
        <v>54.03</v>
      </c>
      <c r="N392">
        <v>1798.56</v>
      </c>
      <c r="O392" t="s">
        <v>25</v>
      </c>
      <c r="P392" t="s">
        <v>3494</v>
      </c>
      <c r="Q392" t="s">
        <v>3036</v>
      </c>
      <c r="R392" t="s">
        <v>4977</v>
      </c>
      <c r="S392" t="s">
        <v>4992</v>
      </c>
      <c r="T392" t="s">
        <v>4992</v>
      </c>
    </row>
    <row r="393" spans="1:20" x14ac:dyDescent="0.25">
      <c r="A393" t="s">
        <v>1121</v>
      </c>
      <c r="B393" t="s">
        <v>1122</v>
      </c>
      <c r="C393" s="1">
        <v>46024.784594907411</v>
      </c>
      <c r="D393">
        <v>307.02999999999997</v>
      </c>
      <c r="E393" t="s">
        <v>25</v>
      </c>
      <c r="F393" t="s">
        <v>20</v>
      </c>
      <c r="G393" t="s">
        <v>30</v>
      </c>
      <c r="H393" t="s">
        <v>1123</v>
      </c>
      <c r="I393" t="s">
        <v>3495</v>
      </c>
      <c r="J393" t="s">
        <v>3034</v>
      </c>
      <c r="K393" s="1">
        <v>46024.791539351849</v>
      </c>
      <c r="L393">
        <v>307.02999999999997</v>
      </c>
      <c r="M393">
        <v>9.1999999999999993</v>
      </c>
      <c r="N393">
        <v>297.83</v>
      </c>
      <c r="O393" t="s">
        <v>25</v>
      </c>
      <c r="P393" t="s">
        <v>3468</v>
      </c>
      <c r="Q393" t="s">
        <v>3036</v>
      </c>
      <c r="R393" t="s">
        <v>4977</v>
      </c>
      <c r="S393" t="s">
        <v>4992</v>
      </c>
      <c r="T393" t="s">
        <v>4992</v>
      </c>
    </row>
    <row r="394" spans="1:20" x14ac:dyDescent="0.25">
      <c r="A394" t="s">
        <v>1124</v>
      </c>
      <c r="B394" t="s">
        <v>1125</v>
      </c>
      <c r="C394" s="1">
        <v>46025.901956018519</v>
      </c>
      <c r="D394">
        <v>1279.97</v>
      </c>
      <c r="E394" t="s">
        <v>25</v>
      </c>
      <c r="F394" t="s">
        <v>92</v>
      </c>
      <c r="G394" t="s">
        <v>21</v>
      </c>
      <c r="H394" t="s">
        <v>1126</v>
      </c>
      <c r="I394" t="s">
        <v>3496</v>
      </c>
      <c r="J394" t="s">
        <v>3034</v>
      </c>
      <c r="K394" s="1">
        <v>46025.908900462964</v>
      </c>
      <c r="L394">
        <v>1279.97</v>
      </c>
      <c r="M394">
        <v>37.42</v>
      </c>
      <c r="N394">
        <v>1242.55</v>
      </c>
      <c r="O394" t="s">
        <v>25</v>
      </c>
      <c r="P394" t="s">
        <v>3470</v>
      </c>
      <c r="Q394" t="s">
        <v>3036</v>
      </c>
      <c r="R394" t="s">
        <v>4977</v>
      </c>
      <c r="S394" t="s">
        <v>4992</v>
      </c>
      <c r="T394" t="s">
        <v>4992</v>
      </c>
    </row>
    <row r="395" spans="1:20" x14ac:dyDescent="0.25">
      <c r="A395" t="s">
        <v>1124</v>
      </c>
      <c r="B395" t="s">
        <v>1125</v>
      </c>
      <c r="C395" s="1">
        <v>46025.901956018519</v>
      </c>
      <c r="D395">
        <v>1279.97</v>
      </c>
      <c r="E395" t="s">
        <v>25</v>
      </c>
      <c r="F395" t="s">
        <v>92</v>
      </c>
      <c r="G395" t="s">
        <v>21</v>
      </c>
      <c r="H395" t="s">
        <v>1126</v>
      </c>
      <c r="I395" t="s">
        <v>3497</v>
      </c>
      <c r="J395" t="s">
        <v>3076</v>
      </c>
      <c r="K395" s="1">
        <v>46026.901956018519</v>
      </c>
      <c r="L395">
        <v>-639.99</v>
      </c>
      <c r="M395">
        <v>0</v>
      </c>
      <c r="N395">
        <v>-639.99</v>
      </c>
      <c r="O395" t="s">
        <v>25</v>
      </c>
      <c r="P395" t="s">
        <v>3498</v>
      </c>
      <c r="Q395" t="s">
        <v>3036</v>
      </c>
      <c r="R395" t="s">
        <v>4977</v>
      </c>
      <c r="S395" t="s">
        <v>4991</v>
      </c>
      <c r="T395" t="s">
        <v>4992</v>
      </c>
    </row>
    <row r="396" spans="1:20" x14ac:dyDescent="0.25">
      <c r="A396" t="s">
        <v>1127</v>
      </c>
      <c r="B396" t="s">
        <v>1128</v>
      </c>
      <c r="C396" s="1">
        <v>46026.994756944441</v>
      </c>
      <c r="D396">
        <v>1354.32</v>
      </c>
      <c r="E396" t="s">
        <v>25</v>
      </c>
      <c r="F396" t="s">
        <v>20</v>
      </c>
      <c r="G396" t="s">
        <v>26</v>
      </c>
      <c r="H396" t="s">
        <v>1129</v>
      </c>
      <c r="I396" t="s">
        <v>3499</v>
      </c>
      <c r="J396" t="s">
        <v>3034</v>
      </c>
      <c r="K396" s="1">
        <v>46027.001701388886</v>
      </c>
      <c r="L396">
        <v>1354.32</v>
      </c>
      <c r="M396">
        <v>39.58</v>
      </c>
      <c r="N396">
        <v>1314.74</v>
      </c>
      <c r="O396" t="s">
        <v>25</v>
      </c>
      <c r="P396" t="s">
        <v>3472</v>
      </c>
      <c r="Q396" t="s">
        <v>3036</v>
      </c>
      <c r="R396" t="s">
        <v>4977</v>
      </c>
      <c r="S396" t="s">
        <v>4992</v>
      </c>
      <c r="T396" t="s">
        <v>4992</v>
      </c>
    </row>
    <row r="397" spans="1:20" x14ac:dyDescent="0.25">
      <c r="A397" t="s">
        <v>1130</v>
      </c>
      <c r="B397" t="s">
        <v>1131</v>
      </c>
      <c r="C397" s="1">
        <v>46028.052222222221</v>
      </c>
      <c r="D397">
        <v>1064.79</v>
      </c>
      <c r="E397" t="s">
        <v>25</v>
      </c>
      <c r="F397" t="s">
        <v>20</v>
      </c>
      <c r="G397" t="s">
        <v>30</v>
      </c>
      <c r="H397" t="s">
        <v>1132</v>
      </c>
      <c r="I397" t="s">
        <v>3500</v>
      </c>
      <c r="J397" t="s">
        <v>3034</v>
      </c>
      <c r="K397" s="1">
        <v>46028.059166666666</v>
      </c>
      <c r="L397">
        <v>1064.79</v>
      </c>
      <c r="M397">
        <v>31.18</v>
      </c>
      <c r="N397">
        <v>1033.6099999999999</v>
      </c>
      <c r="O397" t="s">
        <v>25</v>
      </c>
      <c r="P397" t="s">
        <v>3474</v>
      </c>
      <c r="Q397" t="s">
        <v>3036</v>
      </c>
      <c r="R397" t="s">
        <v>4977</v>
      </c>
      <c r="S397" t="s">
        <v>4992</v>
      </c>
      <c r="T397" t="s">
        <v>4992</v>
      </c>
    </row>
    <row r="398" spans="1:20" x14ac:dyDescent="0.25">
      <c r="A398" t="s">
        <v>1133</v>
      </c>
      <c r="B398" t="s">
        <v>1134</v>
      </c>
      <c r="C398" s="1">
        <v>46029.157743055555</v>
      </c>
      <c r="D398">
        <v>347.85</v>
      </c>
      <c r="E398" t="s">
        <v>52</v>
      </c>
      <c r="F398" t="s">
        <v>20</v>
      </c>
      <c r="G398" t="s">
        <v>21</v>
      </c>
      <c r="H398" t="s">
        <v>1135</v>
      </c>
      <c r="I398" t="s">
        <v>3501</v>
      </c>
      <c r="J398" t="s">
        <v>3034</v>
      </c>
      <c r="K398" s="1">
        <v>46029.164687500001</v>
      </c>
      <c r="L398">
        <v>347.85</v>
      </c>
      <c r="M398">
        <v>10.39</v>
      </c>
      <c r="N398">
        <v>337.46</v>
      </c>
      <c r="O398" t="s">
        <v>52</v>
      </c>
      <c r="P398" t="s">
        <v>3502</v>
      </c>
      <c r="Q398" t="s">
        <v>3036</v>
      </c>
      <c r="R398" t="s">
        <v>4977</v>
      </c>
      <c r="S398" t="s">
        <v>4992</v>
      </c>
      <c r="T398" t="s">
        <v>4992</v>
      </c>
    </row>
    <row r="399" spans="1:20" x14ac:dyDescent="0.25">
      <c r="A399" t="s">
        <v>1136</v>
      </c>
      <c r="B399" t="s">
        <v>1137</v>
      </c>
      <c r="C399" s="1">
        <v>46029.266793981478</v>
      </c>
      <c r="D399">
        <v>236</v>
      </c>
      <c r="E399" t="s">
        <v>19</v>
      </c>
      <c r="F399" t="s">
        <v>20</v>
      </c>
      <c r="G399" t="s">
        <v>26</v>
      </c>
      <c r="H399" t="s">
        <v>1138</v>
      </c>
      <c r="I399" t="s">
        <v>3503</v>
      </c>
      <c r="J399" t="s">
        <v>3034</v>
      </c>
      <c r="K399" s="1">
        <v>46029.273738425924</v>
      </c>
      <c r="L399">
        <v>236</v>
      </c>
      <c r="M399">
        <v>7.14</v>
      </c>
      <c r="N399">
        <v>228.86</v>
      </c>
      <c r="O399" t="s">
        <v>19</v>
      </c>
      <c r="P399" t="s">
        <v>3504</v>
      </c>
      <c r="Q399" t="s">
        <v>3036</v>
      </c>
      <c r="R399" t="s">
        <v>4977</v>
      </c>
      <c r="S399" t="s">
        <v>4992</v>
      </c>
      <c r="T399" t="s">
        <v>4992</v>
      </c>
    </row>
    <row r="400" spans="1:20" x14ac:dyDescent="0.25">
      <c r="A400" t="s">
        <v>1139</v>
      </c>
      <c r="B400" t="s">
        <v>1140</v>
      </c>
      <c r="C400" s="1">
        <v>46030.344027777777</v>
      </c>
      <c r="D400">
        <v>1615.31</v>
      </c>
      <c r="E400" t="s">
        <v>25</v>
      </c>
      <c r="F400" t="s">
        <v>20</v>
      </c>
      <c r="G400" t="s">
        <v>30</v>
      </c>
      <c r="H400" t="s">
        <v>1141</v>
      </c>
      <c r="I400" t="s">
        <v>3505</v>
      </c>
      <c r="J400" t="s">
        <v>3034</v>
      </c>
      <c r="K400" s="1">
        <v>46030.350972222222</v>
      </c>
      <c r="L400">
        <v>1615.31</v>
      </c>
      <c r="M400">
        <v>47.14</v>
      </c>
      <c r="N400">
        <v>1568.17</v>
      </c>
      <c r="O400" t="s">
        <v>25</v>
      </c>
      <c r="P400" t="s">
        <v>3480</v>
      </c>
      <c r="Q400" t="s">
        <v>3036</v>
      </c>
      <c r="R400" t="s">
        <v>4977</v>
      </c>
      <c r="S400" t="s">
        <v>4992</v>
      </c>
      <c r="T400" t="s">
        <v>4992</v>
      </c>
    </row>
    <row r="401" spans="1:20" x14ac:dyDescent="0.25">
      <c r="A401" t="s">
        <v>1142</v>
      </c>
      <c r="B401" t="s">
        <v>1143</v>
      </c>
      <c r="C401" s="1">
        <v>46031.420104166667</v>
      </c>
      <c r="D401">
        <v>2307.9</v>
      </c>
      <c r="E401" t="s">
        <v>25</v>
      </c>
      <c r="F401" t="s">
        <v>20</v>
      </c>
      <c r="G401" t="s">
        <v>21</v>
      </c>
      <c r="H401" t="s">
        <v>1144</v>
      </c>
      <c r="I401" t="s">
        <v>3506</v>
      </c>
      <c r="J401" t="s">
        <v>3034</v>
      </c>
      <c r="K401" s="1">
        <v>46031.427048611113</v>
      </c>
      <c r="L401">
        <v>2307.9</v>
      </c>
      <c r="M401">
        <v>67.23</v>
      </c>
      <c r="N401">
        <v>2240.67</v>
      </c>
      <c r="O401" t="s">
        <v>25</v>
      </c>
      <c r="P401" t="s">
        <v>3482</v>
      </c>
      <c r="Q401" t="s">
        <v>3036</v>
      </c>
      <c r="R401" t="s">
        <v>4977</v>
      </c>
      <c r="S401" t="s">
        <v>4992</v>
      </c>
      <c r="T401" t="s">
        <v>4992</v>
      </c>
    </row>
    <row r="402" spans="1:20" x14ac:dyDescent="0.25">
      <c r="A402" t="s">
        <v>1145</v>
      </c>
      <c r="B402" t="s">
        <v>1146</v>
      </c>
      <c r="C402" s="1">
        <v>46032.515625</v>
      </c>
      <c r="D402">
        <v>1852.64</v>
      </c>
      <c r="E402" t="s">
        <v>25</v>
      </c>
      <c r="F402" t="s">
        <v>20</v>
      </c>
      <c r="G402" t="s">
        <v>26</v>
      </c>
      <c r="H402" t="s">
        <v>1147</v>
      </c>
      <c r="I402" t="s">
        <v>3507</v>
      </c>
      <c r="J402" t="s">
        <v>3034</v>
      </c>
      <c r="K402" s="1">
        <v>46032.522569444445</v>
      </c>
      <c r="L402">
        <v>1852.64</v>
      </c>
      <c r="M402">
        <v>54.03</v>
      </c>
      <c r="N402">
        <v>1798.61</v>
      </c>
      <c r="O402" t="s">
        <v>25</v>
      </c>
      <c r="P402" t="s">
        <v>3508</v>
      </c>
      <c r="Q402" t="s">
        <v>3036</v>
      </c>
      <c r="R402" t="s">
        <v>4977</v>
      </c>
      <c r="S402" t="s">
        <v>4992</v>
      </c>
      <c r="T402" t="s">
        <v>4992</v>
      </c>
    </row>
    <row r="403" spans="1:20" x14ac:dyDescent="0.25">
      <c r="A403" t="s">
        <v>1148</v>
      </c>
      <c r="B403" t="s">
        <v>1149</v>
      </c>
      <c r="C403" s="1">
        <v>46033.601469907408</v>
      </c>
      <c r="D403">
        <v>1994.5</v>
      </c>
      <c r="E403" t="s">
        <v>25</v>
      </c>
      <c r="F403" t="s">
        <v>20</v>
      </c>
      <c r="G403" t="s">
        <v>30</v>
      </c>
      <c r="H403" t="s">
        <v>1150</v>
      </c>
      <c r="I403" t="s">
        <v>3509</v>
      </c>
      <c r="J403" t="s">
        <v>3034</v>
      </c>
      <c r="K403" s="1">
        <v>46033.608414351853</v>
      </c>
      <c r="L403">
        <v>1994.5</v>
      </c>
      <c r="M403">
        <v>58.14</v>
      </c>
      <c r="N403">
        <v>1936.36</v>
      </c>
      <c r="O403" t="s">
        <v>25</v>
      </c>
      <c r="P403" t="s">
        <v>3510</v>
      </c>
      <c r="Q403" t="s">
        <v>3036</v>
      </c>
      <c r="R403" t="s">
        <v>4977</v>
      </c>
      <c r="S403" t="s">
        <v>4992</v>
      </c>
      <c r="T403" t="s">
        <v>4992</v>
      </c>
    </row>
    <row r="404" spans="1:20" x14ac:dyDescent="0.25">
      <c r="A404" t="s">
        <v>1151</v>
      </c>
      <c r="B404" t="s">
        <v>1152</v>
      </c>
      <c r="C404" s="1">
        <v>46034.701493055552</v>
      </c>
      <c r="D404">
        <v>1197.72</v>
      </c>
      <c r="E404" t="s">
        <v>25</v>
      </c>
      <c r="F404" t="s">
        <v>20</v>
      </c>
      <c r="G404" t="s">
        <v>21</v>
      </c>
      <c r="H404" t="s">
        <v>1153</v>
      </c>
      <c r="I404" t="s">
        <v>3511</v>
      </c>
      <c r="J404" t="s">
        <v>3034</v>
      </c>
      <c r="K404" s="1">
        <v>46034.708437499998</v>
      </c>
      <c r="L404">
        <v>1197.72</v>
      </c>
      <c r="M404">
        <v>35.03</v>
      </c>
      <c r="N404">
        <v>1162.69</v>
      </c>
      <c r="O404" t="s">
        <v>25</v>
      </c>
      <c r="P404" t="s">
        <v>3512</v>
      </c>
      <c r="Q404" t="s">
        <v>3036</v>
      </c>
      <c r="R404" t="s">
        <v>4977</v>
      </c>
      <c r="S404" t="s">
        <v>4992</v>
      </c>
      <c r="T404" t="s">
        <v>4992</v>
      </c>
    </row>
    <row r="405" spans="1:20" x14ac:dyDescent="0.25">
      <c r="A405" t="s">
        <v>1154</v>
      </c>
      <c r="B405" t="s">
        <v>1155</v>
      </c>
      <c r="C405" s="1">
        <v>46035.803796296299</v>
      </c>
      <c r="D405">
        <v>1794.02</v>
      </c>
      <c r="E405" t="s">
        <v>25</v>
      </c>
      <c r="F405" t="s">
        <v>20</v>
      </c>
      <c r="G405" t="s">
        <v>26</v>
      </c>
      <c r="H405" t="s">
        <v>1156</v>
      </c>
      <c r="I405" t="s">
        <v>3513</v>
      </c>
      <c r="J405" t="s">
        <v>3034</v>
      </c>
      <c r="K405" s="1">
        <v>46035.810740740744</v>
      </c>
      <c r="L405">
        <v>1794.02</v>
      </c>
      <c r="M405">
        <v>52.33</v>
      </c>
      <c r="N405">
        <v>1741.69</v>
      </c>
      <c r="O405" t="s">
        <v>25</v>
      </c>
      <c r="P405" t="s">
        <v>3490</v>
      </c>
      <c r="Q405" t="s">
        <v>3036</v>
      </c>
      <c r="R405" t="s">
        <v>4977</v>
      </c>
      <c r="S405" t="s">
        <v>4992</v>
      </c>
      <c r="T405" t="s">
        <v>4992</v>
      </c>
    </row>
    <row r="406" spans="1:20" x14ac:dyDescent="0.25">
      <c r="A406" t="s">
        <v>1157</v>
      </c>
      <c r="B406" t="s">
        <v>1158</v>
      </c>
      <c r="C406" s="1">
        <v>46036.883379629631</v>
      </c>
      <c r="D406">
        <v>2300.46</v>
      </c>
      <c r="E406" t="s">
        <v>25</v>
      </c>
      <c r="F406" t="s">
        <v>20</v>
      </c>
      <c r="G406" t="s">
        <v>30</v>
      </c>
      <c r="H406" t="s">
        <v>1159</v>
      </c>
      <c r="I406" t="s">
        <v>3514</v>
      </c>
      <c r="J406" t="s">
        <v>3034</v>
      </c>
      <c r="K406" s="1">
        <v>46036.890324074076</v>
      </c>
      <c r="L406">
        <v>2300.46</v>
      </c>
      <c r="M406">
        <v>67.010000000000005</v>
      </c>
      <c r="N406">
        <v>2233.4499999999998</v>
      </c>
      <c r="O406" t="s">
        <v>52</v>
      </c>
      <c r="P406" t="s">
        <v>3515</v>
      </c>
      <c r="Q406" t="s">
        <v>3036</v>
      </c>
      <c r="R406" t="s">
        <v>4977</v>
      </c>
      <c r="S406" t="s">
        <v>4992</v>
      </c>
      <c r="T406" t="s">
        <v>4993</v>
      </c>
    </row>
    <row r="407" spans="1:20" x14ac:dyDescent="0.25">
      <c r="A407" t="s">
        <v>1160</v>
      </c>
      <c r="B407" t="s">
        <v>1161</v>
      </c>
      <c r="C407" s="1">
        <v>46023.979305555556</v>
      </c>
      <c r="D407">
        <v>771.88</v>
      </c>
      <c r="E407" t="s">
        <v>25</v>
      </c>
      <c r="F407" t="s">
        <v>20</v>
      </c>
      <c r="G407" t="s">
        <v>21</v>
      </c>
      <c r="H407" t="s">
        <v>1162</v>
      </c>
      <c r="I407" t="s">
        <v>3516</v>
      </c>
      <c r="J407" t="s">
        <v>3034</v>
      </c>
      <c r="K407" s="1">
        <v>46023.986250000002</v>
      </c>
      <c r="L407">
        <v>771.88</v>
      </c>
      <c r="M407">
        <v>22.68</v>
      </c>
      <c r="N407">
        <v>749.2</v>
      </c>
      <c r="O407" t="s">
        <v>25</v>
      </c>
      <c r="P407" t="s">
        <v>3494</v>
      </c>
      <c r="Q407" t="s">
        <v>3036</v>
      </c>
      <c r="R407" t="s">
        <v>4977</v>
      </c>
      <c r="S407" t="s">
        <v>4992</v>
      </c>
      <c r="T407" t="s">
        <v>4992</v>
      </c>
    </row>
    <row r="408" spans="1:20" x14ac:dyDescent="0.25">
      <c r="A408" t="s">
        <v>1163</v>
      </c>
      <c r="B408" t="s">
        <v>1164</v>
      </c>
      <c r="C408" s="1">
        <v>46025.063113425924</v>
      </c>
      <c r="D408">
        <v>69.66</v>
      </c>
      <c r="E408" t="s">
        <v>52</v>
      </c>
      <c r="F408" t="s">
        <v>20</v>
      </c>
      <c r="G408" t="s">
        <v>26</v>
      </c>
      <c r="H408" t="s">
        <v>1165</v>
      </c>
      <c r="I408" t="s">
        <v>3517</v>
      </c>
      <c r="J408" t="s">
        <v>3034</v>
      </c>
      <c r="K408" s="1">
        <v>46025.070057870369</v>
      </c>
      <c r="L408">
        <v>69.66</v>
      </c>
      <c r="M408">
        <v>2.3199999999999998</v>
      </c>
      <c r="N408">
        <v>67.34</v>
      </c>
      <c r="O408" t="s">
        <v>52</v>
      </c>
      <c r="P408" t="s">
        <v>3518</v>
      </c>
      <c r="Q408" t="s">
        <v>3036</v>
      </c>
      <c r="R408" t="s">
        <v>4977</v>
      </c>
      <c r="S408" t="s">
        <v>4992</v>
      </c>
      <c r="T408" t="s">
        <v>4992</v>
      </c>
    </row>
    <row r="409" spans="1:20" x14ac:dyDescent="0.25">
      <c r="A409" t="s">
        <v>1166</v>
      </c>
      <c r="B409" t="s">
        <v>1167</v>
      </c>
      <c r="C409" s="1">
        <v>46026.178159722222</v>
      </c>
      <c r="D409">
        <v>837.41</v>
      </c>
      <c r="E409" t="s">
        <v>19</v>
      </c>
      <c r="F409" t="s">
        <v>20</v>
      </c>
      <c r="G409" t="s">
        <v>30</v>
      </c>
      <c r="H409" t="s">
        <v>1168</v>
      </c>
      <c r="I409" t="s">
        <v>3519</v>
      </c>
      <c r="J409" t="s">
        <v>3034</v>
      </c>
      <c r="K409" s="1">
        <v>46026.185104166667</v>
      </c>
      <c r="L409">
        <v>837.41</v>
      </c>
      <c r="M409">
        <v>24.58</v>
      </c>
      <c r="N409">
        <v>812.83</v>
      </c>
      <c r="O409" t="s">
        <v>19</v>
      </c>
      <c r="P409" t="s">
        <v>3520</v>
      </c>
      <c r="Q409" t="s">
        <v>3036</v>
      </c>
      <c r="R409" t="s">
        <v>4977</v>
      </c>
      <c r="S409" t="s">
        <v>4992</v>
      </c>
      <c r="T409" t="s">
        <v>4992</v>
      </c>
    </row>
    <row r="410" spans="1:20" x14ac:dyDescent="0.25">
      <c r="A410" t="s">
        <v>1169</v>
      </c>
      <c r="B410" t="s">
        <v>1170</v>
      </c>
      <c r="C410" s="1">
        <v>46026.276064814818</v>
      </c>
      <c r="D410">
        <v>1695.16</v>
      </c>
      <c r="E410" t="s">
        <v>25</v>
      </c>
      <c r="F410" t="s">
        <v>92</v>
      </c>
      <c r="G410" t="s">
        <v>21</v>
      </c>
      <c r="H410" t="s">
        <v>1171</v>
      </c>
      <c r="I410" t="s">
        <v>3521</v>
      </c>
      <c r="J410" t="s">
        <v>3034</v>
      </c>
      <c r="K410" s="1">
        <v>46026.283009259256</v>
      </c>
      <c r="L410">
        <v>1695.16</v>
      </c>
      <c r="M410">
        <v>49.46</v>
      </c>
      <c r="N410">
        <v>1645.7</v>
      </c>
      <c r="O410" t="s">
        <v>25</v>
      </c>
      <c r="P410" t="s">
        <v>3472</v>
      </c>
      <c r="Q410" t="s">
        <v>3036</v>
      </c>
      <c r="R410" t="s">
        <v>4977</v>
      </c>
      <c r="S410" t="s">
        <v>4992</v>
      </c>
      <c r="T410" t="s">
        <v>4992</v>
      </c>
    </row>
    <row r="411" spans="1:20" x14ac:dyDescent="0.25">
      <c r="A411" t="s">
        <v>1169</v>
      </c>
      <c r="B411" t="s">
        <v>1170</v>
      </c>
      <c r="C411" s="1">
        <v>46026.276064814818</v>
      </c>
      <c r="D411">
        <v>1695.16</v>
      </c>
      <c r="E411" t="s">
        <v>25</v>
      </c>
      <c r="F411" t="s">
        <v>92</v>
      </c>
      <c r="G411" t="s">
        <v>21</v>
      </c>
      <c r="H411" t="s">
        <v>1171</v>
      </c>
      <c r="I411" t="s">
        <v>3522</v>
      </c>
      <c r="J411" t="s">
        <v>3076</v>
      </c>
      <c r="K411" s="1">
        <v>46027.276064814818</v>
      </c>
      <c r="L411">
        <v>-847.58</v>
      </c>
      <c r="M411">
        <v>0</v>
      </c>
      <c r="N411">
        <v>-847.58</v>
      </c>
      <c r="O411" t="s">
        <v>25</v>
      </c>
      <c r="P411" t="s">
        <v>3523</v>
      </c>
      <c r="Q411" t="s">
        <v>3036</v>
      </c>
      <c r="R411" t="s">
        <v>4977</v>
      </c>
      <c r="S411" t="s">
        <v>4991</v>
      </c>
      <c r="T411" t="s">
        <v>4992</v>
      </c>
    </row>
    <row r="412" spans="1:20" x14ac:dyDescent="0.25">
      <c r="A412" t="s">
        <v>1172</v>
      </c>
      <c r="B412" t="s">
        <v>1173</v>
      </c>
      <c r="C412" s="1">
        <v>46027.36515046296</v>
      </c>
      <c r="D412">
        <v>2305.9</v>
      </c>
      <c r="E412" t="s">
        <v>25</v>
      </c>
      <c r="F412" t="s">
        <v>20</v>
      </c>
      <c r="G412" t="s">
        <v>26</v>
      </c>
      <c r="H412" t="s">
        <v>1174</v>
      </c>
      <c r="I412" t="s">
        <v>3524</v>
      </c>
      <c r="J412" t="s">
        <v>3034</v>
      </c>
      <c r="K412" s="1">
        <v>46027.372094907405</v>
      </c>
      <c r="L412">
        <v>2305.9</v>
      </c>
      <c r="M412">
        <v>67.17</v>
      </c>
      <c r="N412">
        <v>2238.73</v>
      </c>
      <c r="O412" t="s">
        <v>25</v>
      </c>
      <c r="P412" t="s">
        <v>3474</v>
      </c>
      <c r="Q412" t="s">
        <v>3036</v>
      </c>
      <c r="R412" t="s">
        <v>4977</v>
      </c>
      <c r="S412" t="s">
        <v>4992</v>
      </c>
      <c r="T412" t="s">
        <v>4992</v>
      </c>
    </row>
    <row r="413" spans="1:20" x14ac:dyDescent="0.25">
      <c r="A413" t="s">
        <v>1175</v>
      </c>
      <c r="B413" t="s">
        <v>1176</v>
      </c>
      <c r="C413" s="1">
        <v>46028.434791666667</v>
      </c>
      <c r="D413">
        <v>2390.87</v>
      </c>
      <c r="E413" t="s">
        <v>25</v>
      </c>
      <c r="F413" t="s">
        <v>20</v>
      </c>
      <c r="G413" t="s">
        <v>30</v>
      </c>
      <c r="H413" t="s">
        <v>1177</v>
      </c>
      <c r="I413" t="s">
        <v>3525</v>
      </c>
      <c r="J413" t="s">
        <v>3034</v>
      </c>
      <c r="K413" s="1">
        <v>46028.441736111112</v>
      </c>
      <c r="L413">
        <v>2390.87</v>
      </c>
      <c r="M413">
        <v>69.64</v>
      </c>
      <c r="N413">
        <v>2321.23</v>
      </c>
      <c r="O413" t="s">
        <v>25</v>
      </c>
      <c r="P413" t="s">
        <v>3476</v>
      </c>
      <c r="Q413" t="s">
        <v>3036</v>
      </c>
      <c r="R413" t="s">
        <v>4977</v>
      </c>
      <c r="S413" t="s">
        <v>4992</v>
      </c>
      <c r="T413" t="s">
        <v>4992</v>
      </c>
    </row>
    <row r="414" spans="1:20" x14ac:dyDescent="0.25">
      <c r="A414" t="s">
        <v>1178</v>
      </c>
      <c r="B414" t="s">
        <v>1179</v>
      </c>
      <c r="C414" s="1">
        <v>46029.533622685187</v>
      </c>
      <c r="D414">
        <v>1039.07</v>
      </c>
      <c r="E414" t="s">
        <v>25</v>
      </c>
      <c r="F414" t="s">
        <v>20</v>
      </c>
      <c r="G414" t="s">
        <v>21</v>
      </c>
      <c r="H414" t="s">
        <v>1180</v>
      </c>
      <c r="I414" t="s">
        <v>3526</v>
      </c>
      <c r="J414" t="s">
        <v>3034</v>
      </c>
      <c r="K414" s="1">
        <v>46029.540567129632</v>
      </c>
      <c r="L414">
        <v>1039.07</v>
      </c>
      <c r="M414">
        <v>30.43</v>
      </c>
      <c r="N414">
        <v>1008.64</v>
      </c>
      <c r="O414" t="s">
        <v>25</v>
      </c>
      <c r="P414" t="s">
        <v>3478</v>
      </c>
      <c r="Q414" t="s">
        <v>3036</v>
      </c>
      <c r="R414" t="s">
        <v>4977</v>
      </c>
      <c r="S414" t="s">
        <v>4992</v>
      </c>
      <c r="T414" t="s">
        <v>4992</v>
      </c>
    </row>
    <row r="415" spans="1:20" x14ac:dyDescent="0.25">
      <c r="A415" t="s">
        <v>1181</v>
      </c>
      <c r="B415" t="s">
        <v>1182</v>
      </c>
      <c r="C415" s="1">
        <v>46030.637754629628</v>
      </c>
      <c r="D415">
        <v>276.97000000000003</v>
      </c>
      <c r="E415" t="s">
        <v>25</v>
      </c>
      <c r="F415" t="s">
        <v>20</v>
      </c>
      <c r="G415" t="s">
        <v>26</v>
      </c>
      <c r="H415" t="s">
        <v>1183</v>
      </c>
      <c r="I415" t="s">
        <v>3527</v>
      </c>
      <c r="J415" t="s">
        <v>3034</v>
      </c>
      <c r="K415" s="1">
        <v>46030.644699074073</v>
      </c>
      <c r="L415">
        <v>276.97000000000003</v>
      </c>
      <c r="M415">
        <v>8.33</v>
      </c>
      <c r="N415">
        <v>268.64</v>
      </c>
      <c r="O415" t="s">
        <v>25</v>
      </c>
      <c r="P415" t="s">
        <v>3480</v>
      </c>
      <c r="Q415" t="s">
        <v>3036</v>
      </c>
      <c r="R415" t="s">
        <v>4977</v>
      </c>
      <c r="S415" t="s">
        <v>4992</v>
      </c>
      <c r="T415" t="s">
        <v>4992</v>
      </c>
    </row>
    <row r="416" spans="1:20" x14ac:dyDescent="0.25">
      <c r="A416" t="s">
        <v>1184</v>
      </c>
      <c r="B416" t="s">
        <v>1185</v>
      </c>
      <c r="C416" s="1">
        <v>46031.702835648146</v>
      </c>
      <c r="D416">
        <v>2373.16</v>
      </c>
      <c r="E416" t="s">
        <v>25</v>
      </c>
      <c r="F416" t="s">
        <v>20</v>
      </c>
      <c r="G416" t="s">
        <v>30</v>
      </c>
      <c r="H416" t="s">
        <v>1186</v>
      </c>
      <c r="I416" t="s">
        <v>3528</v>
      </c>
      <c r="J416" t="s">
        <v>3034</v>
      </c>
      <c r="K416" s="1">
        <v>46031.709780092591</v>
      </c>
      <c r="L416">
        <v>2373.16</v>
      </c>
      <c r="M416">
        <v>69.12</v>
      </c>
      <c r="N416">
        <v>2304.04</v>
      </c>
      <c r="O416" t="s">
        <v>25</v>
      </c>
      <c r="P416" t="s">
        <v>3482</v>
      </c>
      <c r="Q416" t="s">
        <v>3036</v>
      </c>
      <c r="R416" t="s">
        <v>4977</v>
      </c>
      <c r="S416" t="s">
        <v>4992</v>
      </c>
      <c r="T416" t="s">
        <v>4992</v>
      </c>
    </row>
    <row r="417" spans="1:20" x14ac:dyDescent="0.25">
      <c r="A417" t="s">
        <v>1187</v>
      </c>
      <c r="B417" t="s">
        <v>1188</v>
      </c>
      <c r="C417" s="1">
        <v>46032.816840277781</v>
      </c>
      <c r="D417">
        <v>1141.77</v>
      </c>
      <c r="E417" t="s">
        <v>25</v>
      </c>
      <c r="F417" t="s">
        <v>20</v>
      </c>
      <c r="G417" t="s">
        <v>21</v>
      </c>
      <c r="H417" t="s">
        <v>1189</v>
      </c>
      <c r="I417" t="s">
        <v>3529</v>
      </c>
      <c r="J417" t="s">
        <v>3034</v>
      </c>
      <c r="K417" s="1">
        <v>46032.823784722219</v>
      </c>
      <c r="L417">
        <v>1141.77</v>
      </c>
      <c r="M417">
        <v>33.409999999999997</v>
      </c>
      <c r="N417">
        <v>1108.3599999999999</v>
      </c>
      <c r="O417" t="s">
        <v>25</v>
      </c>
      <c r="P417" t="s">
        <v>3530</v>
      </c>
      <c r="Q417" t="s">
        <v>3036</v>
      </c>
      <c r="R417" t="s">
        <v>4977</v>
      </c>
      <c r="S417" t="s">
        <v>4992</v>
      </c>
      <c r="T417" t="s">
        <v>4992</v>
      </c>
    </row>
    <row r="418" spans="1:20" x14ac:dyDescent="0.25">
      <c r="A418" t="s">
        <v>1190</v>
      </c>
      <c r="B418" t="s">
        <v>1191</v>
      </c>
      <c r="C418" s="1">
        <v>46033.902627314812</v>
      </c>
      <c r="D418">
        <v>1995.24</v>
      </c>
      <c r="E418" t="s">
        <v>25</v>
      </c>
      <c r="F418" t="s">
        <v>20</v>
      </c>
      <c r="G418" t="s">
        <v>26</v>
      </c>
      <c r="H418" t="s">
        <v>1192</v>
      </c>
      <c r="I418" t="s">
        <v>3531</v>
      </c>
      <c r="J418" t="s">
        <v>3034</v>
      </c>
      <c r="K418" s="1">
        <v>46033.909571759257</v>
      </c>
      <c r="L418">
        <v>1995.24</v>
      </c>
      <c r="M418">
        <v>58.16</v>
      </c>
      <c r="N418">
        <v>1937.08</v>
      </c>
      <c r="O418" t="s">
        <v>25</v>
      </c>
      <c r="P418" t="s">
        <v>3510</v>
      </c>
      <c r="Q418" t="s">
        <v>3036</v>
      </c>
      <c r="R418" t="s">
        <v>4977</v>
      </c>
      <c r="S418" t="s">
        <v>4992</v>
      </c>
      <c r="T418" t="s">
        <v>4992</v>
      </c>
    </row>
    <row r="419" spans="1:20" x14ac:dyDescent="0.25">
      <c r="A419" t="s">
        <v>1193</v>
      </c>
      <c r="B419" t="s">
        <v>1194</v>
      </c>
      <c r="C419" s="1">
        <v>46034.975231481483</v>
      </c>
      <c r="D419">
        <v>533.07000000000005</v>
      </c>
      <c r="E419" t="s">
        <v>52</v>
      </c>
      <c r="F419" t="s">
        <v>20</v>
      </c>
      <c r="G419" t="s">
        <v>30</v>
      </c>
      <c r="H419" t="s">
        <v>1195</v>
      </c>
      <c r="I419" t="s">
        <v>3532</v>
      </c>
      <c r="J419" t="s">
        <v>3034</v>
      </c>
      <c r="K419" s="1">
        <v>46034.982175925928</v>
      </c>
      <c r="L419">
        <v>533.07000000000005</v>
      </c>
      <c r="M419">
        <v>15.76</v>
      </c>
      <c r="N419">
        <v>517.30999999999995</v>
      </c>
      <c r="O419" t="s">
        <v>52</v>
      </c>
      <c r="P419" t="s">
        <v>3533</v>
      </c>
      <c r="Q419" t="s">
        <v>3036</v>
      </c>
      <c r="R419" t="s">
        <v>4977</v>
      </c>
      <c r="S419" t="s">
        <v>4992</v>
      </c>
      <c r="T419" t="s">
        <v>4992</v>
      </c>
    </row>
    <row r="420" spans="1:20" x14ac:dyDescent="0.25">
      <c r="A420" t="s">
        <v>1196</v>
      </c>
      <c r="B420" t="s">
        <v>1197</v>
      </c>
      <c r="C420" s="1">
        <v>46036.070775462962</v>
      </c>
      <c r="D420">
        <v>804.62</v>
      </c>
      <c r="E420" t="s">
        <v>19</v>
      </c>
      <c r="F420" t="s">
        <v>20</v>
      </c>
      <c r="G420" t="s">
        <v>21</v>
      </c>
      <c r="H420" t="s">
        <v>1198</v>
      </c>
      <c r="I420" t="s">
        <v>3534</v>
      </c>
      <c r="J420" t="s">
        <v>3034</v>
      </c>
      <c r="K420" s="1">
        <v>46036.077719907407</v>
      </c>
      <c r="L420">
        <v>805.73</v>
      </c>
      <c r="M420">
        <v>23.67</v>
      </c>
      <c r="N420">
        <v>782.06</v>
      </c>
      <c r="O420" t="s">
        <v>19</v>
      </c>
      <c r="P420" t="s">
        <v>3535</v>
      </c>
      <c r="Q420" t="s">
        <v>3036</v>
      </c>
      <c r="R420" t="s">
        <v>4977</v>
      </c>
      <c r="S420" t="s">
        <v>4991</v>
      </c>
      <c r="T420" t="s">
        <v>4992</v>
      </c>
    </row>
    <row r="421" spans="1:20" x14ac:dyDescent="0.25">
      <c r="A421" t="s">
        <v>1199</v>
      </c>
      <c r="B421" t="s">
        <v>1200</v>
      </c>
      <c r="C421" s="1">
        <v>46037.193414351852</v>
      </c>
      <c r="D421">
        <v>1488.85</v>
      </c>
      <c r="E421" t="s">
        <v>25</v>
      </c>
      <c r="F421" t="s">
        <v>20</v>
      </c>
      <c r="G421" t="s">
        <v>26</v>
      </c>
      <c r="H421" t="s">
        <v>1201</v>
      </c>
      <c r="I421" t="s">
        <v>3536</v>
      </c>
      <c r="J421" t="s">
        <v>3034</v>
      </c>
      <c r="K421" s="1">
        <v>46037.200358796297</v>
      </c>
      <c r="L421">
        <v>1488.85</v>
      </c>
      <c r="M421">
        <v>43.48</v>
      </c>
      <c r="N421">
        <v>1445.37</v>
      </c>
      <c r="O421" t="s">
        <v>25</v>
      </c>
      <c r="P421" t="s">
        <v>3492</v>
      </c>
      <c r="Q421" t="s">
        <v>3036</v>
      </c>
      <c r="R421" t="s">
        <v>4977</v>
      </c>
      <c r="S421" t="s">
        <v>4992</v>
      </c>
      <c r="T421" t="s">
        <v>4992</v>
      </c>
    </row>
    <row r="422" spans="1:20" x14ac:dyDescent="0.25">
      <c r="A422" t="s">
        <v>1202</v>
      </c>
      <c r="B422" t="s">
        <v>1203</v>
      </c>
      <c r="C422" s="1">
        <v>46023.262291666666</v>
      </c>
      <c r="D422">
        <v>498.35</v>
      </c>
      <c r="E422" t="s">
        <v>25</v>
      </c>
      <c r="F422" t="s">
        <v>20</v>
      </c>
      <c r="G422" t="s">
        <v>30</v>
      </c>
      <c r="H422" t="s">
        <v>1204</v>
      </c>
      <c r="I422" t="s">
        <v>3537</v>
      </c>
      <c r="J422" t="s">
        <v>3034</v>
      </c>
      <c r="K422" s="1">
        <v>46023.269236111111</v>
      </c>
      <c r="L422">
        <v>498.35</v>
      </c>
      <c r="M422">
        <v>14.75</v>
      </c>
      <c r="N422">
        <v>483.6</v>
      </c>
      <c r="O422" t="s">
        <v>25</v>
      </c>
      <c r="P422" t="s">
        <v>3494</v>
      </c>
      <c r="Q422" t="s">
        <v>3036</v>
      </c>
      <c r="R422" t="s">
        <v>4977</v>
      </c>
      <c r="S422" t="s">
        <v>4992</v>
      </c>
      <c r="T422" t="s">
        <v>4992</v>
      </c>
    </row>
    <row r="423" spans="1:20" x14ac:dyDescent="0.25">
      <c r="A423" t="s">
        <v>1205</v>
      </c>
      <c r="B423" t="s">
        <v>1206</v>
      </c>
      <c r="C423" s="1">
        <v>46024.357719907406</v>
      </c>
      <c r="D423">
        <v>1055.67</v>
      </c>
      <c r="E423" t="s">
        <v>25</v>
      </c>
      <c r="F423" t="s">
        <v>20</v>
      </c>
      <c r="G423" t="s">
        <v>21</v>
      </c>
      <c r="H423" t="s">
        <v>1207</v>
      </c>
      <c r="I423" t="s">
        <v>3538</v>
      </c>
      <c r="J423" t="s">
        <v>3034</v>
      </c>
      <c r="K423" s="1">
        <v>46024.364664351851</v>
      </c>
      <c r="L423">
        <v>1055.67</v>
      </c>
      <c r="M423">
        <v>30.91</v>
      </c>
      <c r="N423">
        <v>1024.76</v>
      </c>
      <c r="O423" t="s">
        <v>25</v>
      </c>
      <c r="P423" t="s">
        <v>3468</v>
      </c>
      <c r="Q423" t="s">
        <v>3036</v>
      </c>
      <c r="R423" t="s">
        <v>4977</v>
      </c>
      <c r="S423" t="s">
        <v>4992</v>
      </c>
      <c r="T423" t="s">
        <v>4992</v>
      </c>
    </row>
    <row r="424" spans="1:20" x14ac:dyDescent="0.25">
      <c r="A424" t="s">
        <v>1208</v>
      </c>
      <c r="B424" t="s">
        <v>1209</v>
      </c>
      <c r="C424" s="1">
        <v>46025.448750000003</v>
      </c>
      <c r="D424">
        <v>2364.77</v>
      </c>
      <c r="E424" t="s">
        <v>25</v>
      </c>
      <c r="F424" t="s">
        <v>20</v>
      </c>
      <c r="G424" t="s">
        <v>26</v>
      </c>
      <c r="H424" t="s">
        <v>1210</v>
      </c>
      <c r="I424" t="s">
        <v>3539</v>
      </c>
      <c r="J424" t="s">
        <v>3034</v>
      </c>
      <c r="K424" s="1">
        <v>46025.455694444441</v>
      </c>
      <c r="L424">
        <v>2364.77</v>
      </c>
      <c r="M424">
        <v>68.88</v>
      </c>
      <c r="N424">
        <v>2295.89</v>
      </c>
      <c r="O424" t="s">
        <v>25</v>
      </c>
      <c r="P424" t="s">
        <v>3470</v>
      </c>
      <c r="Q424" t="s">
        <v>3036</v>
      </c>
      <c r="R424" t="s">
        <v>4977</v>
      </c>
      <c r="S424" t="s">
        <v>4992</v>
      </c>
      <c r="T424" t="s">
        <v>4992</v>
      </c>
    </row>
    <row r="425" spans="1:20" x14ac:dyDescent="0.25">
      <c r="A425" t="s">
        <v>1211</v>
      </c>
      <c r="B425" t="s">
        <v>1212</v>
      </c>
      <c r="C425" s="1">
        <v>46026.525752314818</v>
      </c>
      <c r="D425">
        <v>1056.45</v>
      </c>
      <c r="E425" t="s">
        <v>25</v>
      </c>
      <c r="F425" t="s">
        <v>20</v>
      </c>
      <c r="G425" t="s">
        <v>30</v>
      </c>
      <c r="H425" t="s">
        <v>1213</v>
      </c>
      <c r="I425" t="s">
        <v>3540</v>
      </c>
      <c r="J425" t="s">
        <v>3034</v>
      </c>
      <c r="K425" s="1">
        <v>46026.532696759263</v>
      </c>
      <c r="L425">
        <v>1056.45</v>
      </c>
      <c r="M425">
        <v>30.94</v>
      </c>
      <c r="N425">
        <v>1025.51</v>
      </c>
      <c r="O425" t="s">
        <v>25</v>
      </c>
      <c r="P425" t="s">
        <v>3472</v>
      </c>
      <c r="Q425" t="s">
        <v>3036</v>
      </c>
      <c r="R425" t="s">
        <v>4977</v>
      </c>
      <c r="S425" t="s">
        <v>4992</v>
      </c>
      <c r="T425" t="s">
        <v>4992</v>
      </c>
    </row>
    <row r="426" spans="1:20" x14ac:dyDescent="0.25">
      <c r="A426" t="s">
        <v>1211</v>
      </c>
      <c r="B426" t="s">
        <v>1212</v>
      </c>
      <c r="C426" s="1">
        <v>46026.525752314818</v>
      </c>
      <c r="D426">
        <v>1056.45</v>
      </c>
      <c r="E426" t="s">
        <v>25</v>
      </c>
      <c r="F426" t="s">
        <v>20</v>
      </c>
      <c r="G426" t="s">
        <v>30</v>
      </c>
      <c r="H426" t="s">
        <v>1213</v>
      </c>
      <c r="I426" t="s">
        <v>3540</v>
      </c>
      <c r="J426" t="s">
        <v>3034</v>
      </c>
      <c r="K426" s="1">
        <v>46026.532696759263</v>
      </c>
      <c r="L426">
        <v>1056.45</v>
      </c>
      <c r="M426">
        <v>30.94</v>
      </c>
      <c r="N426">
        <v>1025.51</v>
      </c>
      <c r="O426" t="s">
        <v>25</v>
      </c>
      <c r="P426" t="s">
        <v>3472</v>
      </c>
      <c r="Q426" t="s">
        <v>3036</v>
      </c>
      <c r="R426" t="s">
        <v>4977</v>
      </c>
      <c r="S426" t="s">
        <v>4992</v>
      </c>
      <c r="T426" t="s">
        <v>4992</v>
      </c>
    </row>
    <row r="427" spans="1:20" x14ac:dyDescent="0.25">
      <c r="A427" t="s">
        <v>1214</v>
      </c>
      <c r="B427" t="s">
        <v>1215</v>
      </c>
      <c r="C427" s="1">
        <v>46027.657037037039</v>
      </c>
      <c r="D427">
        <v>20.72</v>
      </c>
      <c r="E427" t="s">
        <v>25</v>
      </c>
      <c r="F427" t="s">
        <v>20</v>
      </c>
      <c r="G427" t="s">
        <v>21</v>
      </c>
      <c r="H427" t="s">
        <v>1216</v>
      </c>
      <c r="I427" t="s">
        <v>3541</v>
      </c>
      <c r="J427" t="s">
        <v>3034</v>
      </c>
      <c r="K427" s="1">
        <v>46027.663981481484</v>
      </c>
      <c r="L427">
        <v>20.72</v>
      </c>
      <c r="M427">
        <v>0.9</v>
      </c>
      <c r="N427">
        <v>19.82</v>
      </c>
      <c r="O427" t="s">
        <v>25</v>
      </c>
      <c r="P427" t="s">
        <v>3474</v>
      </c>
      <c r="Q427" t="s">
        <v>3036</v>
      </c>
      <c r="R427" t="s">
        <v>4977</v>
      </c>
      <c r="S427" t="s">
        <v>4992</v>
      </c>
      <c r="T427" t="s">
        <v>4992</v>
      </c>
    </row>
    <row r="428" spans="1:20" x14ac:dyDescent="0.25">
      <c r="A428" t="s">
        <v>1217</v>
      </c>
      <c r="B428" t="s">
        <v>1218</v>
      </c>
      <c r="C428" s="1">
        <v>46028.721724537034</v>
      </c>
      <c r="D428">
        <v>1134.6099999999999</v>
      </c>
      <c r="E428" t="s">
        <v>25</v>
      </c>
      <c r="F428" t="s">
        <v>20</v>
      </c>
      <c r="G428" t="s">
        <v>26</v>
      </c>
      <c r="H428" t="s">
        <v>1219</v>
      </c>
      <c r="I428" t="s">
        <v>3542</v>
      </c>
      <c r="J428" t="s">
        <v>3034</v>
      </c>
      <c r="K428" s="1">
        <v>46028.728668981479</v>
      </c>
      <c r="L428">
        <v>1134.6099999999999</v>
      </c>
      <c r="M428">
        <v>33.200000000000003</v>
      </c>
      <c r="N428">
        <v>1101.4100000000001</v>
      </c>
      <c r="O428" t="s">
        <v>25</v>
      </c>
      <c r="P428" t="s">
        <v>3476</v>
      </c>
      <c r="Q428" t="s">
        <v>3036</v>
      </c>
      <c r="R428" t="s">
        <v>4977</v>
      </c>
      <c r="S428" t="s">
        <v>4992</v>
      </c>
      <c r="T428" t="s">
        <v>4992</v>
      </c>
    </row>
    <row r="429" spans="1:20" x14ac:dyDescent="0.25">
      <c r="A429" t="s">
        <v>1220</v>
      </c>
      <c r="B429" t="s">
        <v>1221</v>
      </c>
      <c r="C429" s="1">
        <v>46029.83185185185</v>
      </c>
      <c r="D429">
        <v>1377.91</v>
      </c>
      <c r="E429" t="s">
        <v>25</v>
      </c>
      <c r="F429" t="s">
        <v>20</v>
      </c>
      <c r="G429" t="s">
        <v>30</v>
      </c>
      <c r="H429" t="s">
        <v>1222</v>
      </c>
      <c r="I429" t="s">
        <v>3543</v>
      </c>
      <c r="J429" t="s">
        <v>3034</v>
      </c>
      <c r="K429" s="1">
        <v>46029.838796296295</v>
      </c>
      <c r="L429">
        <v>1377.91</v>
      </c>
      <c r="M429">
        <v>40.26</v>
      </c>
      <c r="N429">
        <v>1337.65</v>
      </c>
      <c r="O429" t="s">
        <v>25</v>
      </c>
      <c r="P429" t="s">
        <v>3478</v>
      </c>
      <c r="Q429" t="s">
        <v>3036</v>
      </c>
      <c r="R429" t="s">
        <v>4977</v>
      </c>
      <c r="S429" t="s">
        <v>4992</v>
      </c>
      <c r="T429" t="s">
        <v>4992</v>
      </c>
    </row>
    <row r="430" spans="1:20" x14ac:dyDescent="0.25">
      <c r="A430" t="s">
        <v>1223</v>
      </c>
      <c r="B430" t="s">
        <v>1224</v>
      </c>
      <c r="C430" s="1">
        <v>46030.924305555556</v>
      </c>
      <c r="D430">
        <v>84.97</v>
      </c>
      <c r="E430" t="s">
        <v>52</v>
      </c>
      <c r="F430" t="s">
        <v>92</v>
      </c>
      <c r="G430" t="s">
        <v>21</v>
      </c>
      <c r="H430" t="s">
        <v>1225</v>
      </c>
      <c r="I430" t="s">
        <v>3544</v>
      </c>
      <c r="J430" t="s">
        <v>3034</v>
      </c>
      <c r="K430" s="1">
        <v>46030.931250000001</v>
      </c>
      <c r="L430">
        <v>84.97</v>
      </c>
      <c r="M430">
        <v>2.76</v>
      </c>
      <c r="N430">
        <v>82.21</v>
      </c>
      <c r="O430" t="s">
        <v>52</v>
      </c>
      <c r="P430" t="s">
        <v>3545</v>
      </c>
      <c r="Q430" t="s">
        <v>3036</v>
      </c>
      <c r="R430" t="s">
        <v>4977</v>
      </c>
      <c r="S430" t="s">
        <v>4992</v>
      </c>
      <c r="T430" t="s">
        <v>4992</v>
      </c>
    </row>
    <row r="431" spans="1:20" x14ac:dyDescent="0.25">
      <c r="A431" t="s">
        <v>1223</v>
      </c>
      <c r="B431" t="s">
        <v>1224</v>
      </c>
      <c r="C431" s="1">
        <v>46030.924305555556</v>
      </c>
      <c r="D431">
        <v>84.97</v>
      </c>
      <c r="E431" t="s">
        <v>52</v>
      </c>
      <c r="F431" t="s">
        <v>92</v>
      </c>
      <c r="G431" t="s">
        <v>21</v>
      </c>
      <c r="H431" t="s">
        <v>1225</v>
      </c>
      <c r="I431" t="s">
        <v>3546</v>
      </c>
      <c r="J431" t="s">
        <v>3076</v>
      </c>
      <c r="K431" s="1">
        <v>46031.924305555556</v>
      </c>
      <c r="L431">
        <v>-42.49</v>
      </c>
      <c r="M431">
        <v>0</v>
      </c>
      <c r="N431">
        <v>-42.49</v>
      </c>
      <c r="O431" t="s">
        <v>52</v>
      </c>
      <c r="P431" t="s">
        <v>3547</v>
      </c>
      <c r="Q431" t="s">
        <v>3036</v>
      </c>
      <c r="R431" t="s">
        <v>4977</v>
      </c>
      <c r="S431" t="s">
        <v>4991</v>
      </c>
      <c r="T431" t="s">
        <v>4992</v>
      </c>
    </row>
    <row r="432" spans="1:20" x14ac:dyDescent="0.25">
      <c r="A432" t="s">
        <v>1226</v>
      </c>
      <c r="B432" t="s">
        <v>1227</v>
      </c>
      <c r="C432" s="1">
        <v>46032.008425925924</v>
      </c>
      <c r="D432">
        <v>842.79</v>
      </c>
      <c r="E432" t="s">
        <v>19</v>
      </c>
      <c r="F432" t="s">
        <v>20</v>
      </c>
      <c r="G432" t="s">
        <v>26</v>
      </c>
      <c r="H432" t="s">
        <v>1228</v>
      </c>
      <c r="I432" t="s">
        <v>3548</v>
      </c>
      <c r="J432" t="s">
        <v>3034</v>
      </c>
      <c r="K432" s="1">
        <v>46032.015370370369</v>
      </c>
      <c r="L432">
        <v>842.79</v>
      </c>
      <c r="M432">
        <v>24.74</v>
      </c>
      <c r="N432">
        <v>818.05</v>
      </c>
      <c r="O432" t="s">
        <v>19</v>
      </c>
      <c r="P432" t="s">
        <v>3549</v>
      </c>
      <c r="Q432" t="s">
        <v>3036</v>
      </c>
      <c r="R432" t="s">
        <v>4977</v>
      </c>
      <c r="S432" t="s">
        <v>4992</v>
      </c>
      <c r="T432" t="s">
        <v>4992</v>
      </c>
    </row>
    <row r="433" spans="1:20" x14ac:dyDescent="0.25">
      <c r="A433" t="s">
        <v>1229</v>
      </c>
      <c r="B433" t="s">
        <v>1230</v>
      </c>
      <c r="C433" s="1">
        <v>46033.09171296296</v>
      </c>
      <c r="D433">
        <v>1265.6099999999999</v>
      </c>
      <c r="E433" t="s">
        <v>25</v>
      </c>
      <c r="F433" t="s">
        <v>20</v>
      </c>
      <c r="G433" t="s">
        <v>30</v>
      </c>
      <c r="H433" t="s">
        <v>1231</v>
      </c>
      <c r="I433" t="s">
        <v>3550</v>
      </c>
      <c r="J433" t="s">
        <v>3034</v>
      </c>
      <c r="K433" s="1">
        <v>46033.098657407405</v>
      </c>
      <c r="L433">
        <v>1265.6099999999999</v>
      </c>
      <c r="M433">
        <v>37</v>
      </c>
      <c r="N433">
        <v>1228.6099999999999</v>
      </c>
      <c r="O433" t="s">
        <v>25</v>
      </c>
      <c r="P433" t="s">
        <v>3530</v>
      </c>
      <c r="Q433" t="s">
        <v>3036</v>
      </c>
      <c r="R433" t="s">
        <v>4977</v>
      </c>
      <c r="S433" t="s">
        <v>4992</v>
      </c>
      <c r="T433" t="s">
        <v>4992</v>
      </c>
    </row>
    <row r="434" spans="1:20" x14ac:dyDescent="0.25">
      <c r="A434" t="s">
        <v>1232</v>
      </c>
      <c r="B434" t="s">
        <v>1233</v>
      </c>
      <c r="C434" s="1">
        <v>46034.186412037037</v>
      </c>
      <c r="D434">
        <v>908.71</v>
      </c>
      <c r="E434" t="s">
        <v>25</v>
      </c>
      <c r="F434" t="s">
        <v>20</v>
      </c>
      <c r="G434" t="s">
        <v>21</v>
      </c>
      <c r="H434" t="s">
        <v>1234</v>
      </c>
      <c r="I434" t="s">
        <v>3551</v>
      </c>
      <c r="J434" t="s">
        <v>3034</v>
      </c>
      <c r="K434" s="1">
        <v>46034.193356481483</v>
      </c>
      <c r="L434">
        <v>908.71</v>
      </c>
      <c r="M434">
        <v>26.65</v>
      </c>
      <c r="N434">
        <v>882.06</v>
      </c>
      <c r="O434" t="s">
        <v>25</v>
      </c>
      <c r="P434" t="s">
        <v>3510</v>
      </c>
      <c r="Q434" t="s">
        <v>3036</v>
      </c>
      <c r="R434" t="s">
        <v>4977</v>
      </c>
      <c r="S434" t="s">
        <v>4992</v>
      </c>
      <c r="T434" t="s">
        <v>4992</v>
      </c>
    </row>
    <row r="435" spans="1:20" x14ac:dyDescent="0.25">
      <c r="A435" t="s">
        <v>1235</v>
      </c>
      <c r="B435" t="s">
        <v>1236</v>
      </c>
      <c r="C435" s="1">
        <v>46034.274189814816</v>
      </c>
      <c r="D435">
        <v>2174.16</v>
      </c>
      <c r="E435" t="s">
        <v>25</v>
      </c>
      <c r="F435" t="s">
        <v>20</v>
      </c>
      <c r="G435" t="s">
        <v>26</v>
      </c>
      <c r="H435" t="s">
        <v>1237</v>
      </c>
      <c r="I435" t="s">
        <v>3552</v>
      </c>
      <c r="J435" t="s">
        <v>3034</v>
      </c>
      <c r="K435" s="1">
        <v>46034.281134259261</v>
      </c>
      <c r="L435">
        <v>2174.16</v>
      </c>
      <c r="M435">
        <v>63.35</v>
      </c>
      <c r="N435">
        <v>2110.81</v>
      </c>
      <c r="O435" t="s">
        <v>25</v>
      </c>
      <c r="P435" t="s">
        <v>3553</v>
      </c>
      <c r="Q435" t="s">
        <v>3036</v>
      </c>
      <c r="R435" t="s">
        <v>4977</v>
      </c>
      <c r="S435" t="s">
        <v>4992</v>
      </c>
      <c r="T435" t="s">
        <v>4992</v>
      </c>
    </row>
    <row r="436" spans="1:20" x14ac:dyDescent="0.25">
      <c r="A436" t="s">
        <v>1238</v>
      </c>
      <c r="B436" t="s">
        <v>1239</v>
      </c>
      <c r="C436" s="1">
        <v>46035.362349537034</v>
      </c>
      <c r="D436">
        <v>768.12</v>
      </c>
      <c r="E436" t="s">
        <v>25</v>
      </c>
      <c r="F436" t="s">
        <v>20</v>
      </c>
      <c r="G436" t="s">
        <v>30</v>
      </c>
      <c r="H436" t="s">
        <v>1240</v>
      </c>
      <c r="I436" t="s">
        <v>3554</v>
      </c>
      <c r="J436" t="s">
        <v>3034</v>
      </c>
      <c r="K436" s="1">
        <v>46035.369293981479</v>
      </c>
      <c r="L436">
        <v>768.12</v>
      </c>
      <c r="M436">
        <v>22.58</v>
      </c>
      <c r="N436">
        <v>745.54</v>
      </c>
      <c r="O436" t="s">
        <v>25</v>
      </c>
      <c r="P436" t="s">
        <v>3490</v>
      </c>
      <c r="Q436" t="s">
        <v>3036</v>
      </c>
      <c r="R436" t="s">
        <v>4977</v>
      </c>
      <c r="S436" t="s">
        <v>4992</v>
      </c>
      <c r="T436" t="s">
        <v>4992</v>
      </c>
    </row>
    <row r="437" spans="1:20" x14ac:dyDescent="0.25">
      <c r="A437" t="s">
        <v>1241</v>
      </c>
      <c r="B437" t="s">
        <v>1242</v>
      </c>
      <c r="C437" s="1">
        <v>46036.45107638889</v>
      </c>
      <c r="D437">
        <v>48.65</v>
      </c>
      <c r="E437" t="s">
        <v>25</v>
      </c>
      <c r="F437" t="s">
        <v>20</v>
      </c>
      <c r="G437" t="s">
        <v>21</v>
      </c>
      <c r="H437" t="s">
        <v>1243</v>
      </c>
      <c r="I437" t="s">
        <v>3555</v>
      </c>
      <c r="J437" t="s">
        <v>3034</v>
      </c>
      <c r="K437" s="1">
        <v>46036.458020833335</v>
      </c>
      <c r="L437">
        <v>48.65</v>
      </c>
      <c r="M437">
        <v>1.71</v>
      </c>
      <c r="N437">
        <v>46.94</v>
      </c>
      <c r="O437" t="s">
        <v>25</v>
      </c>
      <c r="P437" t="s">
        <v>3492</v>
      </c>
      <c r="Q437" t="s">
        <v>3036</v>
      </c>
      <c r="R437" t="s">
        <v>4977</v>
      </c>
      <c r="S437" t="s">
        <v>4992</v>
      </c>
      <c r="T437" t="s">
        <v>4992</v>
      </c>
    </row>
    <row r="438" spans="1:20" x14ac:dyDescent="0.25">
      <c r="A438" t="s">
        <v>1244</v>
      </c>
      <c r="B438" t="s">
        <v>1245</v>
      </c>
      <c r="C438" s="1">
        <v>46023.535162037035</v>
      </c>
      <c r="D438">
        <v>1830.48</v>
      </c>
      <c r="E438" t="s">
        <v>25</v>
      </c>
      <c r="F438" t="s">
        <v>20</v>
      </c>
      <c r="G438" t="s">
        <v>26</v>
      </c>
      <c r="H438" t="s">
        <v>1246</v>
      </c>
      <c r="I438" t="s">
        <v>3556</v>
      </c>
      <c r="J438" t="s">
        <v>3034</v>
      </c>
      <c r="K438" s="1">
        <v>46023.54210648148</v>
      </c>
      <c r="L438">
        <v>1830.48</v>
      </c>
      <c r="M438">
        <v>53.38</v>
      </c>
      <c r="N438">
        <v>1777.1</v>
      </c>
      <c r="O438" t="s">
        <v>25</v>
      </c>
      <c r="P438" t="s">
        <v>3557</v>
      </c>
      <c r="Q438" t="s">
        <v>3036</v>
      </c>
      <c r="R438" t="s">
        <v>4977</v>
      </c>
      <c r="S438" t="s">
        <v>4992</v>
      </c>
      <c r="T438" t="s">
        <v>4992</v>
      </c>
    </row>
    <row r="439" spans="1:20" x14ac:dyDescent="0.25">
      <c r="A439" t="s">
        <v>1247</v>
      </c>
      <c r="B439" t="s">
        <v>1248</v>
      </c>
      <c r="C439" s="1">
        <v>46024.624502314815</v>
      </c>
      <c r="D439">
        <v>2431.4299999999998</v>
      </c>
      <c r="E439" t="s">
        <v>25</v>
      </c>
      <c r="F439" t="s">
        <v>20</v>
      </c>
      <c r="G439" t="s">
        <v>30</v>
      </c>
      <c r="H439" t="s">
        <v>1249</v>
      </c>
      <c r="I439" t="s">
        <v>3558</v>
      </c>
      <c r="J439" t="s">
        <v>3034</v>
      </c>
      <c r="K439" s="1">
        <v>46024.63144675926</v>
      </c>
      <c r="L439">
        <v>2431.4299999999998</v>
      </c>
      <c r="M439">
        <v>70.81</v>
      </c>
      <c r="N439">
        <v>2360.62</v>
      </c>
      <c r="O439" t="s">
        <v>25</v>
      </c>
      <c r="P439" t="s">
        <v>3468</v>
      </c>
      <c r="Q439" t="s">
        <v>3036</v>
      </c>
      <c r="R439" t="s">
        <v>4977</v>
      </c>
      <c r="S439" t="s">
        <v>4992</v>
      </c>
      <c r="T439" t="s">
        <v>4992</v>
      </c>
    </row>
    <row r="440" spans="1:20" x14ac:dyDescent="0.25">
      <c r="A440" t="s">
        <v>1250</v>
      </c>
      <c r="B440" t="s">
        <v>1251</v>
      </c>
      <c r="C440" s="1">
        <v>46025.733182870368</v>
      </c>
      <c r="D440">
        <v>317.68</v>
      </c>
      <c r="E440" t="s">
        <v>25</v>
      </c>
      <c r="F440" t="s">
        <v>20</v>
      </c>
      <c r="G440" t="s">
        <v>21</v>
      </c>
      <c r="H440" t="s">
        <v>1252</v>
      </c>
      <c r="I440" t="s">
        <v>3559</v>
      </c>
      <c r="J440" t="s">
        <v>3034</v>
      </c>
      <c r="K440" s="1">
        <v>46025.740127314813</v>
      </c>
      <c r="L440">
        <v>317.68</v>
      </c>
      <c r="M440">
        <v>9.51</v>
      </c>
      <c r="N440">
        <v>308.17</v>
      </c>
      <c r="O440" t="s">
        <v>25</v>
      </c>
      <c r="P440" t="s">
        <v>3470</v>
      </c>
      <c r="Q440" t="s">
        <v>3036</v>
      </c>
      <c r="R440" t="s">
        <v>4977</v>
      </c>
      <c r="S440" t="s">
        <v>4992</v>
      </c>
      <c r="T440" t="s">
        <v>4992</v>
      </c>
    </row>
    <row r="441" spans="1:20" x14ac:dyDescent="0.25">
      <c r="A441" t="s">
        <v>1253</v>
      </c>
      <c r="B441" t="s">
        <v>1254</v>
      </c>
      <c r="C441" s="1">
        <v>46026.814965277779</v>
      </c>
      <c r="D441">
        <v>611.23</v>
      </c>
      <c r="E441" t="s">
        <v>52</v>
      </c>
      <c r="F441" t="s">
        <v>20</v>
      </c>
      <c r="G441" t="s">
        <v>26</v>
      </c>
      <c r="H441" t="s">
        <v>1255</v>
      </c>
      <c r="I441" t="s">
        <v>3560</v>
      </c>
      <c r="J441" t="s">
        <v>3034</v>
      </c>
      <c r="K441" s="1">
        <v>46026.821909722225</v>
      </c>
      <c r="L441">
        <v>611.23</v>
      </c>
      <c r="M441">
        <v>18.03</v>
      </c>
      <c r="N441">
        <v>593.20000000000005</v>
      </c>
      <c r="O441" t="s">
        <v>52</v>
      </c>
      <c r="P441" t="s">
        <v>3561</v>
      </c>
      <c r="Q441" t="s">
        <v>3036</v>
      </c>
      <c r="R441" t="s">
        <v>4977</v>
      </c>
      <c r="S441" t="s">
        <v>4992</v>
      </c>
      <c r="T441" t="s">
        <v>4992</v>
      </c>
    </row>
    <row r="442" spans="1:20" x14ac:dyDescent="0.25">
      <c r="A442" t="s">
        <v>1256</v>
      </c>
      <c r="B442" t="s">
        <v>1257</v>
      </c>
      <c r="C442" s="1">
        <v>46027.928657407407</v>
      </c>
      <c r="D442">
        <v>805.49</v>
      </c>
      <c r="E442" t="s">
        <v>19</v>
      </c>
      <c r="F442" t="s">
        <v>20</v>
      </c>
      <c r="G442" t="s">
        <v>30</v>
      </c>
      <c r="H442" t="s">
        <v>1258</v>
      </c>
      <c r="I442" t="s">
        <v>3562</v>
      </c>
      <c r="J442" t="s">
        <v>3034</v>
      </c>
      <c r="K442" s="1">
        <v>46027.935601851852</v>
      </c>
      <c r="L442">
        <v>805.49</v>
      </c>
      <c r="M442">
        <v>23.66</v>
      </c>
      <c r="N442">
        <v>781.83</v>
      </c>
      <c r="O442" t="s">
        <v>19</v>
      </c>
      <c r="P442" t="s">
        <v>3563</v>
      </c>
      <c r="Q442" t="s">
        <v>3036</v>
      </c>
      <c r="R442" t="s">
        <v>4977</v>
      </c>
      <c r="S442" t="s">
        <v>4992</v>
      </c>
      <c r="T442" t="s">
        <v>4992</v>
      </c>
    </row>
    <row r="443" spans="1:20" x14ac:dyDescent="0.25">
      <c r="A443" t="s">
        <v>1259</v>
      </c>
      <c r="B443" t="s">
        <v>1260</v>
      </c>
      <c r="C443" s="1">
        <v>46029.032407407409</v>
      </c>
      <c r="D443">
        <v>773.75</v>
      </c>
      <c r="E443" t="s">
        <v>25</v>
      </c>
      <c r="F443" t="s">
        <v>20</v>
      </c>
      <c r="G443" t="s">
        <v>21</v>
      </c>
      <c r="H443" t="s">
        <v>1261</v>
      </c>
      <c r="I443" t="s">
        <v>3564</v>
      </c>
      <c r="J443" t="s">
        <v>3034</v>
      </c>
      <c r="K443" s="1">
        <v>46029.039351851854</v>
      </c>
      <c r="L443">
        <v>773.75</v>
      </c>
      <c r="M443">
        <v>22.74</v>
      </c>
      <c r="N443">
        <v>751.01</v>
      </c>
      <c r="O443" t="s">
        <v>25</v>
      </c>
      <c r="P443" t="s">
        <v>3476</v>
      </c>
      <c r="Q443" t="s">
        <v>3036</v>
      </c>
      <c r="R443" t="s">
        <v>4977</v>
      </c>
      <c r="S443" t="s">
        <v>4992</v>
      </c>
      <c r="T443" t="s">
        <v>4992</v>
      </c>
    </row>
    <row r="444" spans="1:20" x14ac:dyDescent="0.25">
      <c r="A444" t="s">
        <v>1262</v>
      </c>
      <c r="B444" t="s">
        <v>1263</v>
      </c>
      <c r="C444" s="1">
        <v>46030.101076388892</v>
      </c>
      <c r="D444">
        <v>1027.02</v>
      </c>
      <c r="E444" t="s">
        <v>25</v>
      </c>
      <c r="F444" t="s">
        <v>20</v>
      </c>
      <c r="G444" t="s">
        <v>26</v>
      </c>
      <c r="H444" t="s">
        <v>1264</v>
      </c>
      <c r="I444" t="s">
        <v>3565</v>
      </c>
      <c r="J444" t="s">
        <v>3034</v>
      </c>
      <c r="K444" s="1">
        <v>46030.108020833337</v>
      </c>
      <c r="L444">
        <v>1027.02</v>
      </c>
      <c r="M444">
        <v>30.08</v>
      </c>
      <c r="N444">
        <v>996.94</v>
      </c>
      <c r="O444" t="s">
        <v>25</v>
      </c>
      <c r="P444" t="s">
        <v>3478</v>
      </c>
      <c r="Q444" t="s">
        <v>3036</v>
      </c>
      <c r="R444" t="s">
        <v>4977</v>
      </c>
      <c r="S444" t="s">
        <v>4992</v>
      </c>
      <c r="T444" t="s">
        <v>4992</v>
      </c>
    </row>
    <row r="445" spans="1:20" x14ac:dyDescent="0.25">
      <c r="A445" t="s">
        <v>1265</v>
      </c>
      <c r="B445" t="s">
        <v>1266</v>
      </c>
      <c r="C445" s="1">
        <v>46031.185150462959</v>
      </c>
      <c r="D445">
        <v>454.34</v>
      </c>
      <c r="E445" t="s">
        <v>25</v>
      </c>
      <c r="F445" t="s">
        <v>20</v>
      </c>
      <c r="G445" t="s">
        <v>30</v>
      </c>
      <c r="H445" t="s">
        <v>1267</v>
      </c>
      <c r="I445" t="s">
        <v>3566</v>
      </c>
      <c r="J445" t="s">
        <v>3034</v>
      </c>
      <c r="K445" s="1">
        <v>46031.192094907405</v>
      </c>
      <c r="L445">
        <v>454.34</v>
      </c>
      <c r="M445">
        <v>13.48</v>
      </c>
      <c r="N445">
        <v>440.86</v>
      </c>
      <c r="O445" t="s">
        <v>25</v>
      </c>
      <c r="P445" t="s">
        <v>3480</v>
      </c>
      <c r="Q445" t="s">
        <v>3036</v>
      </c>
      <c r="R445" t="s">
        <v>4977</v>
      </c>
      <c r="S445" t="s">
        <v>4992</v>
      </c>
      <c r="T445" t="s">
        <v>4992</v>
      </c>
    </row>
    <row r="446" spans="1:20" x14ac:dyDescent="0.25">
      <c r="A446" t="s">
        <v>1265</v>
      </c>
      <c r="B446" t="s">
        <v>1266</v>
      </c>
      <c r="C446" s="1">
        <v>46031.185150462959</v>
      </c>
      <c r="D446">
        <v>454.34</v>
      </c>
      <c r="E446" t="s">
        <v>25</v>
      </c>
      <c r="F446" t="s">
        <v>20</v>
      </c>
      <c r="G446" t="s">
        <v>30</v>
      </c>
      <c r="H446" t="s">
        <v>1267</v>
      </c>
      <c r="I446" t="s">
        <v>3567</v>
      </c>
      <c r="J446" t="s">
        <v>3034</v>
      </c>
      <c r="K446" s="1">
        <v>46031.192789351851</v>
      </c>
      <c r="L446">
        <v>454.34</v>
      </c>
      <c r="M446">
        <v>13.48</v>
      </c>
      <c r="N446">
        <v>440.86</v>
      </c>
      <c r="O446" t="s">
        <v>25</v>
      </c>
      <c r="P446" t="s">
        <v>3480</v>
      </c>
      <c r="Q446" t="s">
        <v>3036</v>
      </c>
      <c r="R446" t="s">
        <v>4977</v>
      </c>
      <c r="S446" t="s">
        <v>4992</v>
      </c>
      <c r="T446" t="s">
        <v>4992</v>
      </c>
    </row>
    <row r="447" spans="1:20" x14ac:dyDescent="0.25">
      <c r="A447" t="s">
        <v>1268</v>
      </c>
      <c r="B447" t="s">
        <v>1269</v>
      </c>
      <c r="C447" s="1">
        <v>46031.267280092594</v>
      </c>
      <c r="D447">
        <v>1572.78</v>
      </c>
      <c r="E447" t="s">
        <v>25</v>
      </c>
      <c r="F447" t="s">
        <v>20</v>
      </c>
      <c r="G447" t="s">
        <v>21</v>
      </c>
      <c r="H447" t="s">
        <v>1270</v>
      </c>
      <c r="I447" t="s">
        <v>3568</v>
      </c>
      <c r="J447" t="s">
        <v>3034</v>
      </c>
      <c r="K447" s="1">
        <v>46031.274224537039</v>
      </c>
      <c r="L447">
        <v>1572.78</v>
      </c>
      <c r="M447">
        <v>45.91</v>
      </c>
      <c r="N447">
        <v>1526.87</v>
      </c>
      <c r="O447" t="s">
        <v>52</v>
      </c>
      <c r="P447" t="s">
        <v>3569</v>
      </c>
      <c r="Q447" t="s">
        <v>3036</v>
      </c>
      <c r="R447" t="s">
        <v>4977</v>
      </c>
      <c r="S447" t="s">
        <v>4992</v>
      </c>
      <c r="T447" t="s">
        <v>4993</v>
      </c>
    </row>
    <row r="448" spans="1:20" x14ac:dyDescent="0.25">
      <c r="A448" t="s">
        <v>1271</v>
      </c>
      <c r="B448" t="s">
        <v>1272</v>
      </c>
      <c r="C448" s="1">
        <v>46032.3674537037</v>
      </c>
      <c r="D448">
        <v>157.30000000000001</v>
      </c>
      <c r="E448" t="s">
        <v>25</v>
      </c>
      <c r="F448" t="s">
        <v>20</v>
      </c>
      <c r="G448" t="s">
        <v>26</v>
      </c>
      <c r="H448" t="s">
        <v>1273</v>
      </c>
      <c r="I448" t="s">
        <v>3570</v>
      </c>
      <c r="J448" t="s">
        <v>3034</v>
      </c>
      <c r="K448" s="1">
        <v>46032.374398148146</v>
      </c>
      <c r="L448">
        <v>157.30000000000001</v>
      </c>
      <c r="M448">
        <v>4.8600000000000003</v>
      </c>
      <c r="N448">
        <v>152.44</v>
      </c>
      <c r="O448" t="s">
        <v>52</v>
      </c>
      <c r="P448" t="s">
        <v>3571</v>
      </c>
      <c r="Q448" t="s">
        <v>3036</v>
      </c>
      <c r="R448" t="s">
        <v>4977</v>
      </c>
      <c r="S448" t="s">
        <v>4992</v>
      </c>
      <c r="T448" t="s">
        <v>4993</v>
      </c>
    </row>
    <row r="449" spans="1:20" x14ac:dyDescent="0.25">
      <c r="A449" t="s">
        <v>1274</v>
      </c>
      <c r="B449" t="s">
        <v>1275</v>
      </c>
      <c r="C449" s="1">
        <v>46033.482708333337</v>
      </c>
      <c r="D449">
        <v>1890.06</v>
      </c>
      <c r="E449" t="s">
        <v>25</v>
      </c>
      <c r="F449" t="s">
        <v>20</v>
      </c>
      <c r="G449" t="s">
        <v>30</v>
      </c>
      <c r="H449" t="s">
        <v>1276</v>
      </c>
      <c r="I449" t="s">
        <v>3572</v>
      </c>
      <c r="J449" t="s">
        <v>3034</v>
      </c>
      <c r="K449" s="1">
        <v>46033.489652777775</v>
      </c>
      <c r="L449">
        <v>1890.06</v>
      </c>
      <c r="M449">
        <v>55.11</v>
      </c>
      <c r="N449">
        <v>1834.95</v>
      </c>
      <c r="O449" t="s">
        <v>25</v>
      </c>
      <c r="P449" t="s">
        <v>3510</v>
      </c>
      <c r="Q449" t="s">
        <v>3036</v>
      </c>
      <c r="R449" t="s">
        <v>4977</v>
      </c>
      <c r="S449" t="s">
        <v>4992</v>
      </c>
      <c r="T449" t="s">
        <v>4992</v>
      </c>
    </row>
    <row r="450" spans="1:20" x14ac:dyDescent="0.25">
      <c r="A450" t="s">
        <v>1277</v>
      </c>
      <c r="B450" t="s">
        <v>1278</v>
      </c>
      <c r="C450" s="1">
        <v>46034.542175925926</v>
      </c>
      <c r="D450">
        <v>2138.48</v>
      </c>
      <c r="E450" t="s">
        <v>25</v>
      </c>
      <c r="F450" t="s">
        <v>20</v>
      </c>
      <c r="G450" t="s">
        <v>21</v>
      </c>
      <c r="H450" t="s">
        <v>1279</v>
      </c>
      <c r="I450" t="s">
        <v>3573</v>
      </c>
      <c r="J450" t="s">
        <v>3034</v>
      </c>
      <c r="K450" s="1">
        <v>46034.549120370371</v>
      </c>
      <c r="L450">
        <v>2138.48</v>
      </c>
      <c r="M450">
        <v>62.32</v>
      </c>
      <c r="N450">
        <v>2076.16</v>
      </c>
      <c r="O450" t="s">
        <v>25</v>
      </c>
      <c r="P450" t="s">
        <v>3553</v>
      </c>
      <c r="Q450" t="s">
        <v>3036</v>
      </c>
      <c r="R450" t="s">
        <v>4977</v>
      </c>
      <c r="S450" t="s">
        <v>4992</v>
      </c>
      <c r="T450" t="s">
        <v>4992</v>
      </c>
    </row>
    <row r="451" spans="1:20" x14ac:dyDescent="0.25">
      <c r="A451" t="s">
        <v>1280</v>
      </c>
      <c r="B451" t="s">
        <v>1281</v>
      </c>
      <c r="C451" s="1">
        <v>46035.64266203704</v>
      </c>
      <c r="D451">
        <v>1578.53</v>
      </c>
      <c r="E451" t="s">
        <v>25</v>
      </c>
      <c r="F451" t="s">
        <v>20</v>
      </c>
      <c r="G451" t="s">
        <v>26</v>
      </c>
      <c r="H451" t="s">
        <v>1282</v>
      </c>
      <c r="I451" t="s">
        <v>3574</v>
      </c>
      <c r="J451" t="s">
        <v>3034</v>
      </c>
      <c r="K451" s="1">
        <v>46035.649606481478</v>
      </c>
      <c r="L451">
        <v>1578.53</v>
      </c>
      <c r="M451">
        <v>46.08</v>
      </c>
      <c r="N451">
        <v>1532.45</v>
      </c>
      <c r="O451" t="s">
        <v>25</v>
      </c>
      <c r="P451" t="s">
        <v>3490</v>
      </c>
      <c r="Q451" t="s">
        <v>3036</v>
      </c>
      <c r="R451" t="s">
        <v>4977</v>
      </c>
      <c r="S451" t="s">
        <v>4992</v>
      </c>
      <c r="T451" t="s">
        <v>4992</v>
      </c>
    </row>
    <row r="452" spans="1:20" x14ac:dyDescent="0.25">
      <c r="A452" t="s">
        <v>1283</v>
      </c>
      <c r="B452" t="s">
        <v>1284</v>
      </c>
      <c r="C452" s="1">
        <v>46036.740763888891</v>
      </c>
      <c r="D452">
        <v>937.27</v>
      </c>
      <c r="E452" t="s">
        <v>52</v>
      </c>
      <c r="F452" t="s">
        <v>20</v>
      </c>
      <c r="G452" t="s">
        <v>30</v>
      </c>
      <c r="H452" t="s">
        <v>1285</v>
      </c>
      <c r="I452" t="s">
        <v>3575</v>
      </c>
      <c r="J452" t="s">
        <v>3034</v>
      </c>
      <c r="K452" s="1">
        <v>46036.747708333336</v>
      </c>
      <c r="L452">
        <v>937.27</v>
      </c>
      <c r="M452">
        <v>27.48</v>
      </c>
      <c r="N452">
        <v>909.79</v>
      </c>
      <c r="O452" t="s">
        <v>52</v>
      </c>
      <c r="P452" t="s">
        <v>3576</v>
      </c>
      <c r="Q452" t="s">
        <v>3036</v>
      </c>
      <c r="R452" t="s">
        <v>4977</v>
      </c>
      <c r="S452" t="s">
        <v>4992</v>
      </c>
      <c r="T452" t="s">
        <v>4992</v>
      </c>
    </row>
    <row r="453" spans="1:20" x14ac:dyDescent="0.25">
      <c r="A453" t="s">
        <v>1286</v>
      </c>
      <c r="B453" t="s">
        <v>1287</v>
      </c>
      <c r="C453" s="1">
        <v>46023.82267361111</v>
      </c>
      <c r="D453">
        <v>595.5</v>
      </c>
      <c r="E453" t="s">
        <v>19</v>
      </c>
      <c r="F453" t="s">
        <v>20</v>
      </c>
      <c r="G453" t="s">
        <v>21</v>
      </c>
      <c r="H453" t="s">
        <v>1288</v>
      </c>
      <c r="I453" t="s">
        <v>3577</v>
      </c>
      <c r="J453" t="s">
        <v>3034</v>
      </c>
      <c r="K453" s="1">
        <v>46023.829618055555</v>
      </c>
      <c r="L453">
        <v>595.5</v>
      </c>
      <c r="M453">
        <v>17.57</v>
      </c>
      <c r="N453">
        <v>577.92999999999995</v>
      </c>
      <c r="O453" t="s">
        <v>19</v>
      </c>
      <c r="P453" t="s">
        <v>3466</v>
      </c>
      <c r="Q453" t="s">
        <v>3036</v>
      </c>
      <c r="R453" t="s">
        <v>4977</v>
      </c>
      <c r="S453" t="s">
        <v>4992</v>
      </c>
      <c r="T453" t="s">
        <v>4992</v>
      </c>
    </row>
    <row r="454" spans="1:20" x14ac:dyDescent="0.25">
      <c r="A454" t="s">
        <v>1289</v>
      </c>
      <c r="B454" t="s">
        <v>1290</v>
      </c>
      <c r="C454" s="1">
        <v>46024.928506944445</v>
      </c>
      <c r="D454">
        <v>1001.59</v>
      </c>
      <c r="E454" t="s">
        <v>25</v>
      </c>
      <c r="F454" t="s">
        <v>20</v>
      </c>
      <c r="G454" t="s">
        <v>26</v>
      </c>
      <c r="H454" t="s">
        <v>1291</v>
      </c>
      <c r="I454" t="s">
        <v>3578</v>
      </c>
      <c r="J454" t="s">
        <v>3034</v>
      </c>
      <c r="K454" s="1">
        <v>46024.93545138889</v>
      </c>
      <c r="L454">
        <v>1002.7</v>
      </c>
      <c r="M454">
        <v>29.38</v>
      </c>
      <c r="N454">
        <v>973.32</v>
      </c>
      <c r="O454" t="s">
        <v>25</v>
      </c>
      <c r="P454" t="s">
        <v>3468</v>
      </c>
      <c r="Q454" t="s">
        <v>3036</v>
      </c>
      <c r="R454" t="s">
        <v>4977</v>
      </c>
      <c r="S454" t="s">
        <v>4991</v>
      </c>
      <c r="T454" t="s">
        <v>4992</v>
      </c>
    </row>
    <row r="455" spans="1:20" x14ac:dyDescent="0.25">
      <c r="A455" t="s">
        <v>1292</v>
      </c>
      <c r="B455" t="s">
        <v>1293</v>
      </c>
      <c r="C455" s="1">
        <v>46026.014930555553</v>
      </c>
      <c r="D455">
        <v>395.55</v>
      </c>
      <c r="E455" t="s">
        <v>25</v>
      </c>
      <c r="F455" t="s">
        <v>20</v>
      </c>
      <c r="G455" t="s">
        <v>30</v>
      </c>
      <c r="H455" t="s">
        <v>1294</v>
      </c>
      <c r="I455" t="s">
        <v>3579</v>
      </c>
      <c r="J455" t="s">
        <v>3034</v>
      </c>
      <c r="K455" s="1">
        <v>46026.021874999999</v>
      </c>
      <c r="L455">
        <v>395.55</v>
      </c>
      <c r="M455">
        <v>11.77</v>
      </c>
      <c r="N455">
        <v>383.78</v>
      </c>
      <c r="O455" t="s">
        <v>25</v>
      </c>
      <c r="P455" t="s">
        <v>3470</v>
      </c>
      <c r="Q455" t="s">
        <v>3036</v>
      </c>
      <c r="R455" t="s">
        <v>4977</v>
      </c>
      <c r="S455" t="s">
        <v>4992</v>
      </c>
      <c r="T455" t="s">
        <v>4992</v>
      </c>
    </row>
    <row r="456" spans="1:20" x14ac:dyDescent="0.25">
      <c r="A456" t="s">
        <v>1295</v>
      </c>
      <c r="B456" t="s">
        <v>1296</v>
      </c>
      <c r="C456" s="1">
        <v>46027.094606481478</v>
      </c>
      <c r="D456">
        <v>1404.64</v>
      </c>
      <c r="E456" t="s">
        <v>25</v>
      </c>
      <c r="F456" t="s">
        <v>20</v>
      </c>
      <c r="G456" t="s">
        <v>21</v>
      </c>
      <c r="H456" t="s">
        <v>1297</v>
      </c>
      <c r="I456" t="s">
        <v>3580</v>
      </c>
      <c r="J456" t="s">
        <v>3034</v>
      </c>
      <c r="K456" s="1">
        <v>46027.101550925923</v>
      </c>
      <c r="L456">
        <v>1404.64</v>
      </c>
      <c r="M456">
        <v>41.03</v>
      </c>
      <c r="N456">
        <v>1363.61</v>
      </c>
      <c r="O456" t="s">
        <v>25</v>
      </c>
      <c r="P456" t="s">
        <v>3472</v>
      </c>
      <c r="Q456" t="s">
        <v>3036</v>
      </c>
      <c r="R456" t="s">
        <v>4977</v>
      </c>
      <c r="S456" t="s">
        <v>4992</v>
      </c>
      <c r="T456" t="s">
        <v>4992</v>
      </c>
    </row>
    <row r="457" spans="1:20" x14ac:dyDescent="0.25">
      <c r="A457" t="s">
        <v>1298</v>
      </c>
      <c r="B457" t="s">
        <v>1299</v>
      </c>
      <c r="C457" s="1">
        <v>46028.200439814813</v>
      </c>
      <c r="D457">
        <v>2033.45</v>
      </c>
      <c r="E457" t="s">
        <v>25</v>
      </c>
      <c r="F457" t="s">
        <v>20</v>
      </c>
      <c r="G457" t="s">
        <v>26</v>
      </c>
      <c r="H457" t="s">
        <v>1300</v>
      </c>
      <c r="I457" t="s">
        <v>3581</v>
      </c>
      <c r="J457" t="s">
        <v>3034</v>
      </c>
      <c r="K457" s="1">
        <v>46028.207384259258</v>
      </c>
      <c r="L457">
        <v>2033.45</v>
      </c>
      <c r="M457">
        <v>59.27</v>
      </c>
      <c r="N457">
        <v>1974.18</v>
      </c>
      <c r="O457" t="s">
        <v>25</v>
      </c>
      <c r="P457" t="s">
        <v>3582</v>
      </c>
      <c r="Q457" t="s">
        <v>3036</v>
      </c>
      <c r="R457" t="s">
        <v>4977</v>
      </c>
      <c r="S457" t="s">
        <v>4992</v>
      </c>
      <c r="T457" t="s">
        <v>4992</v>
      </c>
    </row>
    <row r="458" spans="1:20" x14ac:dyDescent="0.25">
      <c r="A458" t="s">
        <v>1301</v>
      </c>
      <c r="B458" t="s">
        <v>1302</v>
      </c>
      <c r="C458" s="1">
        <v>46028.293842592589</v>
      </c>
      <c r="D458">
        <v>1717.99</v>
      </c>
      <c r="E458" t="s">
        <v>25</v>
      </c>
      <c r="F458" t="s">
        <v>20</v>
      </c>
      <c r="G458" t="s">
        <v>30</v>
      </c>
      <c r="H458" t="s">
        <v>1303</v>
      </c>
      <c r="I458" t="s">
        <v>3583</v>
      </c>
      <c r="J458" t="s">
        <v>3034</v>
      </c>
      <c r="K458" s="1">
        <v>46028.300787037035</v>
      </c>
      <c r="L458">
        <v>1717.99</v>
      </c>
      <c r="M458">
        <v>50.12</v>
      </c>
      <c r="N458">
        <v>1667.87</v>
      </c>
      <c r="O458" t="s">
        <v>52</v>
      </c>
      <c r="P458" t="s">
        <v>3584</v>
      </c>
      <c r="Q458" t="s">
        <v>3036</v>
      </c>
      <c r="R458" t="s">
        <v>4977</v>
      </c>
      <c r="S458" t="s">
        <v>4992</v>
      </c>
      <c r="T458" t="s">
        <v>4993</v>
      </c>
    </row>
    <row r="459" spans="1:20" x14ac:dyDescent="0.25">
      <c r="A459" t="s">
        <v>1304</v>
      </c>
      <c r="B459" t="s">
        <v>1305</v>
      </c>
      <c r="C459" s="1">
        <v>46029.379340277781</v>
      </c>
      <c r="D459">
        <v>1222.3699999999999</v>
      </c>
      <c r="E459" t="s">
        <v>25</v>
      </c>
      <c r="F459" t="s">
        <v>20</v>
      </c>
      <c r="G459" t="s">
        <v>21</v>
      </c>
      <c r="H459" t="s">
        <v>1306</v>
      </c>
      <c r="I459" t="s">
        <v>3585</v>
      </c>
      <c r="J459" t="s">
        <v>3034</v>
      </c>
      <c r="K459" s="1">
        <v>46029.386284722219</v>
      </c>
      <c r="L459">
        <v>1222.3699999999999</v>
      </c>
      <c r="M459">
        <v>35.75</v>
      </c>
      <c r="N459">
        <v>1186.6199999999999</v>
      </c>
      <c r="O459" t="s">
        <v>25</v>
      </c>
      <c r="P459" t="s">
        <v>3478</v>
      </c>
      <c r="Q459" t="s">
        <v>3036</v>
      </c>
      <c r="R459" t="s">
        <v>4977</v>
      </c>
      <c r="S459" t="s">
        <v>4992</v>
      </c>
      <c r="T459" t="s">
        <v>4992</v>
      </c>
    </row>
    <row r="460" spans="1:20" x14ac:dyDescent="0.25">
      <c r="A460" t="s">
        <v>1307</v>
      </c>
      <c r="B460" t="s">
        <v>1308</v>
      </c>
      <c r="C460" s="1">
        <v>46030.498020833336</v>
      </c>
      <c r="D460">
        <v>921.96</v>
      </c>
      <c r="E460" t="s">
        <v>25</v>
      </c>
      <c r="F460" t="s">
        <v>20</v>
      </c>
      <c r="G460" t="s">
        <v>26</v>
      </c>
      <c r="H460" t="s">
        <v>1309</v>
      </c>
      <c r="I460" t="s">
        <v>3586</v>
      </c>
      <c r="J460" t="s">
        <v>3034</v>
      </c>
      <c r="K460" s="1">
        <v>46030.504965277774</v>
      </c>
      <c r="L460">
        <v>921.96</v>
      </c>
      <c r="M460">
        <v>27.04</v>
      </c>
      <c r="N460">
        <v>894.92</v>
      </c>
      <c r="O460" t="s">
        <v>25</v>
      </c>
      <c r="P460" t="s">
        <v>3480</v>
      </c>
      <c r="Q460" t="s">
        <v>3036</v>
      </c>
      <c r="R460" t="s">
        <v>4977</v>
      </c>
      <c r="S460" t="s">
        <v>4992</v>
      </c>
      <c r="T460" t="s">
        <v>4992</v>
      </c>
    </row>
    <row r="461" spans="1:20" x14ac:dyDescent="0.25">
      <c r="A461" t="s">
        <v>1310</v>
      </c>
      <c r="B461" t="s">
        <v>1311</v>
      </c>
      <c r="C461" s="1">
        <v>46031.549583333333</v>
      </c>
      <c r="D461">
        <v>1991.44</v>
      </c>
      <c r="E461" t="s">
        <v>25</v>
      </c>
      <c r="F461" t="s">
        <v>20</v>
      </c>
      <c r="G461" t="s">
        <v>30</v>
      </c>
      <c r="H461" t="s">
        <v>1312</v>
      </c>
      <c r="I461" t="s">
        <v>3587</v>
      </c>
      <c r="J461" t="s">
        <v>3034</v>
      </c>
      <c r="K461" s="1">
        <v>46031.556527777779</v>
      </c>
      <c r="L461">
        <v>1991.44</v>
      </c>
      <c r="M461">
        <v>58.05</v>
      </c>
      <c r="N461">
        <v>1933.39</v>
      </c>
      <c r="O461" t="s">
        <v>25</v>
      </c>
      <c r="P461" t="s">
        <v>3482</v>
      </c>
      <c r="Q461" t="s">
        <v>3036</v>
      </c>
      <c r="R461" t="s">
        <v>4977</v>
      </c>
      <c r="S461" t="s">
        <v>4992</v>
      </c>
      <c r="T461" t="s">
        <v>4992</v>
      </c>
    </row>
    <row r="462" spans="1:20" x14ac:dyDescent="0.25">
      <c r="A462" t="s">
        <v>1313</v>
      </c>
      <c r="B462" t="s">
        <v>1314</v>
      </c>
      <c r="C462" s="1">
        <v>46032.669976851852</v>
      </c>
      <c r="D462">
        <v>1821.97</v>
      </c>
      <c r="E462" t="s">
        <v>52</v>
      </c>
      <c r="F462" t="s">
        <v>20</v>
      </c>
      <c r="G462" t="s">
        <v>21</v>
      </c>
      <c r="H462" t="s">
        <v>1315</v>
      </c>
      <c r="I462" t="s">
        <v>3588</v>
      </c>
      <c r="J462" t="s">
        <v>3034</v>
      </c>
      <c r="K462" s="1">
        <v>46032.676921296297</v>
      </c>
      <c r="L462">
        <v>1821.97</v>
      </c>
      <c r="M462">
        <v>53.14</v>
      </c>
      <c r="N462">
        <v>1768.83</v>
      </c>
      <c r="O462" t="s">
        <v>52</v>
      </c>
      <c r="P462" t="s">
        <v>3484</v>
      </c>
      <c r="Q462" t="s">
        <v>3036</v>
      </c>
      <c r="R462" t="s">
        <v>4977</v>
      </c>
      <c r="S462" t="s">
        <v>4992</v>
      </c>
      <c r="T462" t="s">
        <v>4992</v>
      </c>
    </row>
    <row r="463" spans="1:20" x14ac:dyDescent="0.25">
      <c r="A463" t="s">
        <v>1316</v>
      </c>
      <c r="B463" t="s">
        <v>1317</v>
      </c>
      <c r="C463" s="1">
        <v>46033.767210648148</v>
      </c>
      <c r="D463">
        <v>1218.07</v>
      </c>
      <c r="E463" t="s">
        <v>19</v>
      </c>
      <c r="F463" t="s">
        <v>92</v>
      </c>
      <c r="G463" t="s">
        <v>26</v>
      </c>
      <c r="H463" t="s">
        <v>1318</v>
      </c>
      <c r="I463" t="s">
        <v>3589</v>
      </c>
      <c r="J463" t="s">
        <v>3034</v>
      </c>
      <c r="K463" s="1">
        <v>46033.774155092593</v>
      </c>
      <c r="L463">
        <v>1218.07</v>
      </c>
      <c r="M463">
        <v>35.619999999999997</v>
      </c>
      <c r="N463">
        <v>1182.45</v>
      </c>
      <c r="O463" t="s">
        <v>19</v>
      </c>
      <c r="P463" t="s">
        <v>3486</v>
      </c>
      <c r="Q463" t="s">
        <v>3036</v>
      </c>
      <c r="R463" t="s">
        <v>4977</v>
      </c>
      <c r="S463" t="s">
        <v>4992</v>
      </c>
      <c r="T463" t="s">
        <v>4992</v>
      </c>
    </row>
    <row r="464" spans="1:20" x14ac:dyDescent="0.25">
      <c r="A464" t="s">
        <v>1316</v>
      </c>
      <c r="B464" t="s">
        <v>1317</v>
      </c>
      <c r="C464" s="1">
        <v>46033.767210648148</v>
      </c>
      <c r="D464">
        <v>1218.07</v>
      </c>
      <c r="E464" t="s">
        <v>19</v>
      </c>
      <c r="F464" t="s">
        <v>92</v>
      </c>
      <c r="G464" t="s">
        <v>26</v>
      </c>
      <c r="H464" t="s">
        <v>1318</v>
      </c>
      <c r="I464" t="s">
        <v>3590</v>
      </c>
      <c r="J464" t="s">
        <v>3076</v>
      </c>
      <c r="K464" s="1">
        <v>46034.767210648148</v>
      </c>
      <c r="L464">
        <v>-609.04</v>
      </c>
      <c r="M464">
        <v>0</v>
      </c>
      <c r="N464">
        <v>-609.04</v>
      </c>
      <c r="O464" t="s">
        <v>19</v>
      </c>
      <c r="P464" t="s">
        <v>3591</v>
      </c>
      <c r="Q464" t="s">
        <v>3036</v>
      </c>
      <c r="R464" t="s">
        <v>4977</v>
      </c>
      <c r="S464" t="s">
        <v>4991</v>
      </c>
      <c r="T464" t="s">
        <v>4992</v>
      </c>
    </row>
    <row r="465" spans="1:20" x14ac:dyDescent="0.25">
      <c r="A465" t="s">
        <v>1319</v>
      </c>
      <c r="B465" t="s">
        <v>1320</v>
      </c>
      <c r="C465" s="1">
        <v>46034.862881944442</v>
      </c>
      <c r="D465">
        <v>19.22</v>
      </c>
      <c r="E465" t="s">
        <v>25</v>
      </c>
      <c r="F465" t="s">
        <v>20</v>
      </c>
      <c r="G465" t="s">
        <v>30</v>
      </c>
      <c r="H465" t="s">
        <v>1321</v>
      </c>
      <c r="I465" t="s">
        <v>3592</v>
      </c>
      <c r="J465" t="s">
        <v>3034</v>
      </c>
      <c r="K465" s="1">
        <v>46034.869826388887</v>
      </c>
      <c r="L465">
        <v>19.22</v>
      </c>
      <c r="M465">
        <v>0.86</v>
      </c>
      <c r="N465">
        <v>18.36</v>
      </c>
      <c r="O465" t="s">
        <v>25</v>
      </c>
      <c r="P465" t="s">
        <v>3553</v>
      </c>
      <c r="Q465" t="s">
        <v>3036</v>
      </c>
      <c r="R465" t="s">
        <v>4977</v>
      </c>
      <c r="S465" t="s">
        <v>4992</v>
      </c>
      <c r="T465" t="s">
        <v>4992</v>
      </c>
    </row>
    <row r="466" spans="1:20" x14ac:dyDescent="0.25">
      <c r="A466" t="s">
        <v>1322</v>
      </c>
      <c r="B466" t="s">
        <v>1323</v>
      </c>
      <c r="C466" s="1">
        <v>46035.950787037036</v>
      </c>
      <c r="D466">
        <v>566.23</v>
      </c>
      <c r="E466" t="s">
        <v>25</v>
      </c>
      <c r="F466" t="s">
        <v>20</v>
      </c>
      <c r="G466" t="s">
        <v>21</v>
      </c>
      <c r="H466" t="s">
        <v>1324</v>
      </c>
      <c r="I466" t="s">
        <v>3593</v>
      </c>
      <c r="J466" t="s">
        <v>3034</v>
      </c>
      <c r="K466" s="1">
        <v>46035.957731481481</v>
      </c>
      <c r="L466">
        <v>566.23</v>
      </c>
      <c r="M466">
        <v>16.72</v>
      </c>
      <c r="N466">
        <v>549.51</v>
      </c>
      <c r="O466" t="s">
        <v>25</v>
      </c>
      <c r="P466" t="s">
        <v>3490</v>
      </c>
      <c r="Q466" t="s">
        <v>3036</v>
      </c>
      <c r="R466" t="s">
        <v>4977</v>
      </c>
      <c r="S466" t="s">
        <v>4992</v>
      </c>
      <c r="T466" t="s">
        <v>4992</v>
      </c>
    </row>
    <row r="467" spans="1:20" x14ac:dyDescent="0.25">
      <c r="A467" t="s">
        <v>1325</v>
      </c>
      <c r="B467" t="s">
        <v>1326</v>
      </c>
      <c r="C467" s="1">
        <v>46037.044664351852</v>
      </c>
      <c r="D467">
        <v>1576.75</v>
      </c>
      <c r="E467" t="s">
        <v>25</v>
      </c>
      <c r="F467" t="s">
        <v>20</v>
      </c>
      <c r="G467" t="s">
        <v>26</v>
      </c>
      <c r="H467" t="s">
        <v>1327</v>
      </c>
      <c r="I467" t="s">
        <v>3594</v>
      </c>
      <c r="J467" t="s">
        <v>3034</v>
      </c>
      <c r="K467" s="1">
        <v>46037.051608796297</v>
      </c>
      <c r="L467">
        <v>1576.75</v>
      </c>
      <c r="M467">
        <v>46.03</v>
      </c>
      <c r="N467">
        <v>1530.72</v>
      </c>
      <c r="O467" t="s">
        <v>25</v>
      </c>
      <c r="P467" t="s">
        <v>3492</v>
      </c>
      <c r="Q467" t="s">
        <v>3036</v>
      </c>
      <c r="R467" t="s">
        <v>4977</v>
      </c>
      <c r="S467" t="s">
        <v>4992</v>
      </c>
      <c r="T467" t="s">
        <v>4992</v>
      </c>
    </row>
    <row r="468" spans="1:20" x14ac:dyDescent="0.25">
      <c r="A468" t="s">
        <v>1328</v>
      </c>
      <c r="B468" t="s">
        <v>1329</v>
      </c>
      <c r="C468" s="1">
        <v>46024.139861111114</v>
      </c>
      <c r="D468">
        <v>1642.79</v>
      </c>
      <c r="E468" t="s">
        <v>25</v>
      </c>
      <c r="F468" t="s">
        <v>20</v>
      </c>
      <c r="G468" t="s">
        <v>30</v>
      </c>
      <c r="H468" t="s">
        <v>1330</v>
      </c>
      <c r="I468" t="s">
        <v>3595</v>
      </c>
      <c r="J468" t="s">
        <v>3034</v>
      </c>
      <c r="K468" s="1">
        <v>46024.146805555552</v>
      </c>
      <c r="L468">
        <v>1642.79</v>
      </c>
      <c r="M468">
        <v>47.94</v>
      </c>
      <c r="N468">
        <v>1594.85</v>
      </c>
      <c r="O468" t="s">
        <v>25</v>
      </c>
      <c r="P468" t="s">
        <v>3494</v>
      </c>
      <c r="Q468" t="s">
        <v>3036</v>
      </c>
      <c r="R468" t="s">
        <v>4977</v>
      </c>
      <c r="S468" t="s">
        <v>4992</v>
      </c>
      <c r="T468" t="s">
        <v>4992</v>
      </c>
    </row>
    <row r="469" spans="1:20" x14ac:dyDescent="0.25">
      <c r="A469" t="s">
        <v>1331</v>
      </c>
      <c r="B469" t="s">
        <v>1332</v>
      </c>
      <c r="C469" s="1">
        <v>46025.204317129632</v>
      </c>
      <c r="D469">
        <v>1600.98</v>
      </c>
      <c r="E469" t="s">
        <v>25</v>
      </c>
      <c r="F469" t="s">
        <v>20</v>
      </c>
      <c r="G469" t="s">
        <v>21</v>
      </c>
      <c r="H469" t="s">
        <v>1333</v>
      </c>
      <c r="I469" t="s">
        <v>3596</v>
      </c>
      <c r="J469" t="s">
        <v>3034</v>
      </c>
      <c r="K469" s="1">
        <v>46025.211261574077</v>
      </c>
      <c r="L469">
        <v>1600.98</v>
      </c>
      <c r="M469">
        <v>46.73</v>
      </c>
      <c r="N469">
        <v>1554.25</v>
      </c>
      <c r="O469" t="s">
        <v>25</v>
      </c>
      <c r="P469" t="s">
        <v>3468</v>
      </c>
      <c r="Q469" t="s">
        <v>3036</v>
      </c>
      <c r="R469" t="s">
        <v>4977</v>
      </c>
      <c r="S469" t="s">
        <v>4992</v>
      </c>
      <c r="T469" t="s">
        <v>4992</v>
      </c>
    </row>
    <row r="470" spans="1:20" x14ac:dyDescent="0.25">
      <c r="A470" t="s">
        <v>1334</v>
      </c>
      <c r="B470" t="s">
        <v>1335</v>
      </c>
      <c r="C470" s="1">
        <v>46025.312060185184</v>
      </c>
      <c r="D470">
        <v>1925.14</v>
      </c>
      <c r="E470" t="s">
        <v>25</v>
      </c>
      <c r="F470" t="s">
        <v>20</v>
      </c>
      <c r="G470" t="s">
        <v>26</v>
      </c>
      <c r="H470" t="s">
        <v>1336</v>
      </c>
      <c r="I470" t="s">
        <v>3597</v>
      </c>
      <c r="J470" t="s">
        <v>3034</v>
      </c>
      <c r="K470" s="1">
        <v>46025.319004629629</v>
      </c>
      <c r="L470">
        <v>1925.14</v>
      </c>
      <c r="M470">
        <v>56.13</v>
      </c>
      <c r="N470">
        <v>1869.01</v>
      </c>
      <c r="O470" t="s">
        <v>25</v>
      </c>
      <c r="P470" t="s">
        <v>3470</v>
      </c>
      <c r="Q470" t="s">
        <v>3036</v>
      </c>
      <c r="R470" t="s">
        <v>4977</v>
      </c>
      <c r="S470" t="s">
        <v>4992</v>
      </c>
      <c r="T470" t="s">
        <v>4992</v>
      </c>
    </row>
    <row r="471" spans="1:20" x14ac:dyDescent="0.25">
      <c r="A471" t="s">
        <v>1337</v>
      </c>
      <c r="B471" t="s">
        <v>1338</v>
      </c>
      <c r="C471" s="1">
        <v>46026.390057870369</v>
      </c>
      <c r="D471">
        <v>2374.63</v>
      </c>
      <c r="E471" t="s">
        <v>25</v>
      </c>
      <c r="F471" t="s">
        <v>20</v>
      </c>
      <c r="G471" t="s">
        <v>30</v>
      </c>
      <c r="H471" t="s">
        <v>1339</v>
      </c>
      <c r="I471" t="s">
        <v>3598</v>
      </c>
      <c r="J471" t="s">
        <v>3034</v>
      </c>
      <c r="K471" s="1">
        <v>46026.397002314814</v>
      </c>
      <c r="L471">
        <v>2374.63</v>
      </c>
      <c r="M471">
        <v>69.16</v>
      </c>
      <c r="N471">
        <v>2305.4699999999998</v>
      </c>
      <c r="O471" t="s">
        <v>25</v>
      </c>
      <c r="P471" t="s">
        <v>3472</v>
      </c>
      <c r="Q471" t="s">
        <v>3036</v>
      </c>
      <c r="R471" t="s">
        <v>4977</v>
      </c>
      <c r="S471" t="s">
        <v>4992</v>
      </c>
      <c r="T471" t="s">
        <v>4992</v>
      </c>
    </row>
    <row r="472" spans="1:20" x14ac:dyDescent="0.25">
      <c r="A472" t="s">
        <v>1340</v>
      </c>
      <c r="B472" t="s">
        <v>1341</v>
      </c>
      <c r="C472" s="1">
        <v>46027.489340277774</v>
      </c>
      <c r="D472">
        <v>822.81</v>
      </c>
      <c r="E472" t="s">
        <v>25</v>
      </c>
      <c r="F472" t="s">
        <v>429</v>
      </c>
      <c r="G472" t="s">
        <v>21</v>
      </c>
      <c r="H472" t="s">
        <v>1342</v>
      </c>
      <c r="I472" t="s">
        <v>3599</v>
      </c>
      <c r="J472" t="s">
        <v>3034</v>
      </c>
      <c r="K472" s="1">
        <v>46027.49628472222</v>
      </c>
      <c r="L472">
        <v>822.81</v>
      </c>
      <c r="M472">
        <v>24.16</v>
      </c>
      <c r="N472">
        <v>798.65</v>
      </c>
      <c r="O472" t="s">
        <v>25</v>
      </c>
      <c r="P472" t="s">
        <v>3474</v>
      </c>
      <c r="Q472" t="s">
        <v>3036</v>
      </c>
      <c r="R472" t="s">
        <v>4977</v>
      </c>
      <c r="S472" t="s">
        <v>4992</v>
      </c>
      <c r="T472" t="s">
        <v>4992</v>
      </c>
    </row>
    <row r="473" spans="1:20" x14ac:dyDescent="0.25">
      <c r="A473" t="s">
        <v>1340</v>
      </c>
      <c r="B473" t="s">
        <v>1341</v>
      </c>
      <c r="C473" s="1">
        <v>46027.489340277774</v>
      </c>
      <c r="D473">
        <v>822.81</v>
      </c>
      <c r="E473" t="s">
        <v>25</v>
      </c>
      <c r="F473" t="s">
        <v>429</v>
      </c>
      <c r="G473" t="s">
        <v>21</v>
      </c>
      <c r="H473" t="s">
        <v>1342</v>
      </c>
      <c r="I473" t="s">
        <v>3600</v>
      </c>
      <c r="J473" t="s">
        <v>3076</v>
      </c>
      <c r="K473" s="1">
        <v>46028.489340277774</v>
      </c>
      <c r="L473">
        <v>-822.81</v>
      </c>
      <c r="M473">
        <v>0</v>
      </c>
      <c r="N473">
        <v>-822.81</v>
      </c>
      <c r="O473" t="s">
        <v>25</v>
      </c>
      <c r="P473" t="s">
        <v>3601</v>
      </c>
      <c r="Q473" t="s">
        <v>3036</v>
      </c>
      <c r="R473" t="s">
        <v>4977</v>
      </c>
      <c r="S473" t="s">
        <v>4991</v>
      </c>
      <c r="T473" t="s">
        <v>4992</v>
      </c>
    </row>
    <row r="474" spans="1:20" x14ac:dyDescent="0.25">
      <c r="A474" t="s">
        <v>1343</v>
      </c>
      <c r="B474" t="s">
        <v>1344</v>
      </c>
      <c r="C474" s="1">
        <v>46028.585821759261</v>
      </c>
      <c r="D474">
        <v>1814.6</v>
      </c>
      <c r="E474" t="s">
        <v>52</v>
      </c>
      <c r="F474" t="s">
        <v>20</v>
      </c>
      <c r="G474" t="s">
        <v>26</v>
      </c>
      <c r="H474" t="s">
        <v>1345</v>
      </c>
      <c r="I474" t="s">
        <v>3602</v>
      </c>
      <c r="J474" t="s">
        <v>3034</v>
      </c>
      <c r="K474" s="1">
        <v>46028.592766203707</v>
      </c>
      <c r="L474">
        <v>1814.6</v>
      </c>
      <c r="M474">
        <v>52.92</v>
      </c>
      <c r="N474">
        <v>1761.68</v>
      </c>
      <c r="O474" t="s">
        <v>52</v>
      </c>
      <c r="P474" t="s">
        <v>3502</v>
      </c>
      <c r="Q474" t="s">
        <v>3036</v>
      </c>
      <c r="R474" t="s">
        <v>4977</v>
      </c>
      <c r="S474" t="s">
        <v>4992</v>
      </c>
      <c r="T474" t="s">
        <v>4992</v>
      </c>
    </row>
    <row r="475" spans="1:20" x14ac:dyDescent="0.25">
      <c r="A475" t="s">
        <v>1346</v>
      </c>
      <c r="B475" t="s">
        <v>1347</v>
      </c>
      <c r="C475" s="1">
        <v>46029.677314814813</v>
      </c>
      <c r="D475">
        <v>1656.51</v>
      </c>
      <c r="E475" t="s">
        <v>19</v>
      </c>
      <c r="F475" t="s">
        <v>20</v>
      </c>
      <c r="G475" t="s">
        <v>30</v>
      </c>
      <c r="H475" t="s">
        <v>1348</v>
      </c>
      <c r="I475" t="s">
        <v>3603</v>
      </c>
      <c r="J475" t="s">
        <v>3034</v>
      </c>
      <c r="K475" s="1">
        <v>46029.684259259258</v>
      </c>
      <c r="L475">
        <v>1656.51</v>
      </c>
      <c r="M475">
        <v>48.34</v>
      </c>
      <c r="N475">
        <v>1608.17</v>
      </c>
      <c r="O475" t="s">
        <v>19</v>
      </c>
      <c r="P475" t="s">
        <v>3504</v>
      </c>
      <c r="Q475" t="s">
        <v>3036</v>
      </c>
      <c r="R475" t="s">
        <v>4977</v>
      </c>
      <c r="S475" t="s">
        <v>4992</v>
      </c>
      <c r="T475" t="s">
        <v>4992</v>
      </c>
    </row>
    <row r="476" spans="1:20" x14ac:dyDescent="0.25">
      <c r="A476" t="s">
        <v>1349</v>
      </c>
      <c r="B476" t="s">
        <v>1350</v>
      </c>
      <c r="C476" s="1">
        <v>46030.757939814815</v>
      </c>
      <c r="D476">
        <v>1449.6</v>
      </c>
      <c r="E476" t="s">
        <v>25</v>
      </c>
      <c r="F476" t="s">
        <v>20</v>
      </c>
      <c r="G476" t="s">
        <v>21</v>
      </c>
      <c r="H476" t="s">
        <v>1351</v>
      </c>
      <c r="I476" t="s">
        <v>3604</v>
      </c>
      <c r="J476" t="s">
        <v>3034</v>
      </c>
      <c r="K476" s="1">
        <v>46030.764884259261</v>
      </c>
      <c r="L476">
        <v>1449.6</v>
      </c>
      <c r="M476">
        <v>42.34</v>
      </c>
      <c r="N476">
        <v>1407.26</v>
      </c>
      <c r="O476" t="s">
        <v>25</v>
      </c>
      <c r="P476" t="s">
        <v>3480</v>
      </c>
      <c r="Q476" t="s">
        <v>3036</v>
      </c>
      <c r="R476" t="s">
        <v>4977</v>
      </c>
      <c r="S476" t="s">
        <v>4992</v>
      </c>
      <c r="T476" t="s">
        <v>4992</v>
      </c>
    </row>
    <row r="477" spans="1:20" x14ac:dyDescent="0.25">
      <c r="A477" t="s">
        <v>1352</v>
      </c>
      <c r="B477" t="s">
        <v>1353</v>
      </c>
      <c r="C477" s="1">
        <v>46031.838680555556</v>
      </c>
      <c r="D477">
        <v>574.20000000000005</v>
      </c>
      <c r="E477" t="s">
        <v>25</v>
      </c>
      <c r="F477" t="s">
        <v>20</v>
      </c>
      <c r="G477" t="s">
        <v>26</v>
      </c>
      <c r="H477" t="s">
        <v>1354</v>
      </c>
      <c r="I477" t="s">
        <v>3605</v>
      </c>
      <c r="J477" t="s">
        <v>3034</v>
      </c>
      <c r="K477" s="1">
        <v>46031.845625000002</v>
      </c>
      <c r="L477">
        <v>574.20000000000005</v>
      </c>
      <c r="M477">
        <v>16.95</v>
      </c>
      <c r="N477">
        <v>557.25</v>
      </c>
      <c r="O477" t="s">
        <v>25</v>
      </c>
      <c r="P477" t="s">
        <v>3482</v>
      </c>
      <c r="Q477" t="s">
        <v>3036</v>
      </c>
      <c r="R477" t="s">
        <v>4977</v>
      </c>
      <c r="S477" t="s">
        <v>4992</v>
      </c>
      <c r="T477" t="s">
        <v>4992</v>
      </c>
    </row>
    <row r="478" spans="1:20" x14ac:dyDescent="0.25">
      <c r="A478" t="s">
        <v>1355</v>
      </c>
      <c r="B478" t="s">
        <v>1356</v>
      </c>
      <c r="C478" s="1">
        <v>46032.953935185185</v>
      </c>
      <c r="D478">
        <v>808.18</v>
      </c>
      <c r="E478" t="s">
        <v>25</v>
      </c>
      <c r="F478" t="s">
        <v>20</v>
      </c>
      <c r="G478" t="s">
        <v>30</v>
      </c>
      <c r="H478" t="s">
        <v>1357</v>
      </c>
      <c r="I478" t="s">
        <v>3606</v>
      </c>
      <c r="J478" t="s">
        <v>3034</v>
      </c>
      <c r="K478" s="1">
        <v>46032.960879629631</v>
      </c>
      <c r="L478">
        <v>808.18</v>
      </c>
      <c r="M478">
        <v>24.11</v>
      </c>
      <c r="N478">
        <v>784.07</v>
      </c>
      <c r="O478" t="s">
        <v>25</v>
      </c>
      <c r="P478" t="s">
        <v>3530</v>
      </c>
      <c r="Q478" t="s">
        <v>3036</v>
      </c>
      <c r="R478" t="s">
        <v>4977</v>
      </c>
      <c r="S478" t="s">
        <v>4992</v>
      </c>
      <c r="T478" t="s">
        <v>4992</v>
      </c>
    </row>
    <row r="479" spans="1:20" x14ac:dyDescent="0.25">
      <c r="A479" t="s">
        <v>1358</v>
      </c>
      <c r="B479" t="s">
        <v>1359</v>
      </c>
      <c r="C479" s="1">
        <v>46034.056145833332</v>
      </c>
      <c r="D479">
        <v>884.84</v>
      </c>
      <c r="E479" t="s">
        <v>25</v>
      </c>
      <c r="F479" t="s">
        <v>92</v>
      </c>
      <c r="G479" t="s">
        <v>21</v>
      </c>
      <c r="H479" t="s">
        <v>1360</v>
      </c>
      <c r="I479" t="s">
        <v>3607</v>
      </c>
      <c r="J479" t="s">
        <v>3034</v>
      </c>
      <c r="K479" s="1">
        <v>46034.063090277778</v>
      </c>
      <c r="L479">
        <v>884.84</v>
      </c>
      <c r="M479">
        <v>25.96</v>
      </c>
      <c r="N479">
        <v>858.88</v>
      </c>
      <c r="O479" t="s">
        <v>25</v>
      </c>
      <c r="P479" t="s">
        <v>3510</v>
      </c>
      <c r="Q479" t="s">
        <v>3036</v>
      </c>
      <c r="R479" t="s">
        <v>4977</v>
      </c>
      <c r="S479" t="s">
        <v>4992</v>
      </c>
      <c r="T479" t="s">
        <v>4992</v>
      </c>
    </row>
    <row r="480" spans="1:20" x14ac:dyDescent="0.25">
      <c r="A480" t="s">
        <v>1358</v>
      </c>
      <c r="B480" t="s">
        <v>1359</v>
      </c>
      <c r="C480" s="1">
        <v>46034.056145833332</v>
      </c>
      <c r="D480">
        <v>884.84</v>
      </c>
      <c r="E480" t="s">
        <v>25</v>
      </c>
      <c r="F480" t="s">
        <v>92</v>
      </c>
      <c r="G480" t="s">
        <v>21</v>
      </c>
      <c r="H480" t="s">
        <v>1360</v>
      </c>
      <c r="I480" t="s">
        <v>3608</v>
      </c>
      <c r="J480" t="s">
        <v>3076</v>
      </c>
      <c r="K480" s="1">
        <v>46035.056145833332</v>
      </c>
      <c r="L480">
        <v>-442.42</v>
      </c>
      <c r="M480">
        <v>0</v>
      </c>
      <c r="N480">
        <v>-442.42</v>
      </c>
      <c r="O480" t="s">
        <v>25</v>
      </c>
      <c r="P480" t="s">
        <v>3609</v>
      </c>
      <c r="Q480" t="s">
        <v>3036</v>
      </c>
      <c r="R480" t="s">
        <v>4977</v>
      </c>
      <c r="S480" t="s">
        <v>4991</v>
      </c>
      <c r="T480" t="s">
        <v>4992</v>
      </c>
    </row>
    <row r="481" spans="1:20" x14ac:dyDescent="0.25">
      <c r="A481" t="s">
        <v>1361</v>
      </c>
      <c r="B481" t="s">
        <v>1362</v>
      </c>
      <c r="C481" s="1">
        <v>46035.117777777778</v>
      </c>
      <c r="D481">
        <v>1112.8599999999999</v>
      </c>
      <c r="E481" t="s">
        <v>25</v>
      </c>
      <c r="F481" t="s">
        <v>20</v>
      </c>
      <c r="G481" t="s">
        <v>26</v>
      </c>
      <c r="H481" t="s">
        <v>1363</v>
      </c>
      <c r="I481" t="s">
        <v>3610</v>
      </c>
      <c r="J481" t="s">
        <v>3034</v>
      </c>
      <c r="K481" s="1">
        <v>46035.124722222223</v>
      </c>
      <c r="L481">
        <v>1112.8599999999999</v>
      </c>
      <c r="M481">
        <v>32.57</v>
      </c>
      <c r="N481">
        <v>1080.29</v>
      </c>
      <c r="O481" t="s">
        <v>25</v>
      </c>
      <c r="P481" t="s">
        <v>3553</v>
      </c>
      <c r="Q481" t="s">
        <v>3036</v>
      </c>
      <c r="R481" t="s">
        <v>4977</v>
      </c>
      <c r="S481" t="s">
        <v>4992</v>
      </c>
      <c r="T481" t="s">
        <v>4992</v>
      </c>
    </row>
    <row r="482" spans="1:20" x14ac:dyDescent="0.25">
      <c r="A482" t="s">
        <v>1364</v>
      </c>
      <c r="B482" t="s">
        <v>1365</v>
      </c>
      <c r="C482" s="1">
        <v>46036.203101851854</v>
      </c>
      <c r="D482">
        <v>556.37</v>
      </c>
      <c r="E482" t="s">
        <v>25</v>
      </c>
      <c r="F482" t="s">
        <v>20</v>
      </c>
      <c r="G482" t="s">
        <v>30</v>
      </c>
      <c r="H482" t="s">
        <v>1366</v>
      </c>
      <c r="I482" t="s">
        <v>3611</v>
      </c>
      <c r="J482" t="s">
        <v>3034</v>
      </c>
      <c r="K482" s="1">
        <v>46036.210046296299</v>
      </c>
      <c r="L482">
        <v>556.37</v>
      </c>
      <c r="M482">
        <v>16.43</v>
      </c>
      <c r="N482">
        <v>539.94000000000005</v>
      </c>
      <c r="O482" t="s">
        <v>25</v>
      </c>
      <c r="P482" t="s">
        <v>3490</v>
      </c>
      <c r="Q482" t="s">
        <v>3036</v>
      </c>
      <c r="R482" t="s">
        <v>4977</v>
      </c>
      <c r="S482" t="s">
        <v>4992</v>
      </c>
      <c r="T482" t="s">
        <v>4992</v>
      </c>
    </row>
    <row r="483" spans="1:20" x14ac:dyDescent="0.25">
      <c r="A483" t="s">
        <v>1367</v>
      </c>
      <c r="B483" t="s">
        <v>1368</v>
      </c>
      <c r="C483" s="1">
        <v>46036.29409722222</v>
      </c>
      <c r="D483">
        <v>900.24</v>
      </c>
      <c r="E483" t="s">
        <v>25</v>
      </c>
      <c r="F483" t="s">
        <v>20</v>
      </c>
      <c r="G483" t="s">
        <v>21</v>
      </c>
      <c r="H483" t="s">
        <v>1369</v>
      </c>
      <c r="I483" t="s">
        <v>3612</v>
      </c>
      <c r="J483" t="s">
        <v>3034</v>
      </c>
      <c r="K483" s="1">
        <v>46036.301041666666</v>
      </c>
      <c r="L483">
        <v>900.24</v>
      </c>
      <c r="M483">
        <v>26.41</v>
      </c>
      <c r="N483">
        <v>873.83</v>
      </c>
      <c r="O483" t="s">
        <v>25</v>
      </c>
      <c r="P483" t="s">
        <v>3492</v>
      </c>
      <c r="Q483" t="s">
        <v>3036</v>
      </c>
      <c r="R483" t="s">
        <v>4977</v>
      </c>
      <c r="S483" t="s">
        <v>4992</v>
      </c>
      <c r="T483" t="s">
        <v>4992</v>
      </c>
    </row>
    <row r="484" spans="1:20" x14ac:dyDescent="0.25">
      <c r="A484" t="s">
        <v>1370</v>
      </c>
      <c r="B484" t="s">
        <v>1371</v>
      </c>
      <c r="C484" s="1">
        <v>46023.423333333332</v>
      </c>
      <c r="D484">
        <v>1858.89</v>
      </c>
      <c r="E484" t="s">
        <v>25</v>
      </c>
      <c r="F484" t="s">
        <v>20</v>
      </c>
      <c r="G484" t="s">
        <v>26</v>
      </c>
      <c r="H484" t="s">
        <v>1372</v>
      </c>
      <c r="I484" t="s">
        <v>3613</v>
      </c>
      <c r="J484" t="s">
        <v>3034</v>
      </c>
      <c r="K484" s="1">
        <v>46023.430277777778</v>
      </c>
      <c r="L484">
        <v>1858.89</v>
      </c>
      <c r="M484">
        <v>54.21</v>
      </c>
      <c r="N484">
        <v>1804.68</v>
      </c>
      <c r="O484" t="s">
        <v>25</v>
      </c>
      <c r="P484" t="s">
        <v>3614</v>
      </c>
      <c r="Q484" t="s">
        <v>3036</v>
      </c>
      <c r="R484" t="s">
        <v>4977</v>
      </c>
      <c r="S484" t="s">
        <v>4992</v>
      </c>
      <c r="T484" t="s">
        <v>4992</v>
      </c>
    </row>
    <row r="485" spans="1:20" x14ac:dyDescent="0.25">
      <c r="A485" t="s">
        <v>1373</v>
      </c>
      <c r="B485" t="s">
        <v>1374</v>
      </c>
      <c r="C485" s="1">
        <v>46024.504988425928</v>
      </c>
      <c r="D485">
        <v>1273.3499999999999</v>
      </c>
      <c r="E485" t="s">
        <v>52</v>
      </c>
      <c r="F485" t="s">
        <v>20</v>
      </c>
      <c r="G485" t="s">
        <v>30</v>
      </c>
      <c r="H485" t="s">
        <v>1375</v>
      </c>
      <c r="I485" t="s">
        <v>3615</v>
      </c>
      <c r="J485" t="s">
        <v>3034</v>
      </c>
      <c r="K485" s="1">
        <v>46024.511932870373</v>
      </c>
      <c r="L485">
        <v>1273.3499999999999</v>
      </c>
      <c r="M485">
        <v>37.229999999999997</v>
      </c>
      <c r="N485">
        <v>1236.1199999999999</v>
      </c>
      <c r="O485" t="s">
        <v>52</v>
      </c>
      <c r="P485" t="s">
        <v>3518</v>
      </c>
      <c r="Q485" t="s">
        <v>3036</v>
      </c>
      <c r="R485" t="s">
        <v>4977</v>
      </c>
      <c r="S485" t="s">
        <v>4992</v>
      </c>
      <c r="T485" t="s">
        <v>4992</v>
      </c>
    </row>
    <row r="486" spans="1:20" x14ac:dyDescent="0.25">
      <c r="A486" t="s">
        <v>1376</v>
      </c>
      <c r="B486" t="s">
        <v>1377</v>
      </c>
      <c r="C486" s="1">
        <v>46025.567835648151</v>
      </c>
      <c r="D486">
        <v>2247.9299999999998</v>
      </c>
      <c r="E486" t="s">
        <v>19</v>
      </c>
      <c r="F486" t="s">
        <v>20</v>
      </c>
      <c r="G486" t="s">
        <v>21</v>
      </c>
      <c r="H486" t="s">
        <v>1378</v>
      </c>
      <c r="I486" t="s">
        <v>3616</v>
      </c>
      <c r="J486" t="s">
        <v>3034</v>
      </c>
      <c r="K486" s="1">
        <v>46025.574780092589</v>
      </c>
      <c r="L486">
        <v>2247.9299999999998</v>
      </c>
      <c r="M486">
        <v>65.489999999999995</v>
      </c>
      <c r="N486">
        <v>2182.44</v>
      </c>
      <c r="O486" t="s">
        <v>19</v>
      </c>
      <c r="P486" t="s">
        <v>3520</v>
      </c>
      <c r="Q486" t="s">
        <v>3036</v>
      </c>
      <c r="R486" t="s">
        <v>4977</v>
      </c>
      <c r="S486" t="s">
        <v>4992</v>
      </c>
      <c r="T486" t="s">
        <v>4992</v>
      </c>
    </row>
    <row r="487" spans="1:20" x14ac:dyDescent="0.25">
      <c r="A487" t="s">
        <v>1379</v>
      </c>
      <c r="B487" t="s">
        <v>1380</v>
      </c>
      <c r="C487" s="1">
        <v>46026.659074074072</v>
      </c>
      <c r="D487">
        <v>1470.58</v>
      </c>
      <c r="E487" t="s">
        <v>25</v>
      </c>
      <c r="F487" t="s">
        <v>20</v>
      </c>
      <c r="G487" t="s">
        <v>26</v>
      </c>
      <c r="H487" t="s">
        <v>1381</v>
      </c>
      <c r="I487" t="s">
        <v>3617</v>
      </c>
      <c r="J487" t="s">
        <v>3034</v>
      </c>
      <c r="K487" s="1">
        <v>46026.666018518517</v>
      </c>
      <c r="L487">
        <v>1470.58</v>
      </c>
      <c r="M487">
        <v>42.95</v>
      </c>
      <c r="N487">
        <v>1427.63</v>
      </c>
      <c r="O487" t="s">
        <v>25</v>
      </c>
      <c r="P487" t="s">
        <v>3472</v>
      </c>
      <c r="Q487" t="s">
        <v>3036</v>
      </c>
      <c r="R487" t="s">
        <v>4977</v>
      </c>
      <c r="S487" t="s">
        <v>4992</v>
      </c>
      <c r="T487" t="s">
        <v>4992</v>
      </c>
    </row>
    <row r="488" spans="1:20" x14ac:dyDescent="0.25">
      <c r="A488" t="s">
        <v>1382</v>
      </c>
      <c r="B488" t="s">
        <v>1383</v>
      </c>
      <c r="C488" s="1">
        <v>46027.771817129629</v>
      </c>
      <c r="D488">
        <v>1029.44</v>
      </c>
      <c r="E488" t="s">
        <v>25</v>
      </c>
      <c r="F488" t="s">
        <v>20</v>
      </c>
      <c r="G488" t="s">
        <v>30</v>
      </c>
      <c r="H488" t="s">
        <v>1384</v>
      </c>
      <c r="I488" t="s">
        <v>3618</v>
      </c>
      <c r="J488" t="s">
        <v>3034</v>
      </c>
      <c r="K488" s="1">
        <v>46027.778761574074</v>
      </c>
      <c r="L488">
        <v>1029.44</v>
      </c>
      <c r="M488">
        <v>30.15</v>
      </c>
      <c r="N488">
        <v>999.29</v>
      </c>
      <c r="O488" t="s">
        <v>25</v>
      </c>
      <c r="P488" t="s">
        <v>3474</v>
      </c>
      <c r="Q488" t="s">
        <v>3036</v>
      </c>
      <c r="R488" t="s">
        <v>4977</v>
      </c>
      <c r="S488" t="s">
        <v>4992</v>
      </c>
      <c r="T488" t="s">
        <v>4992</v>
      </c>
    </row>
    <row r="489" spans="1:20" x14ac:dyDescent="0.25">
      <c r="A489" t="s">
        <v>1385</v>
      </c>
      <c r="B489" t="s">
        <v>1386</v>
      </c>
      <c r="C489" s="1">
        <v>46028.870659722219</v>
      </c>
      <c r="D489">
        <v>2163.9699999999998</v>
      </c>
      <c r="E489" t="s">
        <v>25</v>
      </c>
      <c r="F489" t="s">
        <v>20</v>
      </c>
      <c r="G489" t="s">
        <v>21</v>
      </c>
      <c r="H489" t="s">
        <v>1387</v>
      </c>
      <c r="I489" t="s">
        <v>3619</v>
      </c>
      <c r="J489" t="s">
        <v>3034</v>
      </c>
      <c r="K489" s="1">
        <v>46028.877604166664</v>
      </c>
      <c r="L489">
        <v>2163.9699999999998</v>
      </c>
      <c r="M489">
        <v>63.06</v>
      </c>
      <c r="N489">
        <v>2100.91</v>
      </c>
      <c r="O489" t="s">
        <v>25</v>
      </c>
      <c r="P489" t="s">
        <v>3476</v>
      </c>
      <c r="Q489" t="s">
        <v>3036</v>
      </c>
      <c r="R489" t="s">
        <v>4977</v>
      </c>
      <c r="S489" t="s">
        <v>4992</v>
      </c>
      <c r="T489" t="s">
        <v>4992</v>
      </c>
    </row>
    <row r="490" spans="1:20" x14ac:dyDescent="0.25">
      <c r="A490" t="s">
        <v>1391</v>
      </c>
      <c r="B490" t="s">
        <v>1392</v>
      </c>
      <c r="C490" s="1">
        <v>46031.044606481482</v>
      </c>
      <c r="D490">
        <v>2498.21</v>
      </c>
      <c r="E490" t="s">
        <v>25</v>
      </c>
      <c r="F490" t="s">
        <v>20</v>
      </c>
      <c r="G490" t="s">
        <v>30</v>
      </c>
      <c r="H490" t="s">
        <v>1393</v>
      </c>
      <c r="I490" t="s">
        <v>3620</v>
      </c>
      <c r="J490" t="s">
        <v>3034</v>
      </c>
      <c r="K490" s="1">
        <v>46031.051550925928</v>
      </c>
      <c r="L490">
        <v>2498.21</v>
      </c>
      <c r="M490">
        <v>72.75</v>
      </c>
      <c r="N490">
        <v>2425.46</v>
      </c>
      <c r="O490" t="s">
        <v>25</v>
      </c>
      <c r="P490" t="s">
        <v>3480</v>
      </c>
      <c r="Q490" t="s">
        <v>3036</v>
      </c>
      <c r="R490" t="s">
        <v>4977</v>
      </c>
      <c r="S490" t="s">
        <v>4992</v>
      </c>
      <c r="T490" t="s">
        <v>4992</v>
      </c>
    </row>
    <row r="491" spans="1:20" x14ac:dyDescent="0.25">
      <c r="A491" t="s">
        <v>1394</v>
      </c>
      <c r="B491" t="s">
        <v>1395</v>
      </c>
      <c r="C491" s="1">
        <v>46032.149548611109</v>
      </c>
      <c r="D491">
        <v>182.84</v>
      </c>
      <c r="E491" t="s">
        <v>25</v>
      </c>
      <c r="F491" t="s">
        <v>20</v>
      </c>
      <c r="G491" t="s">
        <v>21</v>
      </c>
      <c r="H491" t="s">
        <v>1396</v>
      </c>
      <c r="I491" t="s">
        <v>3621</v>
      </c>
      <c r="J491" t="s">
        <v>3034</v>
      </c>
      <c r="K491" s="1">
        <v>46032.156493055554</v>
      </c>
      <c r="L491">
        <v>182.84</v>
      </c>
      <c r="M491">
        <v>5.6</v>
      </c>
      <c r="N491">
        <v>177.24</v>
      </c>
      <c r="O491" t="s">
        <v>25</v>
      </c>
      <c r="P491" t="s">
        <v>3482</v>
      </c>
      <c r="Q491" t="s">
        <v>3036</v>
      </c>
      <c r="R491" t="s">
        <v>4977</v>
      </c>
      <c r="S491" t="s">
        <v>4992</v>
      </c>
      <c r="T491" t="s">
        <v>4992</v>
      </c>
    </row>
    <row r="492" spans="1:20" x14ac:dyDescent="0.25">
      <c r="A492" t="s">
        <v>1397</v>
      </c>
      <c r="B492" t="s">
        <v>1398</v>
      </c>
      <c r="C492" s="1">
        <v>46032.243576388886</v>
      </c>
      <c r="D492">
        <v>1488.52</v>
      </c>
      <c r="E492" t="s">
        <v>25</v>
      </c>
      <c r="F492" t="s">
        <v>20</v>
      </c>
      <c r="G492" t="s">
        <v>26</v>
      </c>
      <c r="H492" t="s">
        <v>1399</v>
      </c>
      <c r="I492" t="s">
        <v>3622</v>
      </c>
      <c r="J492" t="s">
        <v>3034</v>
      </c>
      <c r="K492" s="1">
        <v>46032.250520833331</v>
      </c>
      <c r="L492">
        <v>1488.52</v>
      </c>
      <c r="M492">
        <v>43.47</v>
      </c>
      <c r="N492">
        <v>1445.05</v>
      </c>
      <c r="O492" t="s">
        <v>25</v>
      </c>
      <c r="P492" t="s">
        <v>3530</v>
      </c>
      <c r="Q492" t="s">
        <v>3036</v>
      </c>
      <c r="R492" t="s">
        <v>4977</v>
      </c>
      <c r="S492" t="s">
        <v>4992</v>
      </c>
      <c r="T492" t="s">
        <v>4992</v>
      </c>
    </row>
    <row r="493" spans="1:20" x14ac:dyDescent="0.25">
      <c r="A493" t="s">
        <v>1400</v>
      </c>
      <c r="B493" t="s">
        <v>1401</v>
      </c>
      <c r="C493" s="1">
        <v>46033.319976851853</v>
      </c>
      <c r="D493">
        <v>2153.5300000000002</v>
      </c>
      <c r="E493" t="s">
        <v>25</v>
      </c>
      <c r="F493" t="s">
        <v>20</v>
      </c>
      <c r="G493" t="s">
        <v>30</v>
      </c>
      <c r="H493" t="s">
        <v>1402</v>
      </c>
      <c r="I493" t="s">
        <v>3623</v>
      </c>
      <c r="J493" t="s">
        <v>3034</v>
      </c>
      <c r="K493" s="1">
        <v>46033.326921296299</v>
      </c>
      <c r="L493">
        <v>2153.5300000000002</v>
      </c>
      <c r="M493">
        <v>62.75</v>
      </c>
      <c r="N493">
        <v>2090.7800000000002</v>
      </c>
      <c r="O493" t="s">
        <v>25</v>
      </c>
      <c r="P493" t="s">
        <v>3510</v>
      </c>
      <c r="Q493" t="s">
        <v>3036</v>
      </c>
      <c r="R493" t="s">
        <v>4977</v>
      </c>
      <c r="S493" t="s">
        <v>4992</v>
      </c>
      <c r="T493" t="s">
        <v>4992</v>
      </c>
    </row>
    <row r="494" spans="1:20" x14ac:dyDescent="0.25">
      <c r="A494" t="s">
        <v>1403</v>
      </c>
      <c r="B494" t="s">
        <v>1404</v>
      </c>
      <c r="C494" s="1">
        <v>46034.39916666667</v>
      </c>
      <c r="D494">
        <v>1421.68</v>
      </c>
      <c r="E494" t="s">
        <v>52</v>
      </c>
      <c r="F494" t="s">
        <v>20</v>
      </c>
      <c r="G494" t="s">
        <v>21</v>
      </c>
      <c r="H494" t="s">
        <v>1405</v>
      </c>
      <c r="I494" t="s">
        <v>3624</v>
      </c>
      <c r="J494" t="s">
        <v>3034</v>
      </c>
      <c r="K494" s="1">
        <v>46034.406111111108</v>
      </c>
      <c r="L494">
        <v>1421.68</v>
      </c>
      <c r="M494">
        <v>41.53</v>
      </c>
      <c r="N494">
        <v>1380.15</v>
      </c>
      <c r="O494" t="s">
        <v>52</v>
      </c>
      <c r="P494" t="s">
        <v>3533</v>
      </c>
      <c r="Q494" t="s">
        <v>3036</v>
      </c>
      <c r="R494" t="s">
        <v>4977</v>
      </c>
      <c r="S494" t="s">
        <v>4992</v>
      </c>
      <c r="T494" t="s">
        <v>4992</v>
      </c>
    </row>
    <row r="495" spans="1:20" x14ac:dyDescent="0.25">
      <c r="A495" t="s">
        <v>1406</v>
      </c>
      <c r="B495" t="s">
        <v>1407</v>
      </c>
      <c r="C495" s="1">
        <v>46035.497534722221</v>
      </c>
      <c r="D495">
        <v>1306.4100000000001</v>
      </c>
      <c r="E495" t="s">
        <v>19</v>
      </c>
      <c r="F495" t="s">
        <v>20</v>
      </c>
      <c r="G495" t="s">
        <v>26</v>
      </c>
      <c r="H495" t="s">
        <v>1408</v>
      </c>
      <c r="I495" t="s">
        <v>3625</v>
      </c>
      <c r="J495" t="s">
        <v>3034</v>
      </c>
      <c r="K495" s="1">
        <v>46035.504479166666</v>
      </c>
      <c r="L495">
        <v>1306.4100000000001</v>
      </c>
      <c r="M495">
        <v>38.19</v>
      </c>
      <c r="N495">
        <v>1268.22</v>
      </c>
      <c r="O495" t="s">
        <v>19</v>
      </c>
      <c r="P495" t="s">
        <v>3535</v>
      </c>
      <c r="Q495" t="s">
        <v>3036</v>
      </c>
      <c r="R495" t="s">
        <v>4977</v>
      </c>
      <c r="S495" t="s">
        <v>4992</v>
      </c>
      <c r="T495" t="s">
        <v>4992</v>
      </c>
    </row>
    <row r="496" spans="1:20" x14ac:dyDescent="0.25">
      <c r="A496" t="s">
        <v>1409</v>
      </c>
      <c r="B496" t="s">
        <v>1410</v>
      </c>
      <c r="C496" s="1">
        <v>46036.585740740738</v>
      </c>
      <c r="D496">
        <v>304.58999999999997</v>
      </c>
      <c r="E496" t="s">
        <v>25</v>
      </c>
      <c r="F496" t="s">
        <v>20</v>
      </c>
      <c r="G496" t="s">
        <v>30</v>
      </c>
      <c r="H496" t="s">
        <v>1411</v>
      </c>
      <c r="I496" t="s">
        <v>3626</v>
      </c>
      <c r="J496" t="s">
        <v>3034</v>
      </c>
      <c r="K496" s="1">
        <v>46036.592685185184</v>
      </c>
      <c r="L496">
        <v>304.58999999999997</v>
      </c>
      <c r="M496">
        <v>9.1300000000000008</v>
      </c>
      <c r="N496">
        <v>295.45999999999998</v>
      </c>
      <c r="O496" t="s">
        <v>25</v>
      </c>
      <c r="P496" t="s">
        <v>3492</v>
      </c>
      <c r="Q496" t="s">
        <v>3036</v>
      </c>
      <c r="R496" t="s">
        <v>4977</v>
      </c>
      <c r="S496" t="s">
        <v>4992</v>
      </c>
      <c r="T496" t="s">
        <v>4992</v>
      </c>
    </row>
    <row r="497" spans="1:20" x14ac:dyDescent="0.25">
      <c r="A497" t="s">
        <v>1412</v>
      </c>
      <c r="B497" t="s">
        <v>1413</v>
      </c>
      <c r="C497" s="1">
        <v>46023.677824074075</v>
      </c>
      <c r="D497">
        <v>2167.5700000000002</v>
      </c>
      <c r="E497" t="s">
        <v>25</v>
      </c>
      <c r="F497" t="s">
        <v>20</v>
      </c>
      <c r="G497" t="s">
        <v>21</v>
      </c>
      <c r="H497" t="s">
        <v>1414</v>
      </c>
      <c r="I497" t="s">
        <v>3627</v>
      </c>
      <c r="J497" t="s">
        <v>3034</v>
      </c>
      <c r="K497" s="1">
        <v>46023.68476851852</v>
      </c>
      <c r="L497">
        <v>2167.5700000000002</v>
      </c>
      <c r="M497">
        <v>63.16</v>
      </c>
      <c r="N497">
        <v>2104.41</v>
      </c>
      <c r="O497" t="s">
        <v>25</v>
      </c>
      <c r="P497" t="s">
        <v>3494</v>
      </c>
      <c r="Q497" t="s">
        <v>3036</v>
      </c>
      <c r="R497" t="s">
        <v>4977</v>
      </c>
      <c r="S497" t="s">
        <v>4992</v>
      </c>
      <c r="T497" t="s">
        <v>4992</v>
      </c>
    </row>
    <row r="498" spans="1:20" x14ac:dyDescent="0.25">
      <c r="A498" t="s">
        <v>1415</v>
      </c>
      <c r="B498" t="s">
        <v>1416</v>
      </c>
      <c r="C498" s="1">
        <v>46024.776956018519</v>
      </c>
      <c r="D498">
        <v>306.08</v>
      </c>
      <c r="E498" t="s">
        <v>25</v>
      </c>
      <c r="F498" t="s">
        <v>20</v>
      </c>
      <c r="G498" t="s">
        <v>26</v>
      </c>
      <c r="H498" t="s">
        <v>1417</v>
      </c>
      <c r="I498" t="s">
        <v>3628</v>
      </c>
      <c r="J498" t="s">
        <v>3034</v>
      </c>
      <c r="K498" s="1">
        <v>46024.783900462964</v>
      </c>
      <c r="L498">
        <v>306.08</v>
      </c>
      <c r="M498">
        <v>9.18</v>
      </c>
      <c r="N498">
        <v>296.89999999999998</v>
      </c>
      <c r="O498" t="s">
        <v>25</v>
      </c>
      <c r="P498" t="s">
        <v>3468</v>
      </c>
      <c r="Q498" t="s">
        <v>3036</v>
      </c>
      <c r="R498" t="s">
        <v>4977</v>
      </c>
      <c r="S498" t="s">
        <v>4992</v>
      </c>
      <c r="T498" t="s">
        <v>4992</v>
      </c>
    </row>
    <row r="499" spans="1:20" x14ac:dyDescent="0.25">
      <c r="A499" t="s">
        <v>1421</v>
      </c>
      <c r="B499" t="s">
        <v>1422</v>
      </c>
      <c r="C499" s="1">
        <v>46026.949884259258</v>
      </c>
      <c r="D499">
        <v>2138.7600000000002</v>
      </c>
      <c r="E499" t="s">
        <v>25</v>
      </c>
      <c r="F499" t="s">
        <v>20</v>
      </c>
      <c r="G499" t="s">
        <v>21</v>
      </c>
      <c r="H499" t="s">
        <v>1423</v>
      </c>
      <c r="I499" t="s">
        <v>3629</v>
      </c>
      <c r="J499" t="s">
        <v>3034</v>
      </c>
      <c r="K499" s="1">
        <v>46026.956828703704</v>
      </c>
      <c r="L499">
        <v>2138.7600000000002</v>
      </c>
      <c r="M499">
        <v>62.32</v>
      </c>
      <c r="N499">
        <v>2076.44</v>
      </c>
      <c r="O499" t="s">
        <v>25</v>
      </c>
      <c r="P499" t="s">
        <v>3472</v>
      </c>
      <c r="Q499" t="s">
        <v>3036</v>
      </c>
      <c r="R499" t="s">
        <v>4977</v>
      </c>
      <c r="S499" t="s">
        <v>4992</v>
      </c>
      <c r="T499" t="s">
        <v>4992</v>
      </c>
    </row>
    <row r="500" spans="1:20" x14ac:dyDescent="0.25">
      <c r="A500" t="s">
        <v>1424</v>
      </c>
      <c r="B500" t="s">
        <v>1425</v>
      </c>
      <c r="C500" s="1">
        <v>46028.068391203706</v>
      </c>
      <c r="D500">
        <v>313.99</v>
      </c>
      <c r="E500" t="s">
        <v>25</v>
      </c>
      <c r="F500" t="s">
        <v>20</v>
      </c>
      <c r="G500" t="s">
        <v>26</v>
      </c>
      <c r="H500" t="s">
        <v>1426</v>
      </c>
      <c r="I500" t="s">
        <v>3630</v>
      </c>
      <c r="J500" t="s">
        <v>3034</v>
      </c>
      <c r="K500" s="1">
        <v>46028.075335648151</v>
      </c>
      <c r="L500">
        <v>313.99</v>
      </c>
      <c r="M500">
        <v>9.41</v>
      </c>
      <c r="N500">
        <v>304.58</v>
      </c>
      <c r="O500" t="s">
        <v>25</v>
      </c>
      <c r="P500" t="s">
        <v>3474</v>
      </c>
      <c r="Q500" t="s">
        <v>3036</v>
      </c>
      <c r="R500" t="s">
        <v>4977</v>
      </c>
      <c r="S500" t="s">
        <v>4992</v>
      </c>
      <c r="T500" t="s">
        <v>4992</v>
      </c>
    </row>
    <row r="501" spans="1:20" x14ac:dyDescent="0.25">
      <c r="A501" t="s">
        <v>1430</v>
      </c>
      <c r="B501" t="s">
        <v>1431</v>
      </c>
      <c r="C501" s="1">
        <v>46029.250277777777</v>
      </c>
      <c r="D501">
        <v>722.27</v>
      </c>
      <c r="E501" t="s">
        <v>25</v>
      </c>
      <c r="F501" t="s">
        <v>429</v>
      </c>
      <c r="G501" t="s">
        <v>21</v>
      </c>
      <c r="H501" t="s">
        <v>1432</v>
      </c>
      <c r="I501" t="s">
        <v>3631</v>
      </c>
      <c r="J501" t="s">
        <v>3034</v>
      </c>
      <c r="K501" s="1">
        <v>46029.257222222222</v>
      </c>
      <c r="L501">
        <v>722.27</v>
      </c>
      <c r="M501">
        <v>21.25</v>
      </c>
      <c r="N501">
        <v>701.02</v>
      </c>
      <c r="O501" t="s">
        <v>25</v>
      </c>
      <c r="P501" t="s">
        <v>3478</v>
      </c>
      <c r="Q501" t="s">
        <v>3036</v>
      </c>
      <c r="R501" t="s">
        <v>4977</v>
      </c>
      <c r="S501" t="s">
        <v>4992</v>
      </c>
      <c r="T501" t="s">
        <v>4992</v>
      </c>
    </row>
    <row r="502" spans="1:20" x14ac:dyDescent="0.25">
      <c r="A502" t="s">
        <v>1430</v>
      </c>
      <c r="B502" t="s">
        <v>1431</v>
      </c>
      <c r="C502" s="1">
        <v>46029.250277777777</v>
      </c>
      <c r="D502">
        <v>722.27</v>
      </c>
      <c r="E502" t="s">
        <v>25</v>
      </c>
      <c r="F502" t="s">
        <v>429</v>
      </c>
      <c r="G502" t="s">
        <v>21</v>
      </c>
      <c r="H502" t="s">
        <v>1432</v>
      </c>
      <c r="I502" t="s">
        <v>3632</v>
      </c>
      <c r="J502" t="s">
        <v>3076</v>
      </c>
      <c r="K502" s="1">
        <v>46030.250277777777</v>
      </c>
      <c r="L502">
        <v>-722.27</v>
      </c>
      <c r="M502">
        <v>0</v>
      </c>
      <c r="N502">
        <v>-722.27</v>
      </c>
      <c r="O502" t="s">
        <v>25</v>
      </c>
      <c r="P502" t="s">
        <v>3633</v>
      </c>
      <c r="Q502" t="s">
        <v>3036</v>
      </c>
      <c r="R502" t="s">
        <v>4977</v>
      </c>
      <c r="S502" t="s">
        <v>4991</v>
      </c>
      <c r="T502" t="s">
        <v>4992</v>
      </c>
    </row>
    <row r="503" spans="1:20" x14ac:dyDescent="0.25">
      <c r="A503" t="s">
        <v>1433</v>
      </c>
      <c r="B503" t="s">
        <v>1434</v>
      </c>
      <c r="C503" s="1">
        <v>46030.315092592595</v>
      </c>
      <c r="D503">
        <v>363.72</v>
      </c>
      <c r="E503" t="s">
        <v>52</v>
      </c>
      <c r="F503" t="s">
        <v>20</v>
      </c>
      <c r="G503" t="s">
        <v>26</v>
      </c>
      <c r="H503" t="s">
        <v>1435</v>
      </c>
      <c r="I503" t="s">
        <v>3634</v>
      </c>
      <c r="J503" t="s">
        <v>3034</v>
      </c>
      <c r="K503" s="1">
        <v>46030.32203703704</v>
      </c>
      <c r="L503">
        <v>363.72</v>
      </c>
      <c r="M503">
        <v>10.85</v>
      </c>
      <c r="N503">
        <v>352.87</v>
      </c>
      <c r="O503" t="s">
        <v>52</v>
      </c>
      <c r="P503" t="s">
        <v>3545</v>
      </c>
      <c r="Q503" t="s">
        <v>3036</v>
      </c>
      <c r="R503" t="s">
        <v>4977</v>
      </c>
      <c r="S503" t="s">
        <v>4992</v>
      </c>
      <c r="T503" t="s">
        <v>4992</v>
      </c>
    </row>
    <row r="504" spans="1:20" x14ac:dyDescent="0.25">
      <c r="A504" t="s">
        <v>1436</v>
      </c>
      <c r="B504" t="s">
        <v>1437</v>
      </c>
      <c r="C504" s="1">
        <v>46031.432164351849</v>
      </c>
      <c r="D504">
        <v>2499.0500000000002</v>
      </c>
      <c r="E504" t="s">
        <v>19</v>
      </c>
      <c r="F504" t="s">
        <v>20</v>
      </c>
      <c r="G504" t="s">
        <v>30</v>
      </c>
      <c r="H504" t="s">
        <v>1438</v>
      </c>
      <c r="I504" t="s">
        <v>3635</v>
      </c>
      <c r="J504" t="s">
        <v>3034</v>
      </c>
      <c r="K504" s="1">
        <v>46031.439108796294</v>
      </c>
      <c r="L504">
        <v>2499.0500000000002</v>
      </c>
      <c r="M504">
        <v>72.77</v>
      </c>
      <c r="N504">
        <v>2426.2800000000002</v>
      </c>
      <c r="O504" t="s">
        <v>19</v>
      </c>
      <c r="P504" t="s">
        <v>3549</v>
      </c>
      <c r="Q504" t="s">
        <v>3036</v>
      </c>
      <c r="R504" t="s">
        <v>4977</v>
      </c>
      <c r="S504" t="s">
        <v>4992</v>
      </c>
      <c r="T504" t="s">
        <v>4992</v>
      </c>
    </row>
    <row r="505" spans="1:20" x14ac:dyDescent="0.25">
      <c r="A505" t="s">
        <v>1439</v>
      </c>
      <c r="B505" t="s">
        <v>1440</v>
      </c>
      <c r="C505" s="1">
        <v>46032.517013888886</v>
      </c>
      <c r="D505">
        <v>1134.32</v>
      </c>
      <c r="E505" t="s">
        <v>25</v>
      </c>
      <c r="F505" t="s">
        <v>20</v>
      </c>
      <c r="G505" t="s">
        <v>21</v>
      </c>
      <c r="H505" t="s">
        <v>1441</v>
      </c>
      <c r="I505" t="s">
        <v>3636</v>
      </c>
      <c r="J505" t="s">
        <v>3034</v>
      </c>
      <c r="K505" s="1">
        <v>46032.523958333331</v>
      </c>
      <c r="L505">
        <v>1134.32</v>
      </c>
      <c r="M505">
        <v>33.200000000000003</v>
      </c>
      <c r="N505">
        <v>1101.1199999999999</v>
      </c>
      <c r="O505" t="s">
        <v>25</v>
      </c>
      <c r="P505" t="s">
        <v>3637</v>
      </c>
      <c r="Q505" t="s">
        <v>3036</v>
      </c>
      <c r="R505" t="s">
        <v>4977</v>
      </c>
      <c r="S505" t="s">
        <v>4992</v>
      </c>
      <c r="T505" t="s">
        <v>4992</v>
      </c>
    </row>
    <row r="506" spans="1:20" x14ac:dyDescent="0.25">
      <c r="A506" t="s">
        <v>1442</v>
      </c>
      <c r="B506" t="s">
        <v>1443</v>
      </c>
      <c r="C506" s="1">
        <v>46033.592349537037</v>
      </c>
      <c r="D506">
        <v>597.30999999999995</v>
      </c>
      <c r="E506" t="s">
        <v>25</v>
      </c>
      <c r="F506" t="s">
        <v>20</v>
      </c>
      <c r="G506" t="s">
        <v>26</v>
      </c>
      <c r="H506" t="s">
        <v>1444</v>
      </c>
      <c r="I506" t="s">
        <v>3638</v>
      </c>
      <c r="J506" t="s">
        <v>3034</v>
      </c>
      <c r="K506" s="1">
        <v>46033.599293981482</v>
      </c>
      <c r="L506">
        <v>597.30999999999995</v>
      </c>
      <c r="M506">
        <v>17.62</v>
      </c>
      <c r="N506">
        <v>579.69000000000005</v>
      </c>
      <c r="O506" t="s">
        <v>25</v>
      </c>
      <c r="P506" t="s">
        <v>3510</v>
      </c>
      <c r="Q506" t="s">
        <v>3036</v>
      </c>
      <c r="R506" t="s">
        <v>4977</v>
      </c>
      <c r="S506" t="s">
        <v>4992</v>
      </c>
      <c r="T506" t="s">
        <v>4992</v>
      </c>
    </row>
    <row r="507" spans="1:20" x14ac:dyDescent="0.25">
      <c r="A507" t="s">
        <v>1445</v>
      </c>
      <c r="B507" t="s">
        <v>1446</v>
      </c>
      <c r="C507" s="1">
        <v>46034.70103009259</v>
      </c>
      <c r="D507">
        <v>1371.03</v>
      </c>
      <c r="E507" t="s">
        <v>25</v>
      </c>
      <c r="F507" t="s">
        <v>20</v>
      </c>
      <c r="G507" t="s">
        <v>30</v>
      </c>
      <c r="H507" t="s">
        <v>1447</v>
      </c>
      <c r="I507" t="s">
        <v>3639</v>
      </c>
      <c r="J507" t="s">
        <v>3034</v>
      </c>
      <c r="K507" s="1">
        <v>46034.707974537036</v>
      </c>
      <c r="L507">
        <v>1371.03</v>
      </c>
      <c r="M507">
        <v>40.06</v>
      </c>
      <c r="N507">
        <v>1330.97</v>
      </c>
      <c r="O507" t="s">
        <v>25</v>
      </c>
      <c r="P507" t="s">
        <v>3553</v>
      </c>
      <c r="Q507" t="s">
        <v>3036</v>
      </c>
      <c r="R507" t="s">
        <v>4977</v>
      </c>
      <c r="S507" t="s">
        <v>4992</v>
      </c>
      <c r="T507" t="s">
        <v>4992</v>
      </c>
    </row>
    <row r="508" spans="1:20" x14ac:dyDescent="0.25">
      <c r="A508" t="s">
        <v>1448</v>
      </c>
      <c r="B508" t="s">
        <v>1449</v>
      </c>
      <c r="C508" s="1">
        <v>46035.783437500002</v>
      </c>
      <c r="D508">
        <v>1228.1500000000001</v>
      </c>
      <c r="E508" t="s">
        <v>25</v>
      </c>
      <c r="F508" t="s">
        <v>20</v>
      </c>
      <c r="G508" t="s">
        <v>21</v>
      </c>
      <c r="H508" t="s">
        <v>1450</v>
      </c>
      <c r="I508" t="s">
        <v>3640</v>
      </c>
      <c r="J508" t="s">
        <v>3034</v>
      </c>
      <c r="K508" s="1">
        <v>46035.790381944447</v>
      </c>
      <c r="L508">
        <v>1228.1500000000001</v>
      </c>
      <c r="M508">
        <v>35.92</v>
      </c>
      <c r="N508">
        <v>1192.23</v>
      </c>
      <c r="O508" t="s">
        <v>25</v>
      </c>
      <c r="P508" t="s">
        <v>3490</v>
      </c>
      <c r="Q508" t="s">
        <v>3036</v>
      </c>
      <c r="R508" t="s">
        <v>4977</v>
      </c>
      <c r="S508" t="s">
        <v>4992</v>
      </c>
      <c r="T508" t="s">
        <v>4992</v>
      </c>
    </row>
    <row r="509" spans="1:20" x14ac:dyDescent="0.25">
      <c r="A509" t="s">
        <v>1448</v>
      </c>
      <c r="B509" t="s">
        <v>1449</v>
      </c>
      <c r="C509" s="1">
        <v>46035.783437500002</v>
      </c>
      <c r="D509">
        <v>1228.1500000000001</v>
      </c>
      <c r="E509" t="s">
        <v>25</v>
      </c>
      <c r="F509" t="s">
        <v>20</v>
      </c>
      <c r="G509" t="s">
        <v>21</v>
      </c>
      <c r="H509" t="s">
        <v>1450</v>
      </c>
      <c r="I509" t="s">
        <v>3640</v>
      </c>
      <c r="J509" t="s">
        <v>3034</v>
      </c>
      <c r="K509" s="1">
        <v>46035.790381944447</v>
      </c>
      <c r="L509">
        <v>1228.1500000000001</v>
      </c>
      <c r="M509">
        <v>35.92</v>
      </c>
      <c r="N509">
        <v>1192.23</v>
      </c>
      <c r="O509" t="s">
        <v>25</v>
      </c>
      <c r="P509" t="s">
        <v>3490</v>
      </c>
      <c r="Q509" t="s">
        <v>3036</v>
      </c>
      <c r="R509" t="s">
        <v>4977</v>
      </c>
      <c r="S509" t="s">
        <v>4992</v>
      </c>
      <c r="T509" t="s">
        <v>4992</v>
      </c>
    </row>
    <row r="510" spans="1:20" x14ac:dyDescent="0.25">
      <c r="A510" t="s">
        <v>1451</v>
      </c>
      <c r="B510" t="s">
        <v>1452</v>
      </c>
      <c r="C510" s="1">
        <v>46036.871319444443</v>
      </c>
      <c r="D510">
        <v>952.14</v>
      </c>
      <c r="E510" t="s">
        <v>25</v>
      </c>
      <c r="F510" t="s">
        <v>429</v>
      </c>
      <c r="G510" t="s">
        <v>26</v>
      </c>
      <c r="H510" t="s">
        <v>1453</v>
      </c>
      <c r="I510" t="s">
        <v>3641</v>
      </c>
      <c r="J510" t="s">
        <v>3034</v>
      </c>
      <c r="K510" s="1">
        <v>46036.878263888888</v>
      </c>
      <c r="L510">
        <v>952.14</v>
      </c>
      <c r="M510">
        <v>27.91</v>
      </c>
      <c r="N510">
        <v>924.23</v>
      </c>
      <c r="O510" t="s">
        <v>25</v>
      </c>
      <c r="P510" t="s">
        <v>3492</v>
      </c>
      <c r="Q510" t="s">
        <v>3036</v>
      </c>
      <c r="R510" t="s">
        <v>4977</v>
      </c>
      <c r="S510" t="s">
        <v>4992</v>
      </c>
      <c r="T510" t="s">
        <v>4992</v>
      </c>
    </row>
    <row r="511" spans="1:20" x14ac:dyDescent="0.25">
      <c r="A511" t="s">
        <v>1451</v>
      </c>
      <c r="B511" t="s">
        <v>1452</v>
      </c>
      <c r="C511" s="1">
        <v>46036.871319444443</v>
      </c>
      <c r="D511">
        <v>952.14</v>
      </c>
      <c r="E511" t="s">
        <v>25</v>
      </c>
      <c r="F511" t="s">
        <v>429</v>
      </c>
      <c r="G511" t="s">
        <v>26</v>
      </c>
      <c r="H511" t="s">
        <v>1453</v>
      </c>
      <c r="I511" t="s">
        <v>3642</v>
      </c>
      <c r="J511" t="s">
        <v>3076</v>
      </c>
      <c r="K511" s="1">
        <v>46037.871319444443</v>
      </c>
      <c r="L511">
        <v>-952.14</v>
      </c>
      <c r="M511">
        <v>0</v>
      </c>
      <c r="N511">
        <v>-952.14</v>
      </c>
      <c r="O511" t="s">
        <v>25</v>
      </c>
      <c r="P511" t="s">
        <v>3643</v>
      </c>
      <c r="Q511" t="s">
        <v>3036</v>
      </c>
      <c r="R511" t="s">
        <v>4977</v>
      </c>
      <c r="S511" t="s">
        <v>4991</v>
      </c>
      <c r="T511" t="s">
        <v>4992</v>
      </c>
    </row>
    <row r="512" spans="1:20" x14ac:dyDescent="0.25">
      <c r="A512" t="s">
        <v>1454</v>
      </c>
      <c r="B512" t="s">
        <v>1455</v>
      </c>
      <c r="C512" s="1">
        <v>46023.979479166665</v>
      </c>
      <c r="D512">
        <v>491.27</v>
      </c>
      <c r="E512" t="s">
        <v>25</v>
      </c>
      <c r="F512" t="s">
        <v>20</v>
      </c>
      <c r="G512" t="s">
        <v>30</v>
      </c>
      <c r="H512" t="s">
        <v>1456</v>
      </c>
      <c r="I512" t="s">
        <v>3644</v>
      </c>
      <c r="J512" t="s">
        <v>3034</v>
      </c>
      <c r="K512" s="1">
        <v>46023.98642361111</v>
      </c>
      <c r="L512">
        <v>491.27</v>
      </c>
      <c r="M512">
        <v>14.55</v>
      </c>
      <c r="N512">
        <v>476.72</v>
      </c>
      <c r="O512" t="s">
        <v>25</v>
      </c>
      <c r="P512" t="s">
        <v>3494</v>
      </c>
      <c r="Q512" t="s">
        <v>3036</v>
      </c>
      <c r="R512" t="s">
        <v>4977</v>
      </c>
      <c r="S512" t="s">
        <v>4992</v>
      </c>
      <c r="T512" t="s">
        <v>4992</v>
      </c>
    </row>
    <row r="513" spans="1:20" x14ac:dyDescent="0.25">
      <c r="A513" t="s">
        <v>1457</v>
      </c>
      <c r="B513" t="s">
        <v>1458</v>
      </c>
      <c r="C513" s="1">
        <v>46025.052835648145</v>
      </c>
      <c r="D513">
        <v>2014.85</v>
      </c>
      <c r="E513" t="s">
        <v>25</v>
      </c>
      <c r="F513" t="s">
        <v>20</v>
      </c>
      <c r="G513" t="s">
        <v>21</v>
      </c>
      <c r="H513" t="s">
        <v>1459</v>
      </c>
      <c r="I513" t="s">
        <v>3645</v>
      </c>
      <c r="J513" t="s">
        <v>3034</v>
      </c>
      <c r="K513" s="1">
        <v>46025.05978009259</v>
      </c>
      <c r="L513">
        <v>2014.85</v>
      </c>
      <c r="M513">
        <v>58.73</v>
      </c>
      <c r="N513">
        <v>1956.12</v>
      </c>
      <c r="O513" t="s">
        <v>25</v>
      </c>
      <c r="P513" t="s">
        <v>3468</v>
      </c>
      <c r="Q513" t="s">
        <v>3036</v>
      </c>
      <c r="R513" t="s">
        <v>4977</v>
      </c>
      <c r="S513" t="s">
        <v>4992</v>
      </c>
      <c r="T513" t="s">
        <v>4992</v>
      </c>
    </row>
    <row r="514" spans="1:20" x14ac:dyDescent="0.25">
      <c r="A514" t="s">
        <v>1460</v>
      </c>
      <c r="B514" t="s">
        <v>1461</v>
      </c>
      <c r="C514" s="1">
        <v>46026.160891203705</v>
      </c>
      <c r="D514">
        <v>1331.4</v>
      </c>
      <c r="E514" t="s">
        <v>25</v>
      </c>
      <c r="F514" t="s">
        <v>20</v>
      </c>
      <c r="G514" t="s">
        <v>26</v>
      </c>
      <c r="H514" t="s">
        <v>1462</v>
      </c>
      <c r="I514" t="s">
        <v>3646</v>
      </c>
      <c r="J514" t="s">
        <v>3034</v>
      </c>
      <c r="K514" s="1">
        <v>46026.16783564815</v>
      </c>
      <c r="L514">
        <v>1331.4</v>
      </c>
      <c r="M514">
        <v>39.28</v>
      </c>
      <c r="N514">
        <v>1292.1199999999999</v>
      </c>
      <c r="O514" t="s">
        <v>25</v>
      </c>
      <c r="P514" t="s">
        <v>3470</v>
      </c>
      <c r="Q514" t="s">
        <v>3036</v>
      </c>
      <c r="R514" t="s">
        <v>4977</v>
      </c>
      <c r="S514" t="s">
        <v>4992</v>
      </c>
      <c r="T514" t="s">
        <v>4992</v>
      </c>
    </row>
    <row r="515" spans="1:20" x14ac:dyDescent="0.25">
      <c r="A515" t="s">
        <v>1463</v>
      </c>
      <c r="B515" t="s">
        <v>1464</v>
      </c>
      <c r="C515" s="1">
        <v>46026.232453703706</v>
      </c>
      <c r="D515">
        <v>585.12</v>
      </c>
      <c r="E515" t="s">
        <v>52</v>
      </c>
      <c r="F515" t="s">
        <v>20</v>
      </c>
      <c r="G515" t="s">
        <v>30</v>
      </c>
      <c r="H515" t="s">
        <v>1465</v>
      </c>
      <c r="I515" t="s">
        <v>3647</v>
      </c>
      <c r="J515" t="s">
        <v>3034</v>
      </c>
      <c r="K515" s="1">
        <v>46026.239398148151</v>
      </c>
      <c r="L515">
        <v>585.12</v>
      </c>
      <c r="M515">
        <v>17.27</v>
      </c>
      <c r="N515">
        <v>567.85</v>
      </c>
      <c r="O515" t="s">
        <v>52</v>
      </c>
      <c r="P515" t="s">
        <v>3561</v>
      </c>
      <c r="Q515" t="s">
        <v>3036</v>
      </c>
      <c r="R515" t="s">
        <v>4977</v>
      </c>
      <c r="S515" t="s">
        <v>4992</v>
      </c>
      <c r="T515" t="s">
        <v>4992</v>
      </c>
    </row>
    <row r="516" spans="1:20" x14ac:dyDescent="0.25">
      <c r="A516" t="s">
        <v>1466</v>
      </c>
      <c r="B516" t="s">
        <v>1467</v>
      </c>
      <c r="C516" s="1">
        <v>46027.354537037034</v>
      </c>
      <c r="D516">
        <v>1823.83</v>
      </c>
      <c r="E516" t="s">
        <v>19</v>
      </c>
      <c r="F516" t="s">
        <v>20</v>
      </c>
      <c r="G516" t="s">
        <v>21</v>
      </c>
      <c r="H516" t="s">
        <v>1468</v>
      </c>
      <c r="I516" t="s">
        <v>3648</v>
      </c>
      <c r="J516" t="s">
        <v>3034</v>
      </c>
      <c r="K516" s="1">
        <v>46027.361481481479</v>
      </c>
      <c r="L516">
        <v>1823.83</v>
      </c>
      <c r="M516">
        <v>53.19</v>
      </c>
      <c r="N516">
        <v>1770.64</v>
      </c>
      <c r="O516" t="s">
        <v>19</v>
      </c>
      <c r="P516" t="s">
        <v>3563</v>
      </c>
      <c r="Q516" t="s">
        <v>3036</v>
      </c>
      <c r="R516" t="s">
        <v>4977</v>
      </c>
      <c r="S516" t="s">
        <v>4992</v>
      </c>
      <c r="T516" t="s">
        <v>4992</v>
      </c>
    </row>
    <row r="517" spans="1:20" x14ac:dyDescent="0.25">
      <c r="A517" t="s">
        <v>1469</v>
      </c>
      <c r="B517" t="s">
        <v>1470</v>
      </c>
      <c r="C517" s="1">
        <v>46028.437604166669</v>
      </c>
      <c r="D517">
        <v>719.73</v>
      </c>
      <c r="E517" t="s">
        <v>25</v>
      </c>
      <c r="F517" t="s">
        <v>20</v>
      </c>
      <c r="G517" t="s">
        <v>26</v>
      </c>
      <c r="H517" t="s">
        <v>1471</v>
      </c>
      <c r="I517" t="s">
        <v>3649</v>
      </c>
      <c r="J517" t="s">
        <v>3034</v>
      </c>
      <c r="K517" s="1">
        <v>46028.444548611114</v>
      </c>
      <c r="L517">
        <v>719.73</v>
      </c>
      <c r="M517">
        <v>21.17</v>
      </c>
      <c r="N517">
        <v>698.56</v>
      </c>
      <c r="O517" t="s">
        <v>25</v>
      </c>
      <c r="P517" t="s">
        <v>3476</v>
      </c>
      <c r="Q517" t="s">
        <v>3036</v>
      </c>
      <c r="R517" t="s">
        <v>4977</v>
      </c>
      <c r="S517" t="s">
        <v>4992</v>
      </c>
      <c r="T517" t="s">
        <v>4992</v>
      </c>
    </row>
    <row r="518" spans="1:20" x14ac:dyDescent="0.25">
      <c r="A518" t="s">
        <v>1472</v>
      </c>
      <c r="B518" t="s">
        <v>1473</v>
      </c>
      <c r="C518" s="1">
        <v>46029.50613425926</v>
      </c>
      <c r="D518">
        <v>1083.48</v>
      </c>
      <c r="E518" t="s">
        <v>25</v>
      </c>
      <c r="F518" t="s">
        <v>20</v>
      </c>
      <c r="G518" t="s">
        <v>30</v>
      </c>
      <c r="H518" t="s">
        <v>1474</v>
      </c>
      <c r="I518" t="s">
        <v>3650</v>
      </c>
      <c r="J518" t="s">
        <v>3034</v>
      </c>
      <c r="K518" s="1">
        <v>46029.513078703705</v>
      </c>
      <c r="L518">
        <v>1083.48</v>
      </c>
      <c r="M518">
        <v>31.72</v>
      </c>
      <c r="N518">
        <v>1051.76</v>
      </c>
      <c r="O518" t="s">
        <v>25</v>
      </c>
      <c r="P518" t="s">
        <v>3478</v>
      </c>
      <c r="Q518" t="s">
        <v>3036</v>
      </c>
      <c r="R518" t="s">
        <v>4977</v>
      </c>
      <c r="S518" t="s">
        <v>4992</v>
      </c>
      <c r="T518" t="s">
        <v>4992</v>
      </c>
    </row>
    <row r="519" spans="1:20" x14ac:dyDescent="0.25">
      <c r="A519" t="s">
        <v>1475</v>
      </c>
      <c r="B519" t="s">
        <v>1476</v>
      </c>
      <c r="C519" s="1">
        <v>46030.59337962963</v>
      </c>
      <c r="D519">
        <v>894.83</v>
      </c>
      <c r="E519" t="s">
        <v>25</v>
      </c>
      <c r="F519" t="s">
        <v>20</v>
      </c>
      <c r="G519" t="s">
        <v>21</v>
      </c>
      <c r="H519" t="s">
        <v>1477</v>
      </c>
      <c r="I519" t="s">
        <v>3651</v>
      </c>
      <c r="J519" t="s">
        <v>3034</v>
      </c>
      <c r="K519" s="1">
        <v>46030.600324074076</v>
      </c>
      <c r="L519">
        <v>894.83</v>
      </c>
      <c r="M519">
        <v>26.25</v>
      </c>
      <c r="N519">
        <v>868.58</v>
      </c>
      <c r="O519" t="s">
        <v>25</v>
      </c>
      <c r="P519" t="s">
        <v>3480</v>
      </c>
      <c r="Q519" t="s">
        <v>3036</v>
      </c>
      <c r="R519" t="s">
        <v>4977</v>
      </c>
      <c r="S519" t="s">
        <v>4992</v>
      </c>
      <c r="T519" t="s">
        <v>4992</v>
      </c>
    </row>
    <row r="520" spans="1:20" x14ac:dyDescent="0.25">
      <c r="A520" t="s">
        <v>1478</v>
      </c>
      <c r="B520" t="s">
        <v>1479</v>
      </c>
      <c r="C520" s="1">
        <v>46031.689513888887</v>
      </c>
      <c r="D520">
        <v>1227.3499999999999</v>
      </c>
      <c r="E520" t="s">
        <v>25</v>
      </c>
      <c r="F520" t="s">
        <v>20</v>
      </c>
      <c r="G520" t="s">
        <v>26</v>
      </c>
      <c r="H520" t="s">
        <v>1480</v>
      </c>
      <c r="I520" t="s">
        <v>3652</v>
      </c>
      <c r="J520" t="s">
        <v>3034</v>
      </c>
      <c r="K520" s="1">
        <v>46031.696458333332</v>
      </c>
      <c r="L520">
        <v>1227.3499999999999</v>
      </c>
      <c r="M520">
        <v>35.89</v>
      </c>
      <c r="N520">
        <v>1191.46</v>
      </c>
      <c r="O520" t="s">
        <v>25</v>
      </c>
      <c r="P520" t="s">
        <v>3653</v>
      </c>
      <c r="Q520" t="s">
        <v>3036</v>
      </c>
      <c r="R520" t="s">
        <v>4977</v>
      </c>
      <c r="S520" t="s">
        <v>4992</v>
      </c>
      <c r="T520" t="s">
        <v>4992</v>
      </c>
    </row>
    <row r="521" spans="1:20" x14ac:dyDescent="0.25">
      <c r="A521" t="s">
        <v>1481</v>
      </c>
      <c r="B521" t="s">
        <v>1482</v>
      </c>
      <c r="C521" s="1">
        <v>46032.796909722223</v>
      </c>
      <c r="D521">
        <v>1111.55</v>
      </c>
      <c r="E521" t="s">
        <v>25</v>
      </c>
      <c r="F521" t="s">
        <v>20</v>
      </c>
      <c r="G521" t="s">
        <v>30</v>
      </c>
      <c r="H521" t="s">
        <v>1483</v>
      </c>
      <c r="I521" t="s">
        <v>3654</v>
      </c>
      <c r="J521" t="s">
        <v>3034</v>
      </c>
      <c r="K521" s="1">
        <v>46032.803854166668</v>
      </c>
      <c r="L521">
        <v>1111.55</v>
      </c>
      <c r="M521">
        <v>32.53</v>
      </c>
      <c r="N521">
        <v>1079.02</v>
      </c>
      <c r="O521" t="s">
        <v>25</v>
      </c>
      <c r="P521" t="s">
        <v>3530</v>
      </c>
      <c r="Q521" t="s">
        <v>3036</v>
      </c>
      <c r="R521" t="s">
        <v>4977</v>
      </c>
      <c r="S521" t="s">
        <v>4992</v>
      </c>
      <c r="T521" t="s">
        <v>4992</v>
      </c>
    </row>
    <row r="522" spans="1:20" x14ac:dyDescent="0.25">
      <c r="A522" t="s">
        <v>1484</v>
      </c>
      <c r="B522" t="s">
        <v>1485</v>
      </c>
      <c r="C522" s="1">
        <v>46033.896527777775</v>
      </c>
      <c r="D522">
        <v>1066.55</v>
      </c>
      <c r="E522" t="s">
        <v>25</v>
      </c>
      <c r="F522" t="s">
        <v>92</v>
      </c>
      <c r="G522" t="s">
        <v>21</v>
      </c>
      <c r="H522" t="s">
        <v>1486</v>
      </c>
      <c r="I522" t="s">
        <v>3655</v>
      </c>
      <c r="J522" t="s">
        <v>3034</v>
      </c>
      <c r="K522" s="1">
        <v>46033.90347222222</v>
      </c>
      <c r="L522">
        <v>1066.55</v>
      </c>
      <c r="M522">
        <v>31.23</v>
      </c>
      <c r="N522">
        <v>1035.32</v>
      </c>
      <c r="O522" t="s">
        <v>25</v>
      </c>
      <c r="P522" t="s">
        <v>3510</v>
      </c>
      <c r="Q522" t="s">
        <v>3036</v>
      </c>
      <c r="R522" t="s">
        <v>4977</v>
      </c>
      <c r="S522" t="s">
        <v>4992</v>
      </c>
      <c r="T522" t="s">
        <v>4992</v>
      </c>
    </row>
    <row r="523" spans="1:20" x14ac:dyDescent="0.25">
      <c r="A523" t="s">
        <v>1484</v>
      </c>
      <c r="B523" t="s">
        <v>1485</v>
      </c>
      <c r="C523" s="1">
        <v>46033.896527777775</v>
      </c>
      <c r="D523">
        <v>1066.55</v>
      </c>
      <c r="E523" t="s">
        <v>25</v>
      </c>
      <c r="F523" t="s">
        <v>92</v>
      </c>
      <c r="G523" t="s">
        <v>21</v>
      </c>
      <c r="H523" t="s">
        <v>1486</v>
      </c>
      <c r="I523" t="s">
        <v>3656</v>
      </c>
      <c r="J523" t="s">
        <v>3076</v>
      </c>
      <c r="K523" s="1">
        <v>46034.896527777775</v>
      </c>
      <c r="L523">
        <v>-533.28</v>
      </c>
      <c r="M523">
        <v>0</v>
      </c>
      <c r="N523">
        <v>-533.28</v>
      </c>
      <c r="O523" t="s">
        <v>25</v>
      </c>
      <c r="P523" t="s">
        <v>3657</v>
      </c>
      <c r="Q523" t="s">
        <v>3036</v>
      </c>
      <c r="R523" t="s">
        <v>4977</v>
      </c>
      <c r="S523" t="s">
        <v>4991</v>
      </c>
      <c r="T523" t="s">
        <v>4992</v>
      </c>
    </row>
    <row r="524" spans="1:20" x14ac:dyDescent="0.25">
      <c r="A524" t="s">
        <v>1487</v>
      </c>
      <c r="B524" t="s">
        <v>1488</v>
      </c>
      <c r="C524" s="1">
        <v>46034.997650462959</v>
      </c>
      <c r="D524">
        <v>2273.65</v>
      </c>
      <c r="E524" t="s">
        <v>25</v>
      </c>
      <c r="F524" t="s">
        <v>20</v>
      </c>
      <c r="G524" t="s">
        <v>26</v>
      </c>
      <c r="H524" t="s">
        <v>1489</v>
      </c>
      <c r="I524" t="s">
        <v>3658</v>
      </c>
      <c r="J524" t="s">
        <v>3034</v>
      </c>
      <c r="K524" s="1">
        <v>46035.004594907405</v>
      </c>
      <c r="L524">
        <v>2273.65</v>
      </c>
      <c r="M524">
        <v>66.239999999999995</v>
      </c>
      <c r="N524">
        <v>2207.41</v>
      </c>
      <c r="O524" t="s">
        <v>25</v>
      </c>
      <c r="P524" t="s">
        <v>3553</v>
      </c>
      <c r="Q524" t="s">
        <v>3036</v>
      </c>
      <c r="R524" t="s">
        <v>4977</v>
      </c>
      <c r="S524" t="s">
        <v>4992</v>
      </c>
      <c r="T524" t="s">
        <v>4992</v>
      </c>
    </row>
    <row r="525" spans="1:20" x14ac:dyDescent="0.25">
      <c r="A525" t="s">
        <v>1490</v>
      </c>
      <c r="B525" t="s">
        <v>1491</v>
      </c>
      <c r="C525" s="1">
        <v>46036.061539351853</v>
      </c>
      <c r="D525">
        <v>1878.14</v>
      </c>
      <c r="E525" t="s">
        <v>25</v>
      </c>
      <c r="F525" t="s">
        <v>20</v>
      </c>
      <c r="G525" t="s">
        <v>30</v>
      </c>
      <c r="H525" t="s">
        <v>1492</v>
      </c>
      <c r="I525" t="s">
        <v>3659</v>
      </c>
      <c r="J525" t="s">
        <v>3034</v>
      </c>
      <c r="K525" s="1">
        <v>46036.068483796298</v>
      </c>
      <c r="L525">
        <v>1878.14</v>
      </c>
      <c r="M525">
        <v>54.77</v>
      </c>
      <c r="N525">
        <v>1823.37</v>
      </c>
      <c r="O525" t="s">
        <v>25</v>
      </c>
      <c r="P525" t="s">
        <v>3490</v>
      </c>
      <c r="Q525" t="s">
        <v>3036</v>
      </c>
      <c r="R525" t="s">
        <v>4977</v>
      </c>
      <c r="S525" t="s">
        <v>4992</v>
      </c>
      <c r="T525" t="s">
        <v>4992</v>
      </c>
    </row>
    <row r="526" spans="1:20" x14ac:dyDescent="0.25">
      <c r="A526" t="s">
        <v>1496</v>
      </c>
      <c r="B526" t="s">
        <v>1497</v>
      </c>
      <c r="C526" s="1">
        <v>46023.241307870368</v>
      </c>
      <c r="D526">
        <v>2096.2600000000002</v>
      </c>
      <c r="E526" t="s">
        <v>19</v>
      </c>
      <c r="F526" t="s">
        <v>20</v>
      </c>
      <c r="G526" t="s">
        <v>26</v>
      </c>
      <c r="H526" t="s">
        <v>1498</v>
      </c>
      <c r="I526" t="s">
        <v>3660</v>
      </c>
      <c r="J526" t="s">
        <v>3034</v>
      </c>
      <c r="K526" s="1">
        <v>46023.248252314814</v>
      </c>
      <c r="L526">
        <v>2096.2600000000002</v>
      </c>
      <c r="M526">
        <v>61.09</v>
      </c>
      <c r="N526">
        <v>2035.17</v>
      </c>
      <c r="O526" t="s">
        <v>19</v>
      </c>
      <c r="P526" t="s">
        <v>3661</v>
      </c>
      <c r="Q526" t="s">
        <v>3036</v>
      </c>
      <c r="R526" t="s">
        <v>4977</v>
      </c>
      <c r="S526" t="s">
        <v>4992</v>
      </c>
      <c r="T526" t="s">
        <v>4992</v>
      </c>
    </row>
    <row r="527" spans="1:20" x14ac:dyDescent="0.25">
      <c r="A527" t="s">
        <v>1499</v>
      </c>
      <c r="B527" t="s">
        <v>1500</v>
      </c>
      <c r="C527" s="1">
        <v>46024.336481481485</v>
      </c>
      <c r="D527">
        <v>616.87</v>
      </c>
      <c r="E527" t="s">
        <v>25</v>
      </c>
      <c r="F527" t="s">
        <v>20</v>
      </c>
      <c r="G527" t="s">
        <v>30</v>
      </c>
      <c r="H527" t="s">
        <v>1501</v>
      </c>
      <c r="I527" t="s">
        <v>3662</v>
      </c>
      <c r="J527" t="s">
        <v>3034</v>
      </c>
      <c r="K527" s="1">
        <v>46024.343425925923</v>
      </c>
      <c r="L527">
        <v>616.87</v>
      </c>
      <c r="M527">
        <v>18.190000000000001</v>
      </c>
      <c r="N527">
        <v>598.67999999999995</v>
      </c>
      <c r="O527" t="s">
        <v>25</v>
      </c>
      <c r="P527" t="s">
        <v>3468</v>
      </c>
      <c r="Q527" t="s">
        <v>3036</v>
      </c>
      <c r="R527" t="s">
        <v>4977</v>
      </c>
      <c r="S527" t="s">
        <v>4992</v>
      </c>
      <c r="T527" t="s">
        <v>4992</v>
      </c>
    </row>
    <row r="528" spans="1:20" x14ac:dyDescent="0.25">
      <c r="A528" t="s">
        <v>1502</v>
      </c>
      <c r="B528" t="s">
        <v>1503</v>
      </c>
      <c r="C528" s="1">
        <v>46025.45385416667</v>
      </c>
      <c r="D528">
        <v>1810.8</v>
      </c>
      <c r="E528" t="s">
        <v>25</v>
      </c>
      <c r="F528" t="s">
        <v>20</v>
      </c>
      <c r="G528" t="s">
        <v>21</v>
      </c>
      <c r="H528" t="s">
        <v>1504</v>
      </c>
      <c r="I528" t="s">
        <v>3663</v>
      </c>
      <c r="J528" t="s">
        <v>3034</v>
      </c>
      <c r="K528" s="1">
        <v>46025.460798611108</v>
      </c>
      <c r="L528">
        <v>1810.8</v>
      </c>
      <c r="M528">
        <v>52.81</v>
      </c>
      <c r="N528">
        <v>1757.99</v>
      </c>
      <c r="O528" t="s">
        <v>25</v>
      </c>
      <c r="P528" t="s">
        <v>3470</v>
      </c>
      <c r="Q528" t="s">
        <v>3036</v>
      </c>
      <c r="R528" t="s">
        <v>4977</v>
      </c>
      <c r="S528" t="s">
        <v>4992</v>
      </c>
      <c r="T528" t="s">
        <v>4992</v>
      </c>
    </row>
    <row r="529" spans="1:20" x14ac:dyDescent="0.25">
      <c r="A529" t="s">
        <v>1505</v>
      </c>
      <c r="B529" t="s">
        <v>1506</v>
      </c>
      <c r="C529" s="1">
        <v>46026.54755787037</v>
      </c>
      <c r="D529">
        <v>1419.1</v>
      </c>
      <c r="E529" t="s">
        <v>25</v>
      </c>
      <c r="F529" t="s">
        <v>20</v>
      </c>
      <c r="G529" t="s">
        <v>26</v>
      </c>
      <c r="H529" t="s">
        <v>1507</v>
      </c>
      <c r="I529" t="s">
        <v>3664</v>
      </c>
      <c r="J529" t="s">
        <v>3034</v>
      </c>
      <c r="K529" s="1">
        <v>46026.554502314815</v>
      </c>
      <c r="L529">
        <v>1419.1</v>
      </c>
      <c r="M529">
        <v>41.45</v>
      </c>
      <c r="N529">
        <v>1377.65</v>
      </c>
      <c r="O529" t="s">
        <v>25</v>
      </c>
      <c r="P529" t="s">
        <v>3472</v>
      </c>
      <c r="Q529" t="s">
        <v>3036</v>
      </c>
      <c r="R529" t="s">
        <v>4977</v>
      </c>
      <c r="S529" t="s">
        <v>4992</v>
      </c>
      <c r="T529" t="s">
        <v>4992</v>
      </c>
    </row>
    <row r="530" spans="1:20" x14ac:dyDescent="0.25">
      <c r="A530" t="s">
        <v>1508</v>
      </c>
      <c r="B530" t="s">
        <v>1509</v>
      </c>
      <c r="C530" s="1">
        <v>46027.638414351852</v>
      </c>
      <c r="D530">
        <v>984.03</v>
      </c>
      <c r="E530" t="s">
        <v>25</v>
      </c>
      <c r="F530" t="s">
        <v>20</v>
      </c>
      <c r="G530" t="s">
        <v>30</v>
      </c>
      <c r="H530" t="s">
        <v>1510</v>
      </c>
      <c r="I530" t="s">
        <v>3665</v>
      </c>
      <c r="J530" t="s">
        <v>3034</v>
      </c>
      <c r="K530" s="1">
        <v>46027.645358796297</v>
      </c>
      <c r="L530">
        <v>984.03</v>
      </c>
      <c r="M530">
        <v>28.84</v>
      </c>
      <c r="N530">
        <v>955.19</v>
      </c>
      <c r="O530" t="s">
        <v>25</v>
      </c>
      <c r="P530" t="s">
        <v>3474</v>
      </c>
      <c r="Q530" t="s">
        <v>3036</v>
      </c>
      <c r="R530" t="s">
        <v>4977</v>
      </c>
      <c r="S530" t="s">
        <v>4992</v>
      </c>
      <c r="T530" t="s">
        <v>4992</v>
      </c>
    </row>
    <row r="531" spans="1:20" x14ac:dyDescent="0.25">
      <c r="A531" t="s">
        <v>1511</v>
      </c>
      <c r="B531" t="s">
        <v>1512</v>
      </c>
      <c r="C531" s="1">
        <v>46028.6953587963</v>
      </c>
      <c r="D531">
        <v>1129.74</v>
      </c>
      <c r="E531" t="s">
        <v>25</v>
      </c>
      <c r="F531" t="s">
        <v>20</v>
      </c>
      <c r="G531" t="s">
        <v>21</v>
      </c>
      <c r="H531" t="s">
        <v>1513</v>
      </c>
      <c r="I531" t="s">
        <v>3666</v>
      </c>
      <c r="J531" t="s">
        <v>3034</v>
      </c>
      <c r="K531" s="1">
        <v>46028.702303240738</v>
      </c>
      <c r="L531">
        <v>1129.74</v>
      </c>
      <c r="M531">
        <v>33.06</v>
      </c>
      <c r="N531">
        <v>1096.68</v>
      </c>
      <c r="O531" t="s">
        <v>25</v>
      </c>
      <c r="P531" t="s">
        <v>3476</v>
      </c>
      <c r="Q531" t="s">
        <v>3036</v>
      </c>
      <c r="R531" t="s">
        <v>4977</v>
      </c>
      <c r="S531" t="s">
        <v>4992</v>
      </c>
      <c r="T531" t="s">
        <v>4992</v>
      </c>
    </row>
    <row r="532" spans="1:20" x14ac:dyDescent="0.25">
      <c r="A532" t="s">
        <v>1514</v>
      </c>
      <c r="B532" t="s">
        <v>1515</v>
      </c>
      <c r="C532" s="1">
        <v>46029.785833333335</v>
      </c>
      <c r="D532">
        <v>1283.3</v>
      </c>
      <c r="E532" t="s">
        <v>25</v>
      </c>
      <c r="F532" t="s">
        <v>20</v>
      </c>
      <c r="G532" t="s">
        <v>26</v>
      </c>
      <c r="H532" t="s">
        <v>1516</v>
      </c>
      <c r="I532" t="s">
        <v>3667</v>
      </c>
      <c r="J532" t="s">
        <v>3034</v>
      </c>
      <c r="K532" s="1">
        <v>46029.79277777778</v>
      </c>
      <c r="L532">
        <v>1283.3</v>
      </c>
      <c r="M532">
        <v>37.520000000000003</v>
      </c>
      <c r="N532">
        <v>1245.78</v>
      </c>
      <c r="O532" t="s">
        <v>25</v>
      </c>
      <c r="P532" t="s">
        <v>3478</v>
      </c>
      <c r="Q532" t="s">
        <v>3036</v>
      </c>
      <c r="R532" t="s">
        <v>4977</v>
      </c>
      <c r="S532" t="s">
        <v>4992</v>
      </c>
      <c r="T532" t="s">
        <v>4992</v>
      </c>
    </row>
    <row r="533" spans="1:20" x14ac:dyDescent="0.25">
      <c r="A533" t="s">
        <v>1517</v>
      </c>
      <c r="B533" t="s">
        <v>1518</v>
      </c>
      <c r="C533" s="1">
        <v>46030.877800925926</v>
      </c>
      <c r="D533">
        <v>577.48</v>
      </c>
      <c r="E533" t="s">
        <v>25</v>
      </c>
      <c r="F533" t="s">
        <v>20</v>
      </c>
      <c r="G533" t="s">
        <v>30</v>
      </c>
      <c r="H533" t="s">
        <v>1519</v>
      </c>
      <c r="I533" t="s">
        <v>3668</v>
      </c>
      <c r="J533" t="s">
        <v>3034</v>
      </c>
      <c r="K533" s="1">
        <v>46030.884745370371</v>
      </c>
      <c r="L533">
        <v>577.48</v>
      </c>
      <c r="M533">
        <v>17.05</v>
      </c>
      <c r="N533">
        <v>560.42999999999995</v>
      </c>
      <c r="O533" t="s">
        <v>25</v>
      </c>
      <c r="P533" t="s">
        <v>3480</v>
      </c>
      <c r="Q533" t="s">
        <v>3036</v>
      </c>
      <c r="R533" t="s">
        <v>4977</v>
      </c>
      <c r="S533" t="s">
        <v>4992</v>
      </c>
      <c r="T533" t="s">
        <v>4992</v>
      </c>
    </row>
    <row r="534" spans="1:20" x14ac:dyDescent="0.25">
      <c r="A534" t="s">
        <v>1520</v>
      </c>
      <c r="B534" t="s">
        <v>1521</v>
      </c>
      <c r="C534" s="1">
        <v>46031.976585648146</v>
      </c>
      <c r="D534">
        <v>2080.63</v>
      </c>
      <c r="E534" t="s">
        <v>25</v>
      </c>
      <c r="F534" t="s">
        <v>20</v>
      </c>
      <c r="G534" t="s">
        <v>21</v>
      </c>
      <c r="H534" t="s">
        <v>1522</v>
      </c>
      <c r="I534" t="s">
        <v>3669</v>
      </c>
      <c r="J534" t="s">
        <v>3034</v>
      </c>
      <c r="K534" s="1">
        <v>46031.983530092592</v>
      </c>
      <c r="L534">
        <v>2080.63</v>
      </c>
      <c r="M534">
        <v>60.64</v>
      </c>
      <c r="N534">
        <v>2019.99</v>
      </c>
      <c r="O534" t="s">
        <v>25</v>
      </c>
      <c r="P534" t="s">
        <v>3482</v>
      </c>
      <c r="Q534" t="s">
        <v>3036</v>
      </c>
      <c r="R534" t="s">
        <v>4977</v>
      </c>
      <c r="S534" t="s">
        <v>4992</v>
      </c>
      <c r="T534" t="s">
        <v>4992</v>
      </c>
    </row>
    <row r="535" spans="1:20" x14ac:dyDescent="0.25">
      <c r="A535" t="s">
        <v>1523</v>
      </c>
      <c r="B535" t="s">
        <v>1524</v>
      </c>
      <c r="C535" s="1">
        <v>46033.083611111113</v>
      </c>
      <c r="D535">
        <v>2159.4299999999998</v>
      </c>
      <c r="E535" t="s">
        <v>52</v>
      </c>
      <c r="F535" t="s">
        <v>20</v>
      </c>
      <c r="G535" t="s">
        <v>26</v>
      </c>
      <c r="H535" t="s">
        <v>1525</v>
      </c>
      <c r="I535" t="s">
        <v>3670</v>
      </c>
      <c r="J535" t="s">
        <v>3034</v>
      </c>
      <c r="K535" s="1">
        <v>46033.090555555558</v>
      </c>
      <c r="L535">
        <v>2159.4299999999998</v>
      </c>
      <c r="M535">
        <v>62.92</v>
      </c>
      <c r="N535">
        <v>2096.5100000000002</v>
      </c>
      <c r="O535" t="s">
        <v>52</v>
      </c>
      <c r="P535" t="s">
        <v>3484</v>
      </c>
      <c r="Q535" t="s">
        <v>3036</v>
      </c>
      <c r="R535" t="s">
        <v>4977</v>
      </c>
      <c r="S535" t="s">
        <v>4992</v>
      </c>
      <c r="T535" t="s">
        <v>4992</v>
      </c>
    </row>
    <row r="536" spans="1:20" x14ac:dyDescent="0.25">
      <c r="A536" t="s">
        <v>1523</v>
      </c>
      <c r="B536" t="s">
        <v>1524</v>
      </c>
      <c r="C536" s="1">
        <v>46033.083611111113</v>
      </c>
      <c r="D536">
        <v>2159.4299999999998</v>
      </c>
      <c r="E536" t="s">
        <v>52</v>
      </c>
      <c r="F536" t="s">
        <v>20</v>
      </c>
      <c r="G536" t="s">
        <v>26</v>
      </c>
      <c r="H536" t="s">
        <v>1525</v>
      </c>
      <c r="I536" t="s">
        <v>3670</v>
      </c>
      <c r="J536" t="s">
        <v>3034</v>
      </c>
      <c r="K536" s="1">
        <v>46033.090555555558</v>
      </c>
      <c r="L536">
        <v>2159.4299999999998</v>
      </c>
      <c r="M536">
        <v>62.92</v>
      </c>
      <c r="N536">
        <v>2096.5100000000002</v>
      </c>
      <c r="O536" t="s">
        <v>52</v>
      </c>
      <c r="P536" t="s">
        <v>3484</v>
      </c>
      <c r="Q536" t="s">
        <v>3036</v>
      </c>
      <c r="R536" t="s">
        <v>4977</v>
      </c>
      <c r="S536" t="s">
        <v>4992</v>
      </c>
      <c r="T536" t="s">
        <v>4992</v>
      </c>
    </row>
    <row r="537" spans="1:20" x14ac:dyDescent="0.25">
      <c r="A537" t="s">
        <v>1526</v>
      </c>
      <c r="B537" t="s">
        <v>1527</v>
      </c>
      <c r="C537" s="1">
        <v>46034.158634259256</v>
      </c>
      <c r="D537">
        <v>1122.44</v>
      </c>
      <c r="E537" t="s">
        <v>19</v>
      </c>
      <c r="F537" t="s">
        <v>20</v>
      </c>
      <c r="G537" t="s">
        <v>30</v>
      </c>
      <c r="H537" t="s">
        <v>1528</v>
      </c>
      <c r="I537" t="s">
        <v>3671</v>
      </c>
      <c r="J537" t="s">
        <v>3034</v>
      </c>
      <c r="K537" s="1">
        <v>46034.165578703702</v>
      </c>
      <c r="L537">
        <v>1122.44</v>
      </c>
      <c r="M537">
        <v>32.85</v>
      </c>
      <c r="N537">
        <v>1089.5899999999999</v>
      </c>
      <c r="O537" t="s">
        <v>19</v>
      </c>
      <c r="P537" t="s">
        <v>3486</v>
      </c>
      <c r="Q537" t="s">
        <v>3036</v>
      </c>
      <c r="R537" t="s">
        <v>4977</v>
      </c>
      <c r="S537" t="s">
        <v>4992</v>
      </c>
      <c r="T537" t="s">
        <v>4992</v>
      </c>
    </row>
    <row r="538" spans="1:20" x14ac:dyDescent="0.25">
      <c r="A538" t="s">
        <v>1529</v>
      </c>
      <c r="B538" t="s">
        <v>1530</v>
      </c>
      <c r="C538" s="1">
        <v>46034.244386574072</v>
      </c>
      <c r="D538">
        <v>895</v>
      </c>
      <c r="E538" t="s">
        <v>25</v>
      </c>
      <c r="F538" t="s">
        <v>20</v>
      </c>
      <c r="G538" t="s">
        <v>21</v>
      </c>
      <c r="H538" t="s">
        <v>1531</v>
      </c>
      <c r="I538" t="s">
        <v>3672</v>
      </c>
      <c r="J538" t="s">
        <v>3034</v>
      </c>
      <c r="K538" s="1">
        <v>46034.251331018517</v>
      </c>
      <c r="L538">
        <v>895</v>
      </c>
      <c r="M538">
        <v>26.26</v>
      </c>
      <c r="N538">
        <v>868.74</v>
      </c>
      <c r="O538" t="s">
        <v>25</v>
      </c>
      <c r="P538" t="s">
        <v>3553</v>
      </c>
      <c r="Q538" t="s">
        <v>3036</v>
      </c>
      <c r="R538" t="s">
        <v>4977</v>
      </c>
      <c r="S538" t="s">
        <v>4992</v>
      </c>
      <c r="T538" t="s">
        <v>4992</v>
      </c>
    </row>
    <row r="539" spans="1:20" x14ac:dyDescent="0.25">
      <c r="A539" t="s">
        <v>1532</v>
      </c>
      <c r="B539" t="s">
        <v>1533</v>
      </c>
      <c r="C539" s="1">
        <v>46035.34275462963</v>
      </c>
      <c r="D539">
        <v>2491.7600000000002</v>
      </c>
      <c r="E539" t="s">
        <v>25</v>
      </c>
      <c r="F539" t="s">
        <v>20</v>
      </c>
      <c r="G539" t="s">
        <v>26</v>
      </c>
      <c r="H539" t="s">
        <v>1534</v>
      </c>
      <c r="I539" t="s">
        <v>3673</v>
      </c>
      <c r="J539" t="s">
        <v>3034</v>
      </c>
      <c r="K539" s="1">
        <v>46035.349699074075</v>
      </c>
      <c r="L539">
        <v>2491.7600000000002</v>
      </c>
      <c r="M539">
        <v>72.56</v>
      </c>
      <c r="N539">
        <v>2419.1999999999998</v>
      </c>
      <c r="O539" t="s">
        <v>25</v>
      </c>
      <c r="P539" t="s">
        <v>3490</v>
      </c>
      <c r="Q539" t="s">
        <v>3036</v>
      </c>
      <c r="R539" t="s">
        <v>4977</v>
      </c>
      <c r="S539" t="s">
        <v>4992</v>
      </c>
      <c r="T539" t="s">
        <v>4992</v>
      </c>
    </row>
    <row r="540" spans="1:20" x14ac:dyDescent="0.25">
      <c r="A540" t="s">
        <v>1535</v>
      </c>
      <c r="B540" t="s">
        <v>1536</v>
      </c>
      <c r="C540" s="1">
        <v>46036.453900462962</v>
      </c>
      <c r="D540">
        <v>2339.1799999999998</v>
      </c>
      <c r="E540" t="s">
        <v>25</v>
      </c>
      <c r="F540" t="s">
        <v>20</v>
      </c>
      <c r="G540" t="s">
        <v>30</v>
      </c>
      <c r="H540" t="s">
        <v>1537</v>
      </c>
      <c r="I540" t="s">
        <v>3674</v>
      </c>
      <c r="J540" t="s">
        <v>3034</v>
      </c>
      <c r="K540" s="1">
        <v>46036.460844907408</v>
      </c>
      <c r="L540">
        <v>2339.1799999999998</v>
      </c>
      <c r="M540">
        <v>68.14</v>
      </c>
      <c r="N540">
        <v>2271.04</v>
      </c>
      <c r="O540" t="s">
        <v>25</v>
      </c>
      <c r="P540" t="s">
        <v>3492</v>
      </c>
      <c r="Q540" t="s">
        <v>3036</v>
      </c>
      <c r="R540" t="s">
        <v>4977</v>
      </c>
      <c r="S540" t="s">
        <v>4992</v>
      </c>
      <c r="T540" t="s">
        <v>4992</v>
      </c>
    </row>
    <row r="541" spans="1:20" x14ac:dyDescent="0.25">
      <c r="A541" t="s">
        <v>1538</v>
      </c>
      <c r="B541" t="s">
        <v>1539</v>
      </c>
      <c r="C541" s="1">
        <v>46023.538715277777</v>
      </c>
      <c r="D541">
        <v>676.71</v>
      </c>
      <c r="E541" t="s">
        <v>25</v>
      </c>
      <c r="F541" t="s">
        <v>20</v>
      </c>
      <c r="G541" t="s">
        <v>21</v>
      </c>
      <c r="H541" t="s">
        <v>1540</v>
      </c>
      <c r="I541" t="s">
        <v>3675</v>
      </c>
      <c r="J541" t="s">
        <v>3034</v>
      </c>
      <c r="K541" s="1">
        <v>46023.545659722222</v>
      </c>
      <c r="L541">
        <v>676.71</v>
      </c>
      <c r="M541">
        <v>19.920000000000002</v>
      </c>
      <c r="N541">
        <v>656.79</v>
      </c>
      <c r="O541" t="s">
        <v>25</v>
      </c>
      <c r="P541" t="s">
        <v>3494</v>
      </c>
      <c r="Q541" t="s">
        <v>3036</v>
      </c>
      <c r="R541" t="s">
        <v>4977</v>
      </c>
      <c r="S541" t="s">
        <v>4992</v>
      </c>
      <c r="T541" t="s">
        <v>4992</v>
      </c>
    </row>
    <row r="542" spans="1:20" x14ac:dyDescent="0.25">
      <c r="A542" t="s">
        <v>1541</v>
      </c>
      <c r="B542" t="s">
        <v>1542</v>
      </c>
      <c r="C542" s="1">
        <v>46024.612939814811</v>
      </c>
      <c r="D542">
        <v>471.67</v>
      </c>
      <c r="E542" t="s">
        <v>25</v>
      </c>
      <c r="F542" t="s">
        <v>20</v>
      </c>
      <c r="G542" t="s">
        <v>26</v>
      </c>
      <c r="H542" t="s">
        <v>1543</v>
      </c>
      <c r="I542" t="s">
        <v>3676</v>
      </c>
      <c r="J542" t="s">
        <v>3034</v>
      </c>
      <c r="K542" s="1">
        <v>46024.619884259257</v>
      </c>
      <c r="L542">
        <v>471.67</v>
      </c>
      <c r="M542">
        <v>13.98</v>
      </c>
      <c r="N542">
        <v>457.69</v>
      </c>
      <c r="O542" t="s">
        <v>25</v>
      </c>
      <c r="P542" t="s">
        <v>3468</v>
      </c>
      <c r="Q542" t="s">
        <v>3036</v>
      </c>
      <c r="R542" t="s">
        <v>4977</v>
      </c>
      <c r="S542" t="s">
        <v>4992</v>
      </c>
      <c r="T542" t="s">
        <v>4992</v>
      </c>
    </row>
    <row r="543" spans="1:20" x14ac:dyDescent="0.25">
      <c r="A543" t="s">
        <v>1544</v>
      </c>
      <c r="B543" t="s">
        <v>1545</v>
      </c>
      <c r="C543" s="1">
        <v>46025.738622685189</v>
      </c>
      <c r="D543">
        <v>1422.47</v>
      </c>
      <c r="E543" t="s">
        <v>25</v>
      </c>
      <c r="F543" t="s">
        <v>20</v>
      </c>
      <c r="G543" t="s">
        <v>30</v>
      </c>
      <c r="H543" t="s">
        <v>1546</v>
      </c>
      <c r="I543" t="s">
        <v>3677</v>
      </c>
      <c r="J543" t="s">
        <v>3034</v>
      </c>
      <c r="K543" s="1">
        <v>46025.745567129627</v>
      </c>
      <c r="L543">
        <v>1422.47</v>
      </c>
      <c r="M543">
        <v>41.55</v>
      </c>
      <c r="N543">
        <v>1380.92</v>
      </c>
      <c r="O543" t="s">
        <v>25</v>
      </c>
      <c r="P543" t="s">
        <v>3470</v>
      </c>
      <c r="Q543" t="s">
        <v>3036</v>
      </c>
      <c r="R543" t="s">
        <v>4977</v>
      </c>
      <c r="S543" t="s">
        <v>4992</v>
      </c>
      <c r="T543" t="s">
        <v>4992</v>
      </c>
    </row>
    <row r="544" spans="1:20" x14ac:dyDescent="0.25">
      <c r="A544" t="s">
        <v>1544</v>
      </c>
      <c r="B544" t="s">
        <v>1545</v>
      </c>
      <c r="C544" s="1">
        <v>46025.738622685189</v>
      </c>
      <c r="D544">
        <v>1422.47</v>
      </c>
      <c r="E544" t="s">
        <v>25</v>
      </c>
      <c r="F544" t="s">
        <v>20</v>
      </c>
      <c r="G544" t="s">
        <v>30</v>
      </c>
      <c r="H544" t="s">
        <v>1546</v>
      </c>
      <c r="I544" t="s">
        <v>3677</v>
      </c>
      <c r="J544" t="s">
        <v>3034</v>
      </c>
      <c r="K544" s="1">
        <v>46025.745567129627</v>
      </c>
      <c r="L544">
        <v>1422.47</v>
      </c>
      <c r="M544">
        <v>41.55</v>
      </c>
      <c r="N544">
        <v>1380.92</v>
      </c>
      <c r="O544" t="s">
        <v>25</v>
      </c>
      <c r="P544" t="s">
        <v>3470</v>
      </c>
      <c r="Q544" t="s">
        <v>3036</v>
      </c>
      <c r="R544" t="s">
        <v>4977</v>
      </c>
      <c r="S544" t="s">
        <v>4992</v>
      </c>
      <c r="T544" t="s">
        <v>4992</v>
      </c>
    </row>
    <row r="545" spans="1:20" x14ac:dyDescent="0.25">
      <c r="A545" t="s">
        <v>1547</v>
      </c>
      <c r="B545" t="s">
        <v>1548</v>
      </c>
      <c r="C545" s="1">
        <v>46026.795844907407</v>
      </c>
      <c r="D545">
        <v>1694.06</v>
      </c>
      <c r="E545" t="s">
        <v>25</v>
      </c>
      <c r="F545" t="s">
        <v>20</v>
      </c>
      <c r="G545" t="s">
        <v>21</v>
      </c>
      <c r="H545" t="s">
        <v>1549</v>
      </c>
      <c r="I545" t="s">
        <v>3678</v>
      </c>
      <c r="J545" t="s">
        <v>3034</v>
      </c>
      <c r="K545" s="1">
        <v>46026.802789351852</v>
      </c>
      <c r="L545">
        <v>1694.06</v>
      </c>
      <c r="M545">
        <v>49.43</v>
      </c>
      <c r="N545">
        <v>1644.63</v>
      </c>
      <c r="O545" t="s">
        <v>25</v>
      </c>
      <c r="P545" t="s">
        <v>3679</v>
      </c>
      <c r="Q545" t="s">
        <v>3036</v>
      </c>
      <c r="R545" t="s">
        <v>4977</v>
      </c>
      <c r="S545" t="s">
        <v>4992</v>
      </c>
      <c r="T545" t="s">
        <v>4992</v>
      </c>
    </row>
    <row r="546" spans="1:20" x14ac:dyDescent="0.25">
      <c r="A546" t="s">
        <v>1550</v>
      </c>
      <c r="B546" t="s">
        <v>1551</v>
      </c>
      <c r="C546" s="1">
        <v>46027.893252314818</v>
      </c>
      <c r="D546">
        <v>1080.8399999999999</v>
      </c>
      <c r="E546" t="s">
        <v>25</v>
      </c>
      <c r="F546" t="s">
        <v>20</v>
      </c>
      <c r="G546" t="s">
        <v>26</v>
      </c>
      <c r="H546" t="s">
        <v>1552</v>
      </c>
      <c r="I546" t="s">
        <v>3680</v>
      </c>
      <c r="J546" t="s">
        <v>3034</v>
      </c>
      <c r="K546" s="1">
        <v>46027.900196759256</v>
      </c>
      <c r="L546">
        <v>1080.8399999999999</v>
      </c>
      <c r="M546">
        <v>31.64</v>
      </c>
      <c r="N546">
        <v>1049.2</v>
      </c>
      <c r="O546" t="s">
        <v>25</v>
      </c>
      <c r="P546" t="s">
        <v>3474</v>
      </c>
      <c r="Q546" t="s">
        <v>3036</v>
      </c>
      <c r="R546" t="s">
        <v>4977</v>
      </c>
      <c r="S546" t="s">
        <v>4992</v>
      </c>
      <c r="T546" t="s">
        <v>4992</v>
      </c>
    </row>
    <row r="547" spans="1:20" x14ac:dyDescent="0.25">
      <c r="A547" t="s">
        <v>1553</v>
      </c>
      <c r="B547" t="s">
        <v>1554</v>
      </c>
      <c r="C547" s="1">
        <v>46029.003668981481</v>
      </c>
      <c r="D547">
        <v>924.9</v>
      </c>
      <c r="E547" t="s">
        <v>52</v>
      </c>
      <c r="F547" t="s">
        <v>20</v>
      </c>
      <c r="G547" t="s">
        <v>30</v>
      </c>
      <c r="H547" t="s">
        <v>1555</v>
      </c>
      <c r="I547" t="s">
        <v>3681</v>
      </c>
      <c r="J547" t="s">
        <v>3034</v>
      </c>
      <c r="K547" s="1">
        <v>46029.010613425926</v>
      </c>
      <c r="L547">
        <v>926.01</v>
      </c>
      <c r="M547">
        <v>27.15</v>
      </c>
      <c r="N547">
        <v>898.86</v>
      </c>
      <c r="O547" t="s">
        <v>52</v>
      </c>
      <c r="P547" t="s">
        <v>3502</v>
      </c>
      <c r="Q547" t="s">
        <v>3036</v>
      </c>
      <c r="R547" t="s">
        <v>4977</v>
      </c>
      <c r="S547" t="s">
        <v>4991</v>
      </c>
      <c r="T547" t="s">
        <v>4992</v>
      </c>
    </row>
    <row r="548" spans="1:20" x14ac:dyDescent="0.25">
      <c r="A548" t="s">
        <v>1556</v>
      </c>
      <c r="B548" t="s">
        <v>1557</v>
      </c>
      <c r="C548" s="1">
        <v>46030.08965277778</v>
      </c>
      <c r="D548">
        <v>814.76</v>
      </c>
      <c r="E548" t="s">
        <v>19</v>
      </c>
      <c r="F548" t="s">
        <v>20</v>
      </c>
      <c r="G548" t="s">
        <v>21</v>
      </c>
      <c r="H548" t="s">
        <v>1558</v>
      </c>
      <c r="I548" t="s">
        <v>3682</v>
      </c>
      <c r="J548" t="s">
        <v>3034</v>
      </c>
      <c r="K548" s="1">
        <v>46030.096597222226</v>
      </c>
      <c r="L548">
        <v>814.76</v>
      </c>
      <c r="M548">
        <v>23.93</v>
      </c>
      <c r="N548">
        <v>790.83</v>
      </c>
      <c r="O548" t="s">
        <v>19</v>
      </c>
      <c r="P548" t="s">
        <v>3504</v>
      </c>
      <c r="Q548" t="s">
        <v>3036</v>
      </c>
      <c r="R548" t="s">
        <v>4977</v>
      </c>
      <c r="S548" t="s">
        <v>4992</v>
      </c>
      <c r="T548" t="s">
        <v>4992</v>
      </c>
    </row>
    <row r="549" spans="1:20" x14ac:dyDescent="0.25">
      <c r="A549" t="s">
        <v>1559</v>
      </c>
      <c r="B549" t="s">
        <v>1560</v>
      </c>
      <c r="C549" s="1">
        <v>46031.192175925928</v>
      </c>
      <c r="D549">
        <v>1931.09</v>
      </c>
      <c r="E549" t="s">
        <v>25</v>
      </c>
      <c r="F549" t="s">
        <v>20</v>
      </c>
      <c r="G549" t="s">
        <v>26</v>
      </c>
      <c r="H549" t="s">
        <v>1561</v>
      </c>
      <c r="I549" t="s">
        <v>3683</v>
      </c>
      <c r="J549" t="s">
        <v>3034</v>
      </c>
      <c r="K549" s="1">
        <v>46031.199120370373</v>
      </c>
      <c r="L549">
        <v>1931.09</v>
      </c>
      <c r="M549">
        <v>56.3</v>
      </c>
      <c r="N549">
        <v>1874.79</v>
      </c>
      <c r="O549" t="s">
        <v>25</v>
      </c>
      <c r="P549" t="s">
        <v>3480</v>
      </c>
      <c r="Q549" t="s">
        <v>3036</v>
      </c>
      <c r="R549" t="s">
        <v>4977</v>
      </c>
      <c r="S549" t="s">
        <v>4992</v>
      </c>
      <c r="T549" t="s">
        <v>4992</v>
      </c>
    </row>
    <row r="550" spans="1:20" x14ac:dyDescent="0.25">
      <c r="A550" t="s">
        <v>1562</v>
      </c>
      <c r="B550" t="s">
        <v>1563</v>
      </c>
      <c r="C550" s="1">
        <v>46031.254143518519</v>
      </c>
      <c r="D550">
        <v>1834.13</v>
      </c>
      <c r="E550" t="s">
        <v>25</v>
      </c>
      <c r="F550" t="s">
        <v>20</v>
      </c>
      <c r="G550" t="s">
        <v>30</v>
      </c>
      <c r="H550" t="s">
        <v>1564</v>
      </c>
      <c r="I550" t="s">
        <v>3684</v>
      </c>
      <c r="J550" t="s">
        <v>3034</v>
      </c>
      <c r="K550" s="1">
        <v>46031.261087962965</v>
      </c>
      <c r="L550">
        <v>1834.13</v>
      </c>
      <c r="M550">
        <v>53.49</v>
      </c>
      <c r="N550">
        <v>1780.64</v>
      </c>
      <c r="O550" t="s">
        <v>25</v>
      </c>
      <c r="P550" t="s">
        <v>3482</v>
      </c>
      <c r="Q550" t="s">
        <v>3036</v>
      </c>
      <c r="R550" t="s">
        <v>4977</v>
      </c>
      <c r="S550" t="s">
        <v>4992</v>
      </c>
      <c r="T550" t="s">
        <v>4992</v>
      </c>
    </row>
    <row r="551" spans="1:20" x14ac:dyDescent="0.25">
      <c r="A551" t="s">
        <v>1565</v>
      </c>
      <c r="B551" t="s">
        <v>1566</v>
      </c>
      <c r="C551" s="1">
        <v>46032.350416666668</v>
      </c>
      <c r="D551">
        <v>1811.31</v>
      </c>
      <c r="E551" t="s">
        <v>25</v>
      </c>
      <c r="F551" t="s">
        <v>20</v>
      </c>
      <c r="G551" t="s">
        <v>21</v>
      </c>
      <c r="H551" t="s">
        <v>1567</v>
      </c>
      <c r="I551" t="s">
        <v>3685</v>
      </c>
      <c r="J551" t="s">
        <v>3034</v>
      </c>
      <c r="K551" s="1">
        <v>46032.357361111113</v>
      </c>
      <c r="L551">
        <v>1811.31</v>
      </c>
      <c r="M551">
        <v>52.83</v>
      </c>
      <c r="N551">
        <v>1758.48</v>
      </c>
      <c r="O551" t="s">
        <v>25</v>
      </c>
      <c r="P551" t="s">
        <v>3530</v>
      </c>
      <c r="Q551" t="s">
        <v>3036</v>
      </c>
      <c r="R551" t="s">
        <v>4977</v>
      </c>
      <c r="S551" t="s">
        <v>4992</v>
      </c>
      <c r="T551" t="s">
        <v>4992</v>
      </c>
    </row>
    <row r="552" spans="1:20" x14ac:dyDescent="0.25">
      <c r="A552" t="s">
        <v>1568</v>
      </c>
      <c r="B552" t="s">
        <v>1569</v>
      </c>
      <c r="C552" s="1">
        <v>46033.44976851852</v>
      </c>
      <c r="D552">
        <v>1135.72</v>
      </c>
      <c r="E552" t="s">
        <v>25</v>
      </c>
      <c r="F552" t="s">
        <v>20</v>
      </c>
      <c r="G552" t="s">
        <v>26</v>
      </c>
      <c r="H552" t="s">
        <v>1570</v>
      </c>
      <c r="I552" t="s">
        <v>3686</v>
      </c>
      <c r="J552" t="s">
        <v>3034</v>
      </c>
      <c r="K552" s="1">
        <v>46033.456712962965</v>
      </c>
      <c r="L552">
        <v>1135.72</v>
      </c>
      <c r="M552">
        <v>33.24</v>
      </c>
      <c r="N552">
        <v>1102.48</v>
      </c>
      <c r="O552" t="s">
        <v>25</v>
      </c>
      <c r="P552" t="s">
        <v>3510</v>
      </c>
      <c r="Q552" t="s">
        <v>3036</v>
      </c>
      <c r="R552" t="s">
        <v>4977</v>
      </c>
      <c r="S552" t="s">
        <v>4992</v>
      </c>
      <c r="T552" t="s">
        <v>4992</v>
      </c>
    </row>
    <row r="553" spans="1:20" x14ac:dyDescent="0.25">
      <c r="A553" t="s">
        <v>1571</v>
      </c>
      <c r="B553" t="s">
        <v>1572</v>
      </c>
      <c r="C553" s="1">
        <v>46034.563738425924</v>
      </c>
      <c r="D553">
        <v>409.76</v>
      </c>
      <c r="E553" t="s">
        <v>25</v>
      </c>
      <c r="F553" t="s">
        <v>20</v>
      </c>
      <c r="G553" t="s">
        <v>30</v>
      </c>
      <c r="H553" t="s">
        <v>1573</v>
      </c>
      <c r="I553" t="s">
        <v>3687</v>
      </c>
      <c r="J553" t="s">
        <v>3034</v>
      </c>
      <c r="K553" s="1">
        <v>46034.57068287037</v>
      </c>
      <c r="L553">
        <v>409.76</v>
      </c>
      <c r="M553">
        <v>12.18</v>
      </c>
      <c r="N553">
        <v>397.58</v>
      </c>
      <c r="O553" t="s">
        <v>25</v>
      </c>
      <c r="P553" t="s">
        <v>3688</v>
      </c>
      <c r="Q553" t="s">
        <v>3036</v>
      </c>
      <c r="R553" t="s">
        <v>4977</v>
      </c>
      <c r="S553" t="s">
        <v>4992</v>
      </c>
      <c r="T553" t="s">
        <v>4992</v>
      </c>
    </row>
    <row r="554" spans="1:20" x14ac:dyDescent="0.25">
      <c r="A554" t="s">
        <v>1574</v>
      </c>
      <c r="B554" t="s">
        <v>1575</v>
      </c>
      <c r="C554" s="1">
        <v>46035.644328703704</v>
      </c>
      <c r="D554">
        <v>773.07</v>
      </c>
      <c r="E554" t="s">
        <v>25</v>
      </c>
      <c r="F554" t="s">
        <v>20</v>
      </c>
      <c r="G554" t="s">
        <v>21</v>
      </c>
      <c r="H554" t="s">
        <v>1576</v>
      </c>
      <c r="I554" t="s">
        <v>3689</v>
      </c>
      <c r="J554" t="s">
        <v>3034</v>
      </c>
      <c r="K554" s="1">
        <v>46035.651273148149</v>
      </c>
      <c r="L554">
        <v>773.07</v>
      </c>
      <c r="M554">
        <v>22.72</v>
      </c>
      <c r="N554">
        <v>750.35</v>
      </c>
      <c r="O554" t="s">
        <v>25</v>
      </c>
      <c r="P554" t="s">
        <v>3490</v>
      </c>
      <c r="Q554" t="s">
        <v>3036</v>
      </c>
      <c r="R554" t="s">
        <v>4977</v>
      </c>
      <c r="S554" t="s">
        <v>4992</v>
      </c>
      <c r="T554" t="s">
        <v>4992</v>
      </c>
    </row>
    <row r="555" spans="1:20" x14ac:dyDescent="0.25">
      <c r="A555" t="s">
        <v>1577</v>
      </c>
      <c r="B555" t="s">
        <v>1578</v>
      </c>
      <c r="C555" s="1">
        <v>46036.74318287037</v>
      </c>
      <c r="D555">
        <v>1175.8499999999999</v>
      </c>
      <c r="E555" t="s">
        <v>25</v>
      </c>
      <c r="F555" t="s">
        <v>429</v>
      </c>
      <c r="G555" t="s">
        <v>26</v>
      </c>
      <c r="H555" t="s">
        <v>1579</v>
      </c>
      <c r="I555" t="s">
        <v>3690</v>
      </c>
      <c r="J555" t="s">
        <v>3034</v>
      </c>
      <c r="K555" s="1">
        <v>46036.750127314815</v>
      </c>
      <c r="L555">
        <v>1175.8499999999999</v>
      </c>
      <c r="M555">
        <v>34.4</v>
      </c>
      <c r="N555">
        <v>1141.45</v>
      </c>
      <c r="O555" t="s">
        <v>25</v>
      </c>
      <c r="P555" t="s">
        <v>3492</v>
      </c>
      <c r="Q555" t="s">
        <v>3036</v>
      </c>
      <c r="R555" t="s">
        <v>4977</v>
      </c>
      <c r="S555" t="s">
        <v>4992</v>
      </c>
      <c r="T555" t="s">
        <v>4992</v>
      </c>
    </row>
    <row r="556" spans="1:20" x14ac:dyDescent="0.25">
      <c r="A556" t="s">
        <v>1577</v>
      </c>
      <c r="B556" t="s">
        <v>1578</v>
      </c>
      <c r="C556" s="1">
        <v>46036.74318287037</v>
      </c>
      <c r="D556">
        <v>1175.8499999999999</v>
      </c>
      <c r="E556" t="s">
        <v>25</v>
      </c>
      <c r="F556" t="s">
        <v>429</v>
      </c>
      <c r="G556" t="s">
        <v>26</v>
      </c>
      <c r="H556" t="s">
        <v>1579</v>
      </c>
      <c r="I556" t="s">
        <v>3691</v>
      </c>
      <c r="J556" t="s">
        <v>3076</v>
      </c>
      <c r="K556" s="1">
        <v>46037.74318287037</v>
      </c>
      <c r="L556">
        <v>-1175.8499999999999</v>
      </c>
      <c r="M556">
        <v>0</v>
      </c>
      <c r="N556">
        <v>-1175.8499999999999</v>
      </c>
      <c r="O556" t="s">
        <v>25</v>
      </c>
      <c r="P556" t="s">
        <v>3692</v>
      </c>
      <c r="Q556" t="s">
        <v>3036</v>
      </c>
      <c r="R556" t="s">
        <v>4977</v>
      </c>
      <c r="S556" t="s">
        <v>4991</v>
      </c>
      <c r="T556" t="s">
        <v>4992</v>
      </c>
    </row>
    <row r="557" spans="1:20" x14ac:dyDescent="0.25">
      <c r="A557" t="s">
        <v>1580</v>
      </c>
      <c r="B557" t="s">
        <v>1581</v>
      </c>
      <c r="C557" s="1">
        <v>46023.79828703704</v>
      </c>
      <c r="D557">
        <v>2341.44</v>
      </c>
      <c r="E557" t="s">
        <v>25</v>
      </c>
      <c r="F557" t="s">
        <v>20</v>
      </c>
      <c r="G557" t="s">
        <v>30</v>
      </c>
      <c r="H557" t="s">
        <v>1582</v>
      </c>
      <c r="I557" t="s">
        <v>3693</v>
      </c>
      <c r="J557" t="s">
        <v>3034</v>
      </c>
      <c r="K557" s="1">
        <v>46023.805231481485</v>
      </c>
      <c r="L557">
        <v>2341.44</v>
      </c>
      <c r="M557">
        <v>68.2</v>
      </c>
      <c r="N557">
        <v>2273.2399999999998</v>
      </c>
      <c r="O557" t="s">
        <v>25</v>
      </c>
      <c r="P557" t="s">
        <v>3494</v>
      </c>
      <c r="Q557" t="s">
        <v>3036</v>
      </c>
      <c r="R557" t="s">
        <v>4977</v>
      </c>
      <c r="S557" t="s">
        <v>4992</v>
      </c>
      <c r="T557" t="s">
        <v>4992</v>
      </c>
    </row>
    <row r="558" spans="1:20" x14ac:dyDescent="0.25">
      <c r="A558" t="s">
        <v>1580</v>
      </c>
      <c r="B558" t="s">
        <v>1581</v>
      </c>
      <c r="C558" s="1">
        <v>46023.79828703704</v>
      </c>
      <c r="D558">
        <v>2341.44</v>
      </c>
      <c r="E558" t="s">
        <v>25</v>
      </c>
      <c r="F558" t="s">
        <v>20</v>
      </c>
      <c r="G558" t="s">
        <v>30</v>
      </c>
      <c r="H558" t="s">
        <v>1582</v>
      </c>
      <c r="I558" t="s">
        <v>3693</v>
      </c>
      <c r="J558" t="s">
        <v>3034</v>
      </c>
      <c r="K558" s="1">
        <v>46023.805231481485</v>
      </c>
      <c r="L558">
        <v>2341.44</v>
      </c>
      <c r="M558">
        <v>68.2</v>
      </c>
      <c r="N558">
        <v>2273.2399999999998</v>
      </c>
      <c r="O558" t="s">
        <v>25</v>
      </c>
      <c r="P558" t="s">
        <v>3494</v>
      </c>
      <c r="Q558" t="s">
        <v>3036</v>
      </c>
      <c r="R558" t="s">
        <v>4977</v>
      </c>
      <c r="S558" t="s">
        <v>4992</v>
      </c>
      <c r="T558" t="s">
        <v>4992</v>
      </c>
    </row>
    <row r="559" spans="1:20" x14ac:dyDescent="0.25">
      <c r="A559" t="s">
        <v>1583</v>
      </c>
      <c r="B559" t="s">
        <v>1584</v>
      </c>
      <c r="C559" s="1">
        <v>46024.890219907407</v>
      </c>
      <c r="D559">
        <v>673.28</v>
      </c>
      <c r="E559" t="s">
        <v>52</v>
      </c>
      <c r="F559" t="s">
        <v>20</v>
      </c>
      <c r="G559" t="s">
        <v>21</v>
      </c>
      <c r="H559" t="s">
        <v>1585</v>
      </c>
      <c r="I559" t="s">
        <v>3694</v>
      </c>
      <c r="J559" t="s">
        <v>3034</v>
      </c>
      <c r="K559" s="1">
        <v>46024.897164351853</v>
      </c>
      <c r="L559">
        <v>673.28</v>
      </c>
      <c r="M559">
        <v>19.829999999999998</v>
      </c>
      <c r="N559">
        <v>653.45000000000005</v>
      </c>
      <c r="O559" t="s">
        <v>52</v>
      </c>
      <c r="P559" t="s">
        <v>3518</v>
      </c>
      <c r="Q559" t="s">
        <v>3036</v>
      </c>
      <c r="R559" t="s">
        <v>4977</v>
      </c>
      <c r="S559" t="s">
        <v>4992</v>
      </c>
      <c r="T559" t="s">
        <v>4992</v>
      </c>
    </row>
    <row r="560" spans="1:20" x14ac:dyDescent="0.25">
      <c r="A560" t="s">
        <v>1586</v>
      </c>
      <c r="B560" t="s">
        <v>1587</v>
      </c>
      <c r="C560" s="1">
        <v>46025.987175925926</v>
      </c>
      <c r="D560">
        <v>1814.1</v>
      </c>
      <c r="E560" t="s">
        <v>19</v>
      </c>
      <c r="F560" t="s">
        <v>20</v>
      </c>
      <c r="G560" t="s">
        <v>26</v>
      </c>
      <c r="H560" t="s">
        <v>1588</v>
      </c>
      <c r="I560" t="s">
        <v>3695</v>
      </c>
      <c r="J560" t="s">
        <v>3034</v>
      </c>
      <c r="K560" s="1">
        <v>46025.994120370371</v>
      </c>
      <c r="L560">
        <v>1814.1</v>
      </c>
      <c r="M560">
        <v>52.91</v>
      </c>
      <c r="N560">
        <v>1761.19</v>
      </c>
      <c r="O560" t="s">
        <v>19</v>
      </c>
      <c r="P560" t="s">
        <v>3520</v>
      </c>
      <c r="Q560" t="s">
        <v>3036</v>
      </c>
      <c r="R560" t="s">
        <v>4977</v>
      </c>
      <c r="S560" t="s">
        <v>4992</v>
      </c>
      <c r="T560" t="s">
        <v>4992</v>
      </c>
    </row>
    <row r="561" spans="1:20" x14ac:dyDescent="0.25">
      <c r="A561" t="s">
        <v>1589</v>
      </c>
      <c r="B561" t="s">
        <v>1590</v>
      </c>
      <c r="C561" s="1">
        <v>46027.07885416667</v>
      </c>
      <c r="D561">
        <v>508.29</v>
      </c>
      <c r="E561" t="s">
        <v>25</v>
      </c>
      <c r="F561" t="s">
        <v>20</v>
      </c>
      <c r="G561" t="s">
        <v>30</v>
      </c>
      <c r="H561" t="s">
        <v>1591</v>
      </c>
      <c r="I561" t="s">
        <v>3696</v>
      </c>
      <c r="J561" t="s">
        <v>3034</v>
      </c>
      <c r="K561" s="1">
        <v>46027.085798611108</v>
      </c>
      <c r="L561">
        <v>508.29</v>
      </c>
      <c r="M561">
        <v>15.04</v>
      </c>
      <c r="N561">
        <v>493.25</v>
      </c>
      <c r="O561" t="s">
        <v>25</v>
      </c>
      <c r="P561" t="s">
        <v>3472</v>
      </c>
      <c r="Q561" t="s">
        <v>3036</v>
      </c>
      <c r="R561" t="s">
        <v>4977</v>
      </c>
      <c r="S561" t="s">
        <v>4992</v>
      </c>
      <c r="T561" t="s">
        <v>4992</v>
      </c>
    </row>
    <row r="562" spans="1:20" x14ac:dyDescent="0.25">
      <c r="A562" t="s">
        <v>1592</v>
      </c>
      <c r="B562" t="s">
        <v>1593</v>
      </c>
      <c r="C562" s="1">
        <v>46028.167627314811</v>
      </c>
      <c r="D562">
        <v>228.86</v>
      </c>
      <c r="E562" t="s">
        <v>25</v>
      </c>
      <c r="F562" t="s">
        <v>20</v>
      </c>
      <c r="G562" t="s">
        <v>21</v>
      </c>
      <c r="H562" t="s">
        <v>1594</v>
      </c>
      <c r="I562" t="s">
        <v>3697</v>
      </c>
      <c r="J562" t="s">
        <v>3034</v>
      </c>
      <c r="K562" s="1">
        <v>46028.174571759257</v>
      </c>
      <c r="L562">
        <v>228.86</v>
      </c>
      <c r="M562">
        <v>6.94</v>
      </c>
      <c r="N562">
        <v>221.92</v>
      </c>
      <c r="O562" t="s">
        <v>25</v>
      </c>
      <c r="P562" t="s">
        <v>3474</v>
      </c>
      <c r="Q562" t="s">
        <v>3036</v>
      </c>
      <c r="R562" t="s">
        <v>4977</v>
      </c>
      <c r="S562" t="s">
        <v>4992</v>
      </c>
      <c r="T562" t="s">
        <v>4992</v>
      </c>
    </row>
    <row r="563" spans="1:20" x14ac:dyDescent="0.25">
      <c r="A563" t="s">
        <v>1595</v>
      </c>
      <c r="B563" t="s">
        <v>1596</v>
      </c>
      <c r="C563" s="1">
        <v>46028.281631944446</v>
      </c>
      <c r="D563">
        <v>1181.33</v>
      </c>
      <c r="E563" t="s">
        <v>25</v>
      </c>
      <c r="F563" t="s">
        <v>20</v>
      </c>
      <c r="G563" t="s">
        <v>26</v>
      </c>
      <c r="H563" t="s">
        <v>1597</v>
      </c>
      <c r="I563" t="s">
        <v>3698</v>
      </c>
      <c r="J563" t="s">
        <v>3034</v>
      </c>
      <c r="K563" s="1">
        <v>46028.288576388892</v>
      </c>
      <c r="L563">
        <v>1181.33</v>
      </c>
      <c r="M563">
        <v>34.56</v>
      </c>
      <c r="N563">
        <v>1146.77</v>
      </c>
      <c r="O563" t="s">
        <v>25</v>
      </c>
      <c r="P563" t="s">
        <v>3476</v>
      </c>
      <c r="Q563" t="s">
        <v>3036</v>
      </c>
      <c r="R563" t="s">
        <v>4977</v>
      </c>
      <c r="S563" t="s">
        <v>4992</v>
      </c>
      <c r="T563" t="s">
        <v>4992</v>
      </c>
    </row>
    <row r="564" spans="1:20" x14ac:dyDescent="0.25">
      <c r="A564" t="s">
        <v>1598</v>
      </c>
      <c r="B564" t="s">
        <v>1599</v>
      </c>
      <c r="C564" s="1">
        <v>46029.367037037038</v>
      </c>
      <c r="D564">
        <v>1132.8900000000001</v>
      </c>
      <c r="E564" t="s">
        <v>25</v>
      </c>
      <c r="F564" t="s">
        <v>20</v>
      </c>
      <c r="G564" t="s">
        <v>30</v>
      </c>
      <c r="H564" t="s">
        <v>1600</v>
      </c>
      <c r="I564" t="s">
        <v>3699</v>
      </c>
      <c r="J564" t="s">
        <v>3034</v>
      </c>
      <c r="K564" s="1">
        <v>46029.373981481483</v>
      </c>
      <c r="L564">
        <v>1132.8900000000001</v>
      </c>
      <c r="M564">
        <v>33.15</v>
      </c>
      <c r="N564">
        <v>1099.74</v>
      </c>
      <c r="O564" t="s">
        <v>25</v>
      </c>
      <c r="P564" t="s">
        <v>3478</v>
      </c>
      <c r="Q564" t="s">
        <v>3036</v>
      </c>
      <c r="R564" t="s">
        <v>4977</v>
      </c>
      <c r="S564" t="s">
        <v>4992</v>
      </c>
      <c r="T564" t="s">
        <v>4992</v>
      </c>
    </row>
    <row r="565" spans="1:20" x14ac:dyDescent="0.25">
      <c r="A565" t="s">
        <v>1601</v>
      </c>
      <c r="B565" t="s">
        <v>1602</v>
      </c>
      <c r="C565" s="1">
        <v>46030.440289351849</v>
      </c>
      <c r="D565">
        <v>2280.5500000000002</v>
      </c>
      <c r="E565" t="s">
        <v>25</v>
      </c>
      <c r="F565" t="s">
        <v>20</v>
      </c>
      <c r="G565" t="s">
        <v>21</v>
      </c>
      <c r="H565" t="s">
        <v>1603</v>
      </c>
      <c r="I565" t="s">
        <v>3700</v>
      </c>
      <c r="J565" t="s">
        <v>3034</v>
      </c>
      <c r="K565" s="1">
        <v>46030.447233796294</v>
      </c>
      <c r="L565">
        <v>2280.5500000000002</v>
      </c>
      <c r="M565">
        <v>66.44</v>
      </c>
      <c r="N565">
        <v>2214.11</v>
      </c>
      <c r="O565" t="s">
        <v>25</v>
      </c>
      <c r="P565" t="s">
        <v>3480</v>
      </c>
      <c r="Q565" t="s">
        <v>3036</v>
      </c>
      <c r="R565" t="s">
        <v>4977</v>
      </c>
      <c r="S565" t="s">
        <v>4992</v>
      </c>
      <c r="T565" t="s">
        <v>4992</v>
      </c>
    </row>
    <row r="566" spans="1:20" x14ac:dyDescent="0.25">
      <c r="A566" t="s">
        <v>1607</v>
      </c>
      <c r="B566" t="s">
        <v>1608</v>
      </c>
      <c r="C566" s="1">
        <v>46032.632951388892</v>
      </c>
      <c r="D566">
        <v>2427.46</v>
      </c>
      <c r="E566" t="s">
        <v>25</v>
      </c>
      <c r="F566" t="s">
        <v>20</v>
      </c>
      <c r="G566" t="s">
        <v>30</v>
      </c>
      <c r="H566" t="s">
        <v>1609</v>
      </c>
      <c r="I566" t="s">
        <v>3701</v>
      </c>
      <c r="J566" t="s">
        <v>3034</v>
      </c>
      <c r="K566" s="1">
        <v>46032.63989583333</v>
      </c>
      <c r="L566">
        <v>2427.46</v>
      </c>
      <c r="M566">
        <v>70.7</v>
      </c>
      <c r="N566">
        <v>2356.7600000000002</v>
      </c>
      <c r="O566" t="s">
        <v>25</v>
      </c>
      <c r="P566" t="s">
        <v>3530</v>
      </c>
      <c r="Q566" t="s">
        <v>3036</v>
      </c>
      <c r="R566" t="s">
        <v>4977</v>
      </c>
      <c r="S566" t="s">
        <v>4992</v>
      </c>
      <c r="T566" t="s">
        <v>4992</v>
      </c>
    </row>
    <row r="567" spans="1:20" x14ac:dyDescent="0.25">
      <c r="A567" t="s">
        <v>1610</v>
      </c>
      <c r="B567" t="s">
        <v>1611</v>
      </c>
      <c r="C567" s="1">
        <v>46033.720775462964</v>
      </c>
      <c r="D567">
        <v>979.63</v>
      </c>
      <c r="E567" t="s">
        <v>25</v>
      </c>
      <c r="F567" t="s">
        <v>20</v>
      </c>
      <c r="G567" t="s">
        <v>21</v>
      </c>
      <c r="H567" t="s">
        <v>1612</v>
      </c>
      <c r="I567" t="s">
        <v>3702</v>
      </c>
      <c r="J567" t="s">
        <v>3034</v>
      </c>
      <c r="K567" s="1">
        <v>46033.727719907409</v>
      </c>
      <c r="L567">
        <v>979.63</v>
      </c>
      <c r="M567">
        <v>28.71</v>
      </c>
      <c r="N567">
        <v>950.92</v>
      </c>
      <c r="O567" t="s">
        <v>25</v>
      </c>
      <c r="P567" t="s">
        <v>3510</v>
      </c>
      <c r="Q567" t="s">
        <v>3036</v>
      </c>
      <c r="R567" t="s">
        <v>4977</v>
      </c>
      <c r="S567" t="s">
        <v>4992</v>
      </c>
      <c r="T567" t="s">
        <v>4992</v>
      </c>
    </row>
    <row r="568" spans="1:20" x14ac:dyDescent="0.25">
      <c r="A568" t="s">
        <v>1613</v>
      </c>
      <c r="B568" t="s">
        <v>1614</v>
      </c>
      <c r="C568" s="1">
        <v>46034.835439814815</v>
      </c>
      <c r="D568">
        <v>1587.87</v>
      </c>
      <c r="E568" t="s">
        <v>52</v>
      </c>
      <c r="F568" t="s">
        <v>20</v>
      </c>
      <c r="G568" t="s">
        <v>26</v>
      </c>
      <c r="H568" t="s">
        <v>1615</v>
      </c>
      <c r="I568" t="s">
        <v>3703</v>
      </c>
      <c r="J568" t="s">
        <v>3034</v>
      </c>
      <c r="K568" s="1">
        <v>46034.84238425926</v>
      </c>
      <c r="L568">
        <v>1587.87</v>
      </c>
      <c r="M568">
        <v>46.35</v>
      </c>
      <c r="N568">
        <v>1541.52</v>
      </c>
      <c r="O568" t="s">
        <v>52</v>
      </c>
      <c r="P568" t="s">
        <v>3533</v>
      </c>
      <c r="Q568" t="s">
        <v>3036</v>
      </c>
      <c r="R568" t="s">
        <v>4977</v>
      </c>
      <c r="S568" t="s">
        <v>4992</v>
      </c>
      <c r="T568" t="s">
        <v>4992</v>
      </c>
    </row>
    <row r="569" spans="1:20" x14ac:dyDescent="0.25">
      <c r="A569" t="s">
        <v>1616</v>
      </c>
      <c r="B569" t="s">
        <v>1617</v>
      </c>
      <c r="C569" s="1">
        <v>46035.936539351853</v>
      </c>
      <c r="D569">
        <v>883.1</v>
      </c>
      <c r="E569" t="s">
        <v>19</v>
      </c>
      <c r="F569" t="s">
        <v>20</v>
      </c>
      <c r="G569" t="s">
        <v>30</v>
      </c>
      <c r="H569" t="s">
        <v>1618</v>
      </c>
      <c r="I569" t="s">
        <v>3704</v>
      </c>
      <c r="J569" t="s">
        <v>3034</v>
      </c>
      <c r="K569" s="1">
        <v>46035.943483796298</v>
      </c>
      <c r="L569">
        <v>883.1</v>
      </c>
      <c r="M569">
        <v>26.28</v>
      </c>
      <c r="N569">
        <v>856.82</v>
      </c>
      <c r="O569" t="s">
        <v>19</v>
      </c>
      <c r="P569" t="s">
        <v>3535</v>
      </c>
      <c r="Q569" t="s">
        <v>3036</v>
      </c>
      <c r="R569" t="s">
        <v>4977</v>
      </c>
      <c r="S569" t="s">
        <v>4992</v>
      </c>
      <c r="T569" t="s">
        <v>4992</v>
      </c>
    </row>
    <row r="570" spans="1:20" x14ac:dyDescent="0.25">
      <c r="A570" t="s">
        <v>1619</v>
      </c>
      <c r="B570" t="s">
        <v>1620</v>
      </c>
      <c r="C570" s="1">
        <v>46037.015173611115</v>
      </c>
      <c r="D570">
        <v>2283.86</v>
      </c>
      <c r="E570" t="s">
        <v>25</v>
      </c>
      <c r="F570" t="s">
        <v>20</v>
      </c>
      <c r="G570" t="s">
        <v>21</v>
      </c>
      <c r="H570" t="s">
        <v>1621</v>
      </c>
      <c r="I570" t="s">
        <v>3705</v>
      </c>
      <c r="J570" t="s">
        <v>3034</v>
      </c>
      <c r="K570" s="1">
        <v>46037.022118055553</v>
      </c>
      <c r="L570">
        <v>2283.86</v>
      </c>
      <c r="M570">
        <v>66.53</v>
      </c>
      <c r="N570">
        <v>2217.33</v>
      </c>
      <c r="O570" t="s">
        <v>25</v>
      </c>
      <c r="P570" t="s">
        <v>3492</v>
      </c>
      <c r="Q570" t="s">
        <v>3036</v>
      </c>
      <c r="R570" t="s">
        <v>4977</v>
      </c>
      <c r="S570" t="s">
        <v>4992</v>
      </c>
      <c r="T570" t="s">
        <v>4992</v>
      </c>
    </row>
    <row r="571" spans="1:20" x14ac:dyDescent="0.25">
      <c r="A571" t="s">
        <v>1622</v>
      </c>
      <c r="B571" t="s">
        <v>1623</v>
      </c>
      <c r="C571" s="1">
        <v>46024.107430555552</v>
      </c>
      <c r="D571">
        <v>962.37</v>
      </c>
      <c r="E571" t="s">
        <v>25</v>
      </c>
      <c r="F571" t="s">
        <v>20</v>
      </c>
      <c r="G571" t="s">
        <v>26</v>
      </c>
      <c r="H571" t="s">
        <v>1624</v>
      </c>
      <c r="I571" t="s">
        <v>3706</v>
      </c>
      <c r="J571" t="s">
        <v>3034</v>
      </c>
      <c r="K571" s="1">
        <v>46024.114374999997</v>
      </c>
      <c r="L571">
        <v>962.37</v>
      </c>
      <c r="M571">
        <v>28.21</v>
      </c>
      <c r="N571">
        <v>934.16</v>
      </c>
      <c r="O571" t="s">
        <v>25</v>
      </c>
      <c r="P571" t="s">
        <v>3494</v>
      </c>
      <c r="Q571" t="s">
        <v>3036</v>
      </c>
      <c r="R571" t="s">
        <v>4977</v>
      </c>
      <c r="S571" t="s">
        <v>4992</v>
      </c>
      <c r="T571" t="s">
        <v>4992</v>
      </c>
    </row>
    <row r="572" spans="1:20" x14ac:dyDescent="0.25">
      <c r="A572" t="s">
        <v>1625</v>
      </c>
      <c r="B572" t="s">
        <v>1626</v>
      </c>
      <c r="C572" s="1">
        <v>46025.202893518515</v>
      </c>
      <c r="D572">
        <v>1620.21</v>
      </c>
      <c r="E572" t="s">
        <v>25</v>
      </c>
      <c r="F572" t="s">
        <v>20</v>
      </c>
      <c r="G572" t="s">
        <v>30</v>
      </c>
      <c r="H572" t="s">
        <v>1627</v>
      </c>
      <c r="I572" t="s">
        <v>3707</v>
      </c>
      <c r="J572" t="s">
        <v>3034</v>
      </c>
      <c r="K572" s="1">
        <v>46025.209837962961</v>
      </c>
      <c r="L572">
        <v>1620.21</v>
      </c>
      <c r="M572">
        <v>47.29</v>
      </c>
      <c r="N572">
        <v>1572.92</v>
      </c>
      <c r="O572" t="s">
        <v>25</v>
      </c>
      <c r="P572" t="s">
        <v>3468</v>
      </c>
      <c r="Q572" t="s">
        <v>3036</v>
      </c>
      <c r="R572" t="s">
        <v>4977</v>
      </c>
      <c r="S572" t="s">
        <v>4992</v>
      </c>
      <c r="T572" t="s">
        <v>4992</v>
      </c>
    </row>
    <row r="573" spans="1:20" x14ac:dyDescent="0.25">
      <c r="A573" t="s">
        <v>1628</v>
      </c>
      <c r="B573" t="s">
        <v>1629</v>
      </c>
      <c r="C573" s="1">
        <v>46025.268460648149</v>
      </c>
      <c r="D573">
        <v>876.95</v>
      </c>
      <c r="E573" t="s">
        <v>25</v>
      </c>
      <c r="F573" t="s">
        <v>20</v>
      </c>
      <c r="G573" t="s">
        <v>21</v>
      </c>
      <c r="H573" t="s">
        <v>1630</v>
      </c>
      <c r="I573" t="s">
        <v>3708</v>
      </c>
      <c r="J573" t="s">
        <v>3034</v>
      </c>
      <c r="K573" s="1">
        <v>46025.275405092594</v>
      </c>
      <c r="L573">
        <v>876.95</v>
      </c>
      <c r="M573">
        <v>25.73</v>
      </c>
      <c r="N573">
        <v>851.22</v>
      </c>
      <c r="O573" t="s">
        <v>25</v>
      </c>
      <c r="P573" t="s">
        <v>3470</v>
      </c>
      <c r="Q573" t="s">
        <v>3036</v>
      </c>
      <c r="R573" t="s">
        <v>4977</v>
      </c>
      <c r="S573" t="s">
        <v>4992</v>
      </c>
      <c r="T573" t="s">
        <v>4992</v>
      </c>
    </row>
    <row r="574" spans="1:20" x14ac:dyDescent="0.25">
      <c r="A574" t="s">
        <v>1631</v>
      </c>
      <c r="B574" t="s">
        <v>1632</v>
      </c>
      <c r="C574" s="1">
        <v>46026.39162037037</v>
      </c>
      <c r="D574">
        <v>1158.08</v>
      </c>
      <c r="E574" t="s">
        <v>25</v>
      </c>
      <c r="F574" t="s">
        <v>20</v>
      </c>
      <c r="G574" t="s">
        <v>26</v>
      </c>
      <c r="H574" t="s">
        <v>1633</v>
      </c>
      <c r="I574" t="s">
        <v>3709</v>
      </c>
      <c r="J574" t="s">
        <v>3034</v>
      </c>
      <c r="K574" s="1">
        <v>46026.398564814815</v>
      </c>
      <c r="L574">
        <v>1158.08</v>
      </c>
      <c r="M574">
        <v>33.880000000000003</v>
      </c>
      <c r="N574">
        <v>1124.2</v>
      </c>
      <c r="O574" t="s">
        <v>25</v>
      </c>
      <c r="P574" t="s">
        <v>3472</v>
      </c>
      <c r="Q574" t="s">
        <v>3036</v>
      </c>
      <c r="R574" t="s">
        <v>4977</v>
      </c>
      <c r="S574" t="s">
        <v>4992</v>
      </c>
      <c r="T574" t="s">
        <v>4992</v>
      </c>
    </row>
    <row r="575" spans="1:20" x14ac:dyDescent="0.25">
      <c r="A575" t="s">
        <v>1634</v>
      </c>
      <c r="B575" t="s">
        <v>1635</v>
      </c>
      <c r="C575" s="1">
        <v>46027.47760416667</v>
      </c>
      <c r="D575">
        <v>2204.52</v>
      </c>
      <c r="E575" t="s">
        <v>25</v>
      </c>
      <c r="F575" t="s">
        <v>20</v>
      </c>
      <c r="G575" t="s">
        <v>30</v>
      </c>
      <c r="H575" t="s">
        <v>1636</v>
      </c>
      <c r="I575" t="s">
        <v>3710</v>
      </c>
      <c r="J575" t="s">
        <v>3034</v>
      </c>
      <c r="K575" s="1">
        <v>46027.484548611108</v>
      </c>
      <c r="L575">
        <v>2204.52</v>
      </c>
      <c r="M575">
        <v>64.23</v>
      </c>
      <c r="N575">
        <v>2140.29</v>
      </c>
      <c r="O575" t="s">
        <v>25</v>
      </c>
      <c r="P575" t="s">
        <v>3474</v>
      </c>
      <c r="Q575" t="s">
        <v>3036</v>
      </c>
      <c r="R575" t="s">
        <v>4977</v>
      </c>
      <c r="S575" t="s">
        <v>4992</v>
      </c>
      <c r="T575" t="s">
        <v>4992</v>
      </c>
    </row>
    <row r="576" spans="1:20" x14ac:dyDescent="0.25">
      <c r="A576" t="s">
        <v>1637</v>
      </c>
      <c r="B576" t="s">
        <v>1638</v>
      </c>
      <c r="C576" s="1">
        <v>46028.577314814815</v>
      </c>
      <c r="D576">
        <v>2263.1799999999998</v>
      </c>
      <c r="E576" t="s">
        <v>25</v>
      </c>
      <c r="F576" t="s">
        <v>20</v>
      </c>
      <c r="G576" t="s">
        <v>21</v>
      </c>
      <c r="H576" t="s">
        <v>1639</v>
      </c>
      <c r="I576" t="s">
        <v>3711</v>
      </c>
      <c r="J576" t="s">
        <v>3034</v>
      </c>
      <c r="K576" s="1">
        <v>46028.58425925926</v>
      </c>
      <c r="L576">
        <v>2263.1799999999998</v>
      </c>
      <c r="M576">
        <v>65.930000000000007</v>
      </c>
      <c r="N576">
        <v>2197.25</v>
      </c>
      <c r="O576" t="s">
        <v>25</v>
      </c>
      <c r="P576" t="s">
        <v>3476</v>
      </c>
      <c r="Q576" t="s">
        <v>3036</v>
      </c>
      <c r="R576" t="s">
        <v>4977</v>
      </c>
      <c r="S576" t="s">
        <v>4992</v>
      </c>
      <c r="T576" t="s">
        <v>4992</v>
      </c>
    </row>
    <row r="577" spans="1:20" x14ac:dyDescent="0.25">
      <c r="A577" t="s">
        <v>1640</v>
      </c>
      <c r="B577" t="s">
        <v>1641</v>
      </c>
      <c r="C577" s="1">
        <v>46029.655949074076</v>
      </c>
      <c r="D577">
        <v>2388.0700000000002</v>
      </c>
      <c r="E577" t="s">
        <v>25</v>
      </c>
      <c r="F577" t="s">
        <v>20</v>
      </c>
      <c r="G577" t="s">
        <v>26</v>
      </c>
      <c r="H577" t="s">
        <v>1642</v>
      </c>
      <c r="I577" t="s">
        <v>3712</v>
      </c>
      <c r="J577" t="s">
        <v>3034</v>
      </c>
      <c r="K577" s="1">
        <v>46029.662893518522</v>
      </c>
      <c r="L577">
        <v>2388.0700000000002</v>
      </c>
      <c r="M577">
        <v>69.55</v>
      </c>
      <c r="N577">
        <v>2318.52</v>
      </c>
      <c r="O577" t="s">
        <v>25</v>
      </c>
      <c r="P577" t="s">
        <v>3478</v>
      </c>
      <c r="Q577" t="s">
        <v>3036</v>
      </c>
      <c r="R577" t="s">
        <v>4977</v>
      </c>
      <c r="S577" t="s">
        <v>4992</v>
      </c>
      <c r="T577" t="s">
        <v>4992</v>
      </c>
    </row>
    <row r="578" spans="1:20" x14ac:dyDescent="0.25">
      <c r="A578" t="s">
        <v>1643</v>
      </c>
      <c r="B578" t="s">
        <v>1644</v>
      </c>
      <c r="C578" s="1">
        <v>46030.725138888891</v>
      </c>
      <c r="D578">
        <v>2284.62</v>
      </c>
      <c r="E578" t="s">
        <v>52</v>
      </c>
      <c r="F578" t="s">
        <v>20</v>
      </c>
      <c r="G578" t="s">
        <v>30</v>
      </c>
      <c r="H578" t="s">
        <v>1645</v>
      </c>
      <c r="I578" t="s">
        <v>3713</v>
      </c>
      <c r="J578" t="s">
        <v>3034</v>
      </c>
      <c r="K578" s="1">
        <v>46030.732083333336</v>
      </c>
      <c r="L578">
        <v>2284.62</v>
      </c>
      <c r="M578">
        <v>66.55</v>
      </c>
      <c r="N578">
        <v>2218.0700000000002</v>
      </c>
      <c r="O578" t="s">
        <v>52</v>
      </c>
      <c r="P578" t="s">
        <v>3545</v>
      </c>
      <c r="Q578" t="s">
        <v>3036</v>
      </c>
      <c r="R578" t="s">
        <v>4977</v>
      </c>
      <c r="S578" t="s">
        <v>4992</v>
      </c>
      <c r="T578" t="s">
        <v>4992</v>
      </c>
    </row>
    <row r="579" spans="1:20" x14ac:dyDescent="0.25">
      <c r="A579" t="s">
        <v>1646</v>
      </c>
      <c r="B579" t="s">
        <v>1647</v>
      </c>
      <c r="C579" s="1">
        <v>46031.852662037039</v>
      </c>
      <c r="D579">
        <v>1321.87</v>
      </c>
      <c r="E579" t="s">
        <v>19</v>
      </c>
      <c r="F579" t="s">
        <v>20</v>
      </c>
      <c r="G579" t="s">
        <v>21</v>
      </c>
      <c r="H579" t="s">
        <v>1648</v>
      </c>
      <c r="I579" t="s">
        <v>3714</v>
      </c>
      <c r="J579" t="s">
        <v>3034</v>
      </c>
      <c r="K579" s="1">
        <v>46031.859606481485</v>
      </c>
      <c r="L579">
        <v>1321.87</v>
      </c>
      <c r="M579">
        <v>38.630000000000003</v>
      </c>
      <c r="N579">
        <v>1283.24</v>
      </c>
      <c r="O579" t="s">
        <v>19</v>
      </c>
      <c r="P579" t="s">
        <v>3549</v>
      </c>
      <c r="Q579" t="s">
        <v>3036</v>
      </c>
      <c r="R579" t="s">
        <v>4977</v>
      </c>
      <c r="S579" t="s">
        <v>4992</v>
      </c>
      <c r="T579" t="s">
        <v>4992</v>
      </c>
    </row>
    <row r="580" spans="1:20" x14ac:dyDescent="0.25">
      <c r="A580" t="s">
        <v>1649</v>
      </c>
      <c r="B580" t="s">
        <v>1650</v>
      </c>
      <c r="C580" s="1">
        <v>46032.939085648148</v>
      </c>
      <c r="D580">
        <v>1256.48</v>
      </c>
      <c r="E580" t="s">
        <v>25</v>
      </c>
      <c r="F580" t="s">
        <v>20</v>
      </c>
      <c r="G580" t="s">
        <v>26</v>
      </c>
      <c r="H580" t="s">
        <v>1651</v>
      </c>
      <c r="I580" t="s">
        <v>3715</v>
      </c>
      <c r="J580" t="s">
        <v>3034</v>
      </c>
      <c r="K580" s="1">
        <v>46032.946030092593</v>
      </c>
      <c r="L580">
        <v>1256.48</v>
      </c>
      <c r="M580">
        <v>36.74</v>
      </c>
      <c r="N580">
        <v>1219.74</v>
      </c>
      <c r="O580" t="s">
        <v>25</v>
      </c>
      <c r="P580" t="s">
        <v>3530</v>
      </c>
      <c r="Q580" t="s">
        <v>3036</v>
      </c>
      <c r="R580" t="s">
        <v>4977</v>
      </c>
      <c r="S580" t="s">
        <v>4992</v>
      </c>
      <c r="T580" t="s">
        <v>4992</v>
      </c>
    </row>
    <row r="581" spans="1:20" x14ac:dyDescent="0.25">
      <c r="A581" t="s">
        <v>1652</v>
      </c>
      <c r="B581" t="s">
        <v>1653</v>
      </c>
      <c r="C581" s="1">
        <v>46034.013854166667</v>
      </c>
      <c r="D581">
        <v>1530.72</v>
      </c>
      <c r="E581" t="s">
        <v>25</v>
      </c>
      <c r="F581" t="s">
        <v>20</v>
      </c>
      <c r="G581" t="s">
        <v>30</v>
      </c>
      <c r="H581" t="s">
        <v>1654</v>
      </c>
      <c r="I581" t="s">
        <v>3716</v>
      </c>
      <c r="J581" t="s">
        <v>3034</v>
      </c>
      <c r="K581" s="1">
        <v>46034.020798611113</v>
      </c>
      <c r="L581">
        <v>1530.72</v>
      </c>
      <c r="M581">
        <v>44.69</v>
      </c>
      <c r="N581">
        <v>1486.03</v>
      </c>
      <c r="O581" t="s">
        <v>25</v>
      </c>
      <c r="P581" t="s">
        <v>3510</v>
      </c>
      <c r="Q581" t="s">
        <v>3036</v>
      </c>
      <c r="R581" t="s">
        <v>4977</v>
      </c>
      <c r="S581" t="s">
        <v>4992</v>
      </c>
      <c r="T581" t="s">
        <v>4992</v>
      </c>
    </row>
    <row r="582" spans="1:20" x14ac:dyDescent="0.25">
      <c r="A582" t="s">
        <v>1655</v>
      </c>
      <c r="B582" t="s">
        <v>1656</v>
      </c>
      <c r="C582" s="1">
        <v>46035.109201388892</v>
      </c>
      <c r="D582">
        <v>805.35</v>
      </c>
      <c r="E582" t="s">
        <v>25</v>
      </c>
      <c r="F582" t="s">
        <v>20</v>
      </c>
      <c r="G582" t="s">
        <v>21</v>
      </c>
      <c r="H582" t="s">
        <v>1657</v>
      </c>
      <c r="I582" t="s">
        <v>3717</v>
      </c>
      <c r="J582" t="s">
        <v>3034</v>
      </c>
      <c r="K582" s="1">
        <v>46035.11614583333</v>
      </c>
      <c r="L582">
        <v>805.35</v>
      </c>
      <c r="M582">
        <v>23.66</v>
      </c>
      <c r="N582">
        <v>781.69</v>
      </c>
      <c r="O582" t="s">
        <v>25</v>
      </c>
      <c r="P582" t="s">
        <v>3553</v>
      </c>
      <c r="Q582" t="s">
        <v>3036</v>
      </c>
      <c r="R582" t="s">
        <v>4977</v>
      </c>
      <c r="S582" t="s">
        <v>4992</v>
      </c>
      <c r="T582" t="s">
        <v>4992</v>
      </c>
    </row>
    <row r="583" spans="1:20" x14ac:dyDescent="0.25">
      <c r="A583" t="s">
        <v>1658</v>
      </c>
      <c r="B583" t="s">
        <v>1659</v>
      </c>
      <c r="C583" s="1">
        <v>46036.202650462961</v>
      </c>
      <c r="D583">
        <v>2441.1799999999998</v>
      </c>
      <c r="E583" t="s">
        <v>25</v>
      </c>
      <c r="F583" t="s">
        <v>20</v>
      </c>
      <c r="G583" t="s">
        <v>26</v>
      </c>
      <c r="H583" t="s">
        <v>1660</v>
      </c>
      <c r="I583" t="s">
        <v>3718</v>
      </c>
      <c r="J583" t="s">
        <v>3034</v>
      </c>
      <c r="K583" s="1">
        <v>46036.209594907406</v>
      </c>
      <c r="L583">
        <v>2441.1799999999998</v>
      </c>
      <c r="M583">
        <v>71.09</v>
      </c>
      <c r="N583">
        <v>2370.09</v>
      </c>
      <c r="O583" t="s">
        <v>25</v>
      </c>
      <c r="P583" t="s">
        <v>3719</v>
      </c>
      <c r="Q583" t="s">
        <v>3036</v>
      </c>
      <c r="R583" t="s">
        <v>4977</v>
      </c>
      <c r="S583" t="s">
        <v>4992</v>
      </c>
      <c r="T583" t="s">
        <v>4992</v>
      </c>
    </row>
    <row r="584" spans="1:20" x14ac:dyDescent="0.25">
      <c r="A584" t="s">
        <v>1661</v>
      </c>
      <c r="B584" t="s">
        <v>1662</v>
      </c>
      <c r="C584" s="1">
        <v>46036.280613425923</v>
      </c>
      <c r="D584">
        <v>1171.99</v>
      </c>
      <c r="E584" t="s">
        <v>25</v>
      </c>
      <c r="F584" t="s">
        <v>20</v>
      </c>
      <c r="G584" t="s">
        <v>30</v>
      </c>
      <c r="H584" t="s">
        <v>1663</v>
      </c>
      <c r="I584" t="s">
        <v>3720</v>
      </c>
      <c r="J584" t="s">
        <v>3034</v>
      </c>
      <c r="K584" s="1">
        <v>46036.287557870368</v>
      </c>
      <c r="L584">
        <v>1171.99</v>
      </c>
      <c r="M584">
        <v>34.29</v>
      </c>
      <c r="N584">
        <v>1137.7</v>
      </c>
      <c r="O584" t="s">
        <v>25</v>
      </c>
      <c r="P584" t="s">
        <v>3492</v>
      </c>
      <c r="Q584" t="s">
        <v>3036</v>
      </c>
      <c r="R584" t="s">
        <v>4977</v>
      </c>
      <c r="S584" t="s">
        <v>4992</v>
      </c>
      <c r="T584" t="s">
        <v>4992</v>
      </c>
    </row>
    <row r="585" spans="1:20" x14ac:dyDescent="0.25">
      <c r="A585" t="s">
        <v>1664</v>
      </c>
      <c r="B585" t="s">
        <v>1665</v>
      </c>
      <c r="C585" s="1">
        <v>46023.402592592596</v>
      </c>
      <c r="D585">
        <v>1358.04</v>
      </c>
      <c r="E585" t="s">
        <v>25</v>
      </c>
      <c r="F585" t="s">
        <v>20</v>
      </c>
      <c r="G585" t="s">
        <v>21</v>
      </c>
      <c r="H585" t="s">
        <v>1666</v>
      </c>
      <c r="I585" t="s">
        <v>3721</v>
      </c>
      <c r="J585" t="s">
        <v>3034</v>
      </c>
      <c r="K585" s="1">
        <v>46023.409537037034</v>
      </c>
      <c r="L585">
        <v>1358.04</v>
      </c>
      <c r="M585">
        <v>39.68</v>
      </c>
      <c r="N585">
        <v>1318.36</v>
      </c>
      <c r="O585" t="s">
        <v>25</v>
      </c>
      <c r="P585" t="s">
        <v>3722</v>
      </c>
      <c r="Q585" t="s">
        <v>3036</v>
      </c>
      <c r="R585" t="s">
        <v>4977</v>
      </c>
      <c r="S585" t="s">
        <v>4992</v>
      </c>
      <c r="T585" t="s">
        <v>4992</v>
      </c>
    </row>
    <row r="586" spans="1:20" x14ac:dyDescent="0.25">
      <c r="A586" t="s">
        <v>1667</v>
      </c>
      <c r="B586" t="s">
        <v>1668</v>
      </c>
      <c r="C586" s="1">
        <v>46024.46707175926</v>
      </c>
      <c r="D586">
        <v>703.32</v>
      </c>
      <c r="E586" t="s">
        <v>25</v>
      </c>
      <c r="F586" t="s">
        <v>20</v>
      </c>
      <c r="G586" t="s">
        <v>26</v>
      </c>
      <c r="H586" t="s">
        <v>1669</v>
      </c>
      <c r="I586" t="s">
        <v>3723</v>
      </c>
      <c r="J586" t="s">
        <v>3034</v>
      </c>
      <c r="K586" s="1">
        <v>46024.474016203705</v>
      </c>
      <c r="L586">
        <v>703.32</v>
      </c>
      <c r="M586">
        <v>20.7</v>
      </c>
      <c r="N586">
        <v>682.62</v>
      </c>
      <c r="O586" t="s">
        <v>25</v>
      </c>
      <c r="P586" t="s">
        <v>3468</v>
      </c>
      <c r="Q586" t="s">
        <v>3036</v>
      </c>
      <c r="R586" t="s">
        <v>4977</v>
      </c>
      <c r="S586" t="s">
        <v>4992</v>
      </c>
      <c r="T586" t="s">
        <v>4992</v>
      </c>
    </row>
    <row r="587" spans="1:20" x14ac:dyDescent="0.25">
      <c r="A587" t="s">
        <v>1670</v>
      </c>
      <c r="B587" t="s">
        <v>1671</v>
      </c>
      <c r="C587" s="1">
        <v>46025.58803240741</v>
      </c>
      <c r="D587">
        <v>1849.68</v>
      </c>
      <c r="E587" t="s">
        <v>25</v>
      </c>
      <c r="F587" t="s">
        <v>20</v>
      </c>
      <c r="G587" t="s">
        <v>30</v>
      </c>
      <c r="H587" t="s">
        <v>1672</v>
      </c>
      <c r="I587" t="s">
        <v>3724</v>
      </c>
      <c r="J587" t="s">
        <v>3034</v>
      </c>
      <c r="K587" s="1">
        <v>46025.594976851855</v>
      </c>
      <c r="L587">
        <v>1849.68</v>
      </c>
      <c r="M587">
        <v>53.94</v>
      </c>
      <c r="N587">
        <v>1795.74</v>
      </c>
      <c r="O587" t="s">
        <v>25</v>
      </c>
      <c r="P587" t="s">
        <v>3470</v>
      </c>
      <c r="Q587" t="s">
        <v>3036</v>
      </c>
      <c r="R587" t="s">
        <v>4977</v>
      </c>
      <c r="S587" t="s">
        <v>4992</v>
      </c>
      <c r="T587" t="s">
        <v>4992</v>
      </c>
    </row>
    <row r="588" spans="1:20" x14ac:dyDescent="0.25">
      <c r="A588" t="s">
        <v>1673</v>
      </c>
      <c r="B588" t="s">
        <v>1674</v>
      </c>
      <c r="C588" s="1">
        <v>46026.6408912037</v>
      </c>
      <c r="D588">
        <v>1265.25</v>
      </c>
      <c r="E588" t="s">
        <v>52</v>
      </c>
      <c r="F588" t="s">
        <v>20</v>
      </c>
      <c r="G588" t="s">
        <v>21</v>
      </c>
      <c r="H588" t="s">
        <v>1675</v>
      </c>
      <c r="I588" t="s">
        <v>3725</v>
      </c>
      <c r="J588" t="s">
        <v>3034</v>
      </c>
      <c r="K588" s="1">
        <v>46026.647835648146</v>
      </c>
      <c r="L588">
        <v>1265.25</v>
      </c>
      <c r="M588">
        <v>36.99</v>
      </c>
      <c r="N588">
        <v>1228.26</v>
      </c>
      <c r="O588" t="s">
        <v>52</v>
      </c>
      <c r="P588" t="s">
        <v>3561</v>
      </c>
      <c r="Q588" t="s">
        <v>3036</v>
      </c>
      <c r="R588" t="s">
        <v>4977</v>
      </c>
      <c r="S588" t="s">
        <v>4992</v>
      </c>
      <c r="T588" t="s">
        <v>4992</v>
      </c>
    </row>
    <row r="589" spans="1:20" x14ac:dyDescent="0.25">
      <c r="A589" t="s">
        <v>1676</v>
      </c>
      <c r="B589" t="s">
        <v>1677</v>
      </c>
      <c r="C589" s="1">
        <v>46027.748622685183</v>
      </c>
      <c r="D589">
        <v>1121.67</v>
      </c>
      <c r="E589" t="s">
        <v>19</v>
      </c>
      <c r="F589" t="s">
        <v>20</v>
      </c>
      <c r="G589" t="s">
        <v>26</v>
      </c>
      <c r="H589" t="s">
        <v>1678</v>
      </c>
      <c r="I589" t="s">
        <v>3726</v>
      </c>
      <c r="J589" t="s">
        <v>3034</v>
      </c>
      <c r="K589" s="1">
        <v>46027.755567129629</v>
      </c>
      <c r="L589">
        <v>1121.67</v>
      </c>
      <c r="M589">
        <v>32.83</v>
      </c>
      <c r="N589">
        <v>1088.8399999999999</v>
      </c>
      <c r="O589" t="s">
        <v>19</v>
      </c>
      <c r="P589" t="s">
        <v>3563</v>
      </c>
      <c r="Q589" t="s">
        <v>3036</v>
      </c>
      <c r="R589" t="s">
        <v>4977</v>
      </c>
      <c r="S589" t="s">
        <v>4992</v>
      </c>
      <c r="T589" t="s">
        <v>4992</v>
      </c>
    </row>
    <row r="590" spans="1:20" x14ac:dyDescent="0.25">
      <c r="A590" t="s">
        <v>1679</v>
      </c>
      <c r="B590" t="s">
        <v>1680</v>
      </c>
      <c r="C590" s="1">
        <v>46028.82440972222</v>
      </c>
      <c r="D590">
        <v>2005.44</v>
      </c>
      <c r="E590" t="s">
        <v>25</v>
      </c>
      <c r="F590" t="s">
        <v>20</v>
      </c>
      <c r="G590" t="s">
        <v>30</v>
      </c>
      <c r="H590" t="s">
        <v>1681</v>
      </c>
      <c r="I590" t="s">
        <v>3727</v>
      </c>
      <c r="J590" t="s">
        <v>3034</v>
      </c>
      <c r="K590" s="1">
        <v>46028.831354166665</v>
      </c>
      <c r="L590">
        <v>2005.44</v>
      </c>
      <c r="M590">
        <v>58.46</v>
      </c>
      <c r="N590">
        <v>1946.98</v>
      </c>
      <c r="O590" t="s">
        <v>25</v>
      </c>
      <c r="P590" t="s">
        <v>3476</v>
      </c>
      <c r="Q590" t="s">
        <v>3036</v>
      </c>
      <c r="R590" t="s">
        <v>4977</v>
      </c>
      <c r="S590" t="s">
        <v>4992</v>
      </c>
      <c r="T590" t="s">
        <v>4992</v>
      </c>
    </row>
    <row r="591" spans="1:20" x14ac:dyDescent="0.25">
      <c r="A591" t="s">
        <v>1682</v>
      </c>
      <c r="B591" t="s">
        <v>1683</v>
      </c>
      <c r="C591" s="1">
        <v>46029.949282407404</v>
      </c>
      <c r="D591">
        <v>2104.71</v>
      </c>
      <c r="E591" t="s">
        <v>25</v>
      </c>
      <c r="F591" t="s">
        <v>20</v>
      </c>
      <c r="G591" t="s">
        <v>21</v>
      </c>
      <c r="H591" t="s">
        <v>1684</v>
      </c>
      <c r="I591" t="s">
        <v>3728</v>
      </c>
      <c r="J591" t="s">
        <v>3034</v>
      </c>
      <c r="K591" s="1">
        <v>46029.956226851849</v>
      </c>
      <c r="L591">
        <v>2105.8200000000002</v>
      </c>
      <c r="M591">
        <v>61.37</v>
      </c>
      <c r="N591">
        <v>2044.45</v>
      </c>
      <c r="O591" t="s">
        <v>25</v>
      </c>
      <c r="P591" t="s">
        <v>3478</v>
      </c>
      <c r="Q591" t="s">
        <v>3036</v>
      </c>
      <c r="R591" t="s">
        <v>4977</v>
      </c>
      <c r="S591" t="s">
        <v>4991</v>
      </c>
      <c r="T591" t="s">
        <v>4992</v>
      </c>
    </row>
    <row r="592" spans="1:20" x14ac:dyDescent="0.25">
      <c r="A592" t="s">
        <v>1685</v>
      </c>
      <c r="B592" t="s">
        <v>1686</v>
      </c>
      <c r="C592" s="1">
        <v>46031.019918981481</v>
      </c>
      <c r="D592">
        <v>1397.38</v>
      </c>
      <c r="E592" t="s">
        <v>25</v>
      </c>
      <c r="F592" t="s">
        <v>20</v>
      </c>
      <c r="G592" t="s">
        <v>26</v>
      </c>
      <c r="H592" t="s">
        <v>1687</v>
      </c>
      <c r="I592" t="s">
        <v>3729</v>
      </c>
      <c r="J592" t="s">
        <v>3034</v>
      </c>
      <c r="K592" s="1">
        <v>46031.026863425926</v>
      </c>
      <c r="L592">
        <v>1397.38</v>
      </c>
      <c r="M592">
        <v>40.82</v>
      </c>
      <c r="N592">
        <v>1356.56</v>
      </c>
      <c r="O592" t="s">
        <v>25</v>
      </c>
      <c r="P592" t="s">
        <v>3730</v>
      </c>
      <c r="Q592" t="s">
        <v>3036</v>
      </c>
      <c r="R592" t="s">
        <v>4977</v>
      </c>
      <c r="S592" t="s">
        <v>4992</v>
      </c>
      <c r="T592" t="s">
        <v>4992</v>
      </c>
    </row>
    <row r="593" spans="1:20" x14ac:dyDescent="0.25">
      <c r="A593" t="s">
        <v>1688</v>
      </c>
      <c r="B593" t="s">
        <v>1689</v>
      </c>
      <c r="C593" s="1">
        <v>46032.133414351854</v>
      </c>
      <c r="D593">
        <v>2419.94</v>
      </c>
      <c r="E593" t="s">
        <v>25</v>
      </c>
      <c r="F593" t="s">
        <v>20</v>
      </c>
      <c r="G593" t="s">
        <v>30</v>
      </c>
      <c r="H593" t="s">
        <v>1690</v>
      </c>
      <c r="I593" t="s">
        <v>3731</v>
      </c>
      <c r="J593" t="s">
        <v>3034</v>
      </c>
      <c r="K593" s="1">
        <v>46032.1403587963</v>
      </c>
      <c r="L593">
        <v>2419.94</v>
      </c>
      <c r="M593">
        <v>70.48</v>
      </c>
      <c r="N593">
        <v>2349.46</v>
      </c>
      <c r="O593" t="s">
        <v>25</v>
      </c>
      <c r="P593" t="s">
        <v>3482</v>
      </c>
      <c r="Q593" t="s">
        <v>3036</v>
      </c>
      <c r="R593" t="s">
        <v>4977</v>
      </c>
      <c r="S593" t="s">
        <v>4992</v>
      </c>
      <c r="T593" t="s">
        <v>4992</v>
      </c>
    </row>
    <row r="594" spans="1:20" x14ac:dyDescent="0.25">
      <c r="A594" t="s">
        <v>1691</v>
      </c>
      <c r="B594" t="s">
        <v>1692</v>
      </c>
      <c r="C594" s="1">
        <v>46033.204583333332</v>
      </c>
      <c r="D594">
        <v>1679.42</v>
      </c>
      <c r="E594" t="s">
        <v>25</v>
      </c>
      <c r="F594" t="s">
        <v>20</v>
      </c>
      <c r="G594" t="s">
        <v>21</v>
      </c>
      <c r="H594" t="s">
        <v>1693</v>
      </c>
      <c r="I594" t="s">
        <v>3732</v>
      </c>
      <c r="J594" t="s">
        <v>3034</v>
      </c>
      <c r="K594" s="1">
        <v>46033.211527777778</v>
      </c>
      <c r="L594">
        <v>1679.42</v>
      </c>
      <c r="M594">
        <v>49</v>
      </c>
      <c r="N594">
        <v>1630.42</v>
      </c>
      <c r="O594" t="s">
        <v>25</v>
      </c>
      <c r="P594" t="s">
        <v>3530</v>
      </c>
      <c r="Q594" t="s">
        <v>3036</v>
      </c>
      <c r="R594" t="s">
        <v>4977</v>
      </c>
      <c r="S594" t="s">
        <v>4992</v>
      </c>
      <c r="T594" t="s">
        <v>4992</v>
      </c>
    </row>
    <row r="595" spans="1:20" x14ac:dyDescent="0.25">
      <c r="A595" t="s">
        <v>1694</v>
      </c>
      <c r="B595" t="s">
        <v>1695</v>
      </c>
      <c r="C595" s="1">
        <v>46033.322500000002</v>
      </c>
      <c r="D595">
        <v>331.94</v>
      </c>
      <c r="E595" t="s">
        <v>25</v>
      </c>
      <c r="F595" t="s">
        <v>20</v>
      </c>
      <c r="G595" t="s">
        <v>26</v>
      </c>
      <c r="H595" t="s">
        <v>1696</v>
      </c>
      <c r="I595" t="s">
        <v>3733</v>
      </c>
      <c r="J595" t="s">
        <v>3034</v>
      </c>
      <c r="K595" s="1">
        <v>46033.329444444447</v>
      </c>
      <c r="L595">
        <v>331.94</v>
      </c>
      <c r="M595">
        <v>9.93</v>
      </c>
      <c r="N595">
        <v>322.01</v>
      </c>
      <c r="O595" t="s">
        <v>25</v>
      </c>
      <c r="P595" t="s">
        <v>3510</v>
      </c>
      <c r="Q595" t="s">
        <v>3036</v>
      </c>
      <c r="R595" t="s">
        <v>4977</v>
      </c>
      <c r="S595" t="s">
        <v>4992</v>
      </c>
      <c r="T595" t="s">
        <v>4992</v>
      </c>
    </row>
    <row r="596" spans="1:20" x14ac:dyDescent="0.25">
      <c r="A596" t="s">
        <v>1697</v>
      </c>
      <c r="B596" t="s">
        <v>1698</v>
      </c>
      <c r="C596" s="1">
        <v>46034.395208333335</v>
      </c>
      <c r="D596">
        <v>289.45999999999998</v>
      </c>
      <c r="E596" t="s">
        <v>25</v>
      </c>
      <c r="F596" t="s">
        <v>20</v>
      </c>
      <c r="G596" t="s">
        <v>30</v>
      </c>
      <c r="H596" t="s">
        <v>1699</v>
      </c>
      <c r="I596" t="s">
        <v>3734</v>
      </c>
      <c r="J596" t="s">
        <v>3034</v>
      </c>
      <c r="K596" s="1">
        <v>46034.40215277778</v>
      </c>
      <c r="L596">
        <v>289.45999999999998</v>
      </c>
      <c r="M596">
        <v>8.69</v>
      </c>
      <c r="N596">
        <v>280.77</v>
      </c>
      <c r="O596" t="s">
        <v>25</v>
      </c>
      <c r="P596" t="s">
        <v>3553</v>
      </c>
      <c r="Q596" t="s">
        <v>3036</v>
      </c>
      <c r="R596" t="s">
        <v>4977</v>
      </c>
      <c r="S596" t="s">
        <v>4992</v>
      </c>
      <c r="T596" t="s">
        <v>4992</v>
      </c>
    </row>
    <row r="597" spans="1:20" x14ac:dyDescent="0.25">
      <c r="A597" t="s">
        <v>1700</v>
      </c>
      <c r="B597" t="s">
        <v>1701</v>
      </c>
      <c r="C597" s="1">
        <v>46035.49119212963</v>
      </c>
      <c r="D597">
        <v>2332.38</v>
      </c>
      <c r="E597" t="s">
        <v>25</v>
      </c>
      <c r="F597" t="s">
        <v>20</v>
      </c>
      <c r="G597" t="s">
        <v>21</v>
      </c>
      <c r="H597" t="s">
        <v>1702</v>
      </c>
      <c r="I597" t="s">
        <v>3735</v>
      </c>
      <c r="J597" t="s">
        <v>3034</v>
      </c>
      <c r="K597" s="1">
        <v>46035.498136574075</v>
      </c>
      <c r="L597">
        <v>2332.38</v>
      </c>
      <c r="M597">
        <v>67.94</v>
      </c>
      <c r="N597">
        <v>2264.44</v>
      </c>
      <c r="O597" t="s">
        <v>25</v>
      </c>
      <c r="P597" t="s">
        <v>3736</v>
      </c>
      <c r="Q597" t="s">
        <v>3036</v>
      </c>
      <c r="R597" t="s">
        <v>4977</v>
      </c>
      <c r="S597" t="s">
        <v>4992</v>
      </c>
      <c r="T597" t="s">
        <v>4992</v>
      </c>
    </row>
    <row r="598" spans="1:20" x14ac:dyDescent="0.25">
      <c r="A598" t="s">
        <v>1703</v>
      </c>
      <c r="B598" t="s">
        <v>1704</v>
      </c>
      <c r="C598" s="1">
        <v>46036.574918981481</v>
      </c>
      <c r="D598">
        <v>674.55</v>
      </c>
      <c r="E598" t="s">
        <v>52</v>
      </c>
      <c r="F598" t="s">
        <v>20</v>
      </c>
      <c r="G598" t="s">
        <v>26</v>
      </c>
      <c r="H598" t="s">
        <v>1705</v>
      </c>
      <c r="I598" t="s">
        <v>3737</v>
      </c>
      <c r="J598" t="s">
        <v>3034</v>
      </c>
      <c r="K598" s="1">
        <v>46036.581863425927</v>
      </c>
      <c r="L598">
        <v>674.55</v>
      </c>
      <c r="M598">
        <v>19.86</v>
      </c>
      <c r="N598">
        <v>654.69000000000005</v>
      </c>
      <c r="O598" t="s">
        <v>52</v>
      </c>
      <c r="P598" t="s">
        <v>3576</v>
      </c>
      <c r="Q598" t="s">
        <v>3036</v>
      </c>
      <c r="R598" t="s">
        <v>4977</v>
      </c>
      <c r="S598" t="s">
        <v>4992</v>
      </c>
      <c r="T598" t="s">
        <v>4992</v>
      </c>
    </row>
    <row r="599" spans="1:20" x14ac:dyDescent="0.25">
      <c r="A599" t="s">
        <v>1706</v>
      </c>
      <c r="B599" t="s">
        <v>1707</v>
      </c>
      <c r="C599" s="1">
        <v>46023.685416666667</v>
      </c>
      <c r="D599">
        <v>1393.3</v>
      </c>
      <c r="E599" t="s">
        <v>19</v>
      </c>
      <c r="F599" t="s">
        <v>20</v>
      </c>
      <c r="G599" t="s">
        <v>30</v>
      </c>
      <c r="H599" t="s">
        <v>1708</v>
      </c>
      <c r="I599" t="s">
        <v>3738</v>
      </c>
      <c r="J599" t="s">
        <v>3034</v>
      </c>
      <c r="K599" s="1">
        <v>46023.692361111112</v>
      </c>
      <c r="L599">
        <v>1393.3</v>
      </c>
      <c r="M599">
        <v>40.71</v>
      </c>
      <c r="N599">
        <v>1352.59</v>
      </c>
      <c r="O599" t="s">
        <v>19</v>
      </c>
      <c r="P599" t="s">
        <v>3466</v>
      </c>
      <c r="Q599" t="s">
        <v>3036</v>
      </c>
      <c r="R599" t="s">
        <v>4977</v>
      </c>
      <c r="S599" t="s">
        <v>4992</v>
      </c>
      <c r="T599" t="s">
        <v>4992</v>
      </c>
    </row>
    <row r="600" spans="1:20" x14ac:dyDescent="0.25">
      <c r="A600" t="s">
        <v>1709</v>
      </c>
      <c r="B600" t="s">
        <v>1710</v>
      </c>
      <c r="C600" s="1">
        <v>46024.746087962965</v>
      </c>
      <c r="D600">
        <v>1311</v>
      </c>
      <c r="E600" t="s">
        <v>25</v>
      </c>
      <c r="F600" t="s">
        <v>20</v>
      </c>
      <c r="G600" t="s">
        <v>21</v>
      </c>
      <c r="H600" t="s">
        <v>1711</v>
      </c>
      <c r="I600" t="s">
        <v>3739</v>
      </c>
      <c r="J600" t="s">
        <v>3034</v>
      </c>
      <c r="K600" s="1">
        <v>46024.753032407411</v>
      </c>
      <c r="L600">
        <v>1311</v>
      </c>
      <c r="M600">
        <v>38.32</v>
      </c>
      <c r="N600">
        <v>1272.68</v>
      </c>
      <c r="O600" t="s">
        <v>25</v>
      </c>
      <c r="P600" t="s">
        <v>3468</v>
      </c>
      <c r="Q600" t="s">
        <v>3036</v>
      </c>
      <c r="R600" t="s">
        <v>4977</v>
      </c>
      <c r="S600" t="s">
        <v>4992</v>
      </c>
      <c r="T600" t="s">
        <v>4992</v>
      </c>
    </row>
    <row r="601" spans="1:20" x14ac:dyDescent="0.25">
      <c r="A601" t="s">
        <v>1709</v>
      </c>
      <c r="B601" t="s">
        <v>1710</v>
      </c>
      <c r="C601" s="1">
        <v>46024.746087962965</v>
      </c>
      <c r="D601">
        <v>1311</v>
      </c>
      <c r="E601" t="s">
        <v>25</v>
      </c>
      <c r="F601" t="s">
        <v>20</v>
      </c>
      <c r="G601" t="s">
        <v>21</v>
      </c>
      <c r="H601" t="s">
        <v>1711</v>
      </c>
      <c r="I601" t="s">
        <v>3739</v>
      </c>
      <c r="J601" t="s">
        <v>3034</v>
      </c>
      <c r="K601" s="1">
        <v>46024.753032407411</v>
      </c>
      <c r="L601">
        <v>1311</v>
      </c>
      <c r="M601">
        <v>38.32</v>
      </c>
      <c r="N601">
        <v>1272.68</v>
      </c>
      <c r="O601" t="s">
        <v>25</v>
      </c>
      <c r="P601" t="s">
        <v>3468</v>
      </c>
      <c r="Q601" t="s">
        <v>3036</v>
      </c>
      <c r="R601" t="s">
        <v>4977</v>
      </c>
      <c r="S601" t="s">
        <v>4992</v>
      </c>
      <c r="T601" t="s">
        <v>4992</v>
      </c>
    </row>
    <row r="602" spans="1:20" x14ac:dyDescent="0.25">
      <c r="A602" t="s">
        <v>1715</v>
      </c>
      <c r="B602" t="s">
        <v>1716</v>
      </c>
      <c r="C602" s="1">
        <v>46026.955451388887</v>
      </c>
      <c r="D602">
        <v>557.15</v>
      </c>
      <c r="E602" t="s">
        <v>25</v>
      </c>
      <c r="F602" t="s">
        <v>20</v>
      </c>
      <c r="G602" t="s">
        <v>30</v>
      </c>
      <c r="H602" t="s">
        <v>1717</v>
      </c>
      <c r="I602" t="s">
        <v>3740</v>
      </c>
      <c r="J602" t="s">
        <v>3034</v>
      </c>
      <c r="K602" s="1">
        <v>46026.962395833332</v>
      </c>
      <c r="L602">
        <v>557.15</v>
      </c>
      <c r="M602">
        <v>16.46</v>
      </c>
      <c r="N602">
        <v>540.69000000000005</v>
      </c>
      <c r="O602" t="s">
        <v>25</v>
      </c>
      <c r="P602" t="s">
        <v>3472</v>
      </c>
      <c r="Q602" t="s">
        <v>3036</v>
      </c>
      <c r="R602" t="s">
        <v>4977</v>
      </c>
      <c r="S602" t="s">
        <v>4992</v>
      </c>
      <c r="T602" t="s">
        <v>4992</v>
      </c>
    </row>
    <row r="603" spans="1:20" x14ac:dyDescent="0.25">
      <c r="A603" t="s">
        <v>1718</v>
      </c>
      <c r="B603" t="s">
        <v>1719</v>
      </c>
      <c r="C603" s="1">
        <v>46028.022939814815</v>
      </c>
      <c r="D603">
        <v>1010.54</v>
      </c>
      <c r="E603" t="s">
        <v>25</v>
      </c>
      <c r="F603" t="s">
        <v>20</v>
      </c>
      <c r="G603" t="s">
        <v>21</v>
      </c>
      <c r="H603" t="s">
        <v>1720</v>
      </c>
      <c r="I603" t="s">
        <v>3741</v>
      </c>
      <c r="J603" t="s">
        <v>3034</v>
      </c>
      <c r="K603" s="1">
        <v>46028.02988425926</v>
      </c>
      <c r="L603">
        <v>1010.54</v>
      </c>
      <c r="M603">
        <v>29.61</v>
      </c>
      <c r="N603">
        <v>980.93</v>
      </c>
      <c r="O603" t="s">
        <v>25</v>
      </c>
      <c r="P603" t="s">
        <v>3474</v>
      </c>
      <c r="Q603" t="s">
        <v>3036</v>
      </c>
      <c r="R603" t="s">
        <v>4977</v>
      </c>
      <c r="S603" t="s">
        <v>4992</v>
      </c>
      <c r="T603" t="s">
        <v>4992</v>
      </c>
    </row>
    <row r="604" spans="1:20" x14ac:dyDescent="0.25">
      <c r="A604" t="s">
        <v>1718</v>
      </c>
      <c r="B604" t="s">
        <v>1719</v>
      </c>
      <c r="C604" s="1">
        <v>46028.022939814815</v>
      </c>
      <c r="D604">
        <v>1010.54</v>
      </c>
      <c r="E604" t="s">
        <v>25</v>
      </c>
      <c r="F604" t="s">
        <v>20</v>
      </c>
      <c r="G604" t="s">
        <v>21</v>
      </c>
      <c r="H604" t="s">
        <v>1720</v>
      </c>
      <c r="I604" t="s">
        <v>3741</v>
      </c>
      <c r="J604" t="s">
        <v>3034</v>
      </c>
      <c r="K604" s="1">
        <v>46028.02988425926</v>
      </c>
      <c r="L604">
        <v>1010.54</v>
      </c>
      <c r="M604">
        <v>29.61</v>
      </c>
      <c r="N604">
        <v>980.93</v>
      </c>
      <c r="O604" t="s">
        <v>25</v>
      </c>
      <c r="P604" t="s">
        <v>3474</v>
      </c>
      <c r="Q604" t="s">
        <v>3036</v>
      </c>
      <c r="R604" t="s">
        <v>4977</v>
      </c>
      <c r="S604" t="s">
        <v>4992</v>
      </c>
      <c r="T604" t="s">
        <v>4992</v>
      </c>
    </row>
    <row r="605" spans="1:20" x14ac:dyDescent="0.25">
      <c r="A605" t="s">
        <v>1721</v>
      </c>
      <c r="B605" t="s">
        <v>1722</v>
      </c>
      <c r="C605" s="1">
        <v>46029.113344907404</v>
      </c>
      <c r="D605">
        <v>1494.4</v>
      </c>
      <c r="E605" t="s">
        <v>25</v>
      </c>
      <c r="F605" t="s">
        <v>20</v>
      </c>
      <c r="G605" t="s">
        <v>26</v>
      </c>
      <c r="H605" t="s">
        <v>1723</v>
      </c>
      <c r="I605" t="s">
        <v>3742</v>
      </c>
      <c r="J605" t="s">
        <v>3034</v>
      </c>
      <c r="K605" s="1">
        <v>46029.120289351849</v>
      </c>
      <c r="L605">
        <v>1494.4</v>
      </c>
      <c r="M605">
        <v>43.64</v>
      </c>
      <c r="N605">
        <v>1450.76</v>
      </c>
      <c r="O605" t="s">
        <v>25</v>
      </c>
      <c r="P605" t="s">
        <v>3743</v>
      </c>
      <c r="Q605" t="s">
        <v>3036</v>
      </c>
      <c r="R605" t="s">
        <v>4977</v>
      </c>
      <c r="S605" t="s">
        <v>4992</v>
      </c>
      <c r="T605" t="s">
        <v>4992</v>
      </c>
    </row>
    <row r="606" spans="1:20" x14ac:dyDescent="0.25">
      <c r="A606" t="s">
        <v>1724</v>
      </c>
      <c r="B606" t="s">
        <v>1725</v>
      </c>
      <c r="C606" s="1">
        <v>46030.216354166667</v>
      </c>
      <c r="D606">
        <v>1738.63</v>
      </c>
      <c r="E606" t="s">
        <v>25</v>
      </c>
      <c r="F606" t="s">
        <v>20</v>
      </c>
      <c r="G606" t="s">
        <v>30</v>
      </c>
      <c r="H606" t="s">
        <v>1726</v>
      </c>
      <c r="I606" t="s">
        <v>3744</v>
      </c>
      <c r="J606" t="s">
        <v>3034</v>
      </c>
      <c r="K606" s="1">
        <v>46030.223298611112</v>
      </c>
      <c r="L606">
        <v>1738.63</v>
      </c>
      <c r="M606">
        <v>50.72</v>
      </c>
      <c r="N606">
        <v>1687.91</v>
      </c>
      <c r="O606" t="s">
        <v>25</v>
      </c>
      <c r="P606" t="s">
        <v>3478</v>
      </c>
      <c r="Q606" t="s">
        <v>3036</v>
      </c>
      <c r="R606" t="s">
        <v>4977</v>
      </c>
      <c r="S606" t="s">
        <v>4992</v>
      </c>
      <c r="T606" t="s">
        <v>4992</v>
      </c>
    </row>
    <row r="607" spans="1:20" x14ac:dyDescent="0.25">
      <c r="A607" t="s">
        <v>1727</v>
      </c>
      <c r="B607" t="s">
        <v>1728</v>
      </c>
      <c r="C607" s="1">
        <v>46030.311284722222</v>
      </c>
      <c r="D607">
        <v>2070.0700000000002</v>
      </c>
      <c r="E607" t="s">
        <v>25</v>
      </c>
      <c r="F607" t="s">
        <v>20</v>
      </c>
      <c r="G607" t="s">
        <v>21</v>
      </c>
      <c r="H607" t="s">
        <v>1729</v>
      </c>
      <c r="I607" t="s">
        <v>3745</v>
      </c>
      <c r="J607" t="s">
        <v>3034</v>
      </c>
      <c r="K607" s="1">
        <v>46030.318229166667</v>
      </c>
      <c r="L607">
        <v>2070.0700000000002</v>
      </c>
      <c r="M607">
        <v>60.33</v>
      </c>
      <c r="N607">
        <v>2009.74</v>
      </c>
      <c r="O607" t="s">
        <v>25</v>
      </c>
      <c r="P607" t="s">
        <v>3480</v>
      </c>
      <c r="Q607" t="s">
        <v>3036</v>
      </c>
      <c r="R607" t="s">
        <v>4977</v>
      </c>
      <c r="S607" t="s">
        <v>4992</v>
      </c>
      <c r="T607" t="s">
        <v>4992</v>
      </c>
    </row>
    <row r="608" spans="1:20" x14ac:dyDescent="0.25">
      <c r="A608" t="s">
        <v>1730</v>
      </c>
      <c r="B608" t="s">
        <v>1731</v>
      </c>
      <c r="C608" s="1">
        <v>46031.419120370374</v>
      </c>
      <c r="D608">
        <v>2385.5700000000002</v>
      </c>
      <c r="E608" t="s">
        <v>25</v>
      </c>
      <c r="F608" t="s">
        <v>20</v>
      </c>
      <c r="G608" t="s">
        <v>26</v>
      </c>
      <c r="H608" t="s">
        <v>1732</v>
      </c>
      <c r="I608" t="s">
        <v>3746</v>
      </c>
      <c r="J608" t="s">
        <v>3034</v>
      </c>
      <c r="K608" s="1">
        <v>46031.426064814812</v>
      </c>
      <c r="L608">
        <v>2385.5700000000002</v>
      </c>
      <c r="M608">
        <v>69.48</v>
      </c>
      <c r="N608">
        <v>2316.09</v>
      </c>
      <c r="O608" t="s">
        <v>25</v>
      </c>
      <c r="P608" t="s">
        <v>3482</v>
      </c>
      <c r="Q608" t="s">
        <v>3036</v>
      </c>
      <c r="R608" t="s">
        <v>4977</v>
      </c>
      <c r="S608" t="s">
        <v>4992</v>
      </c>
      <c r="T608" t="s">
        <v>4992</v>
      </c>
    </row>
    <row r="609" spans="1:20" x14ac:dyDescent="0.25">
      <c r="A609" t="s">
        <v>1733</v>
      </c>
      <c r="B609" t="s">
        <v>1734</v>
      </c>
      <c r="C609" s="1">
        <v>46032.487037037034</v>
      </c>
      <c r="D609">
        <v>1810.31</v>
      </c>
      <c r="E609" t="s">
        <v>52</v>
      </c>
      <c r="F609" t="s">
        <v>20</v>
      </c>
      <c r="G609" t="s">
        <v>30</v>
      </c>
      <c r="H609" t="s">
        <v>1735</v>
      </c>
      <c r="I609" t="s">
        <v>3747</v>
      </c>
      <c r="J609" t="s">
        <v>3034</v>
      </c>
      <c r="K609" s="1">
        <v>46032.493981481479</v>
      </c>
      <c r="L609">
        <v>1810.31</v>
      </c>
      <c r="M609">
        <v>52.8</v>
      </c>
      <c r="N609">
        <v>1757.51</v>
      </c>
      <c r="O609" t="s">
        <v>52</v>
      </c>
      <c r="P609" t="s">
        <v>3484</v>
      </c>
      <c r="Q609" t="s">
        <v>3036</v>
      </c>
      <c r="R609" t="s">
        <v>4977</v>
      </c>
      <c r="S609" t="s">
        <v>4992</v>
      </c>
      <c r="T609" t="s">
        <v>4992</v>
      </c>
    </row>
    <row r="610" spans="1:20" x14ac:dyDescent="0.25">
      <c r="A610" t="s">
        <v>1736</v>
      </c>
      <c r="B610" t="s">
        <v>1737</v>
      </c>
      <c r="C610" s="1">
        <v>46033.595150462963</v>
      </c>
      <c r="D610">
        <v>1693.55</v>
      </c>
      <c r="E610" t="s">
        <v>19</v>
      </c>
      <c r="F610" t="s">
        <v>20</v>
      </c>
      <c r="G610" t="s">
        <v>21</v>
      </c>
      <c r="H610" t="s">
        <v>1738</v>
      </c>
      <c r="I610" t="s">
        <v>3748</v>
      </c>
      <c r="J610" t="s">
        <v>3034</v>
      </c>
      <c r="K610" s="1">
        <v>46033.602094907408</v>
      </c>
      <c r="L610">
        <v>1693.55</v>
      </c>
      <c r="M610">
        <v>49.41</v>
      </c>
      <c r="N610">
        <v>1644.14</v>
      </c>
      <c r="O610" t="s">
        <v>19</v>
      </c>
      <c r="P610" t="s">
        <v>3486</v>
      </c>
      <c r="Q610" t="s">
        <v>3036</v>
      </c>
      <c r="R610" t="s">
        <v>4977</v>
      </c>
      <c r="S610" t="s">
        <v>4992</v>
      </c>
      <c r="T610" t="s">
        <v>4992</v>
      </c>
    </row>
    <row r="611" spans="1:20" x14ac:dyDescent="0.25">
      <c r="A611" t="s">
        <v>1739</v>
      </c>
      <c r="B611" t="s">
        <v>1740</v>
      </c>
      <c r="C611" s="1">
        <v>46034.667650462965</v>
      </c>
      <c r="D611">
        <v>1845.31</v>
      </c>
      <c r="E611" t="s">
        <v>25</v>
      </c>
      <c r="F611" t="s">
        <v>20</v>
      </c>
      <c r="G611" t="s">
        <v>26</v>
      </c>
      <c r="H611" t="s">
        <v>1741</v>
      </c>
      <c r="I611" t="s">
        <v>3749</v>
      </c>
      <c r="J611" t="s">
        <v>3034</v>
      </c>
      <c r="K611" s="1">
        <v>46034.67459490741</v>
      </c>
      <c r="L611">
        <v>1845.31</v>
      </c>
      <c r="M611">
        <v>54.18</v>
      </c>
      <c r="N611">
        <v>1791.13</v>
      </c>
      <c r="O611" t="s">
        <v>25</v>
      </c>
      <c r="P611" t="s">
        <v>3553</v>
      </c>
      <c r="Q611" t="s">
        <v>3036</v>
      </c>
      <c r="R611" t="s">
        <v>4977</v>
      </c>
      <c r="S611" t="s">
        <v>4992</v>
      </c>
      <c r="T611" t="s">
        <v>4992</v>
      </c>
    </row>
    <row r="612" spans="1:20" x14ac:dyDescent="0.25">
      <c r="A612" t="s">
        <v>1742</v>
      </c>
      <c r="B612" t="s">
        <v>1743</v>
      </c>
      <c r="C612" s="1">
        <v>46035.778379629628</v>
      </c>
      <c r="D612">
        <v>916.87</v>
      </c>
      <c r="E612" t="s">
        <v>25</v>
      </c>
      <c r="F612" t="s">
        <v>20</v>
      </c>
      <c r="G612" t="s">
        <v>30</v>
      </c>
      <c r="H612" t="s">
        <v>1744</v>
      </c>
      <c r="I612" t="s">
        <v>3750</v>
      </c>
      <c r="J612" t="s">
        <v>3034</v>
      </c>
      <c r="K612" s="1">
        <v>46035.785324074073</v>
      </c>
      <c r="L612">
        <v>916.87</v>
      </c>
      <c r="M612">
        <v>26.89</v>
      </c>
      <c r="N612">
        <v>889.98</v>
      </c>
      <c r="O612" t="s">
        <v>25</v>
      </c>
      <c r="P612" t="s">
        <v>3490</v>
      </c>
      <c r="Q612" t="s">
        <v>3036</v>
      </c>
      <c r="R612" t="s">
        <v>4977</v>
      </c>
      <c r="S612" t="s">
        <v>4992</v>
      </c>
      <c r="T612" t="s">
        <v>4992</v>
      </c>
    </row>
    <row r="613" spans="1:20" x14ac:dyDescent="0.25">
      <c r="A613" t="s">
        <v>1745</v>
      </c>
      <c r="B613" t="s">
        <v>1746</v>
      </c>
      <c r="C613" s="1">
        <v>46036.843969907408</v>
      </c>
      <c r="D613">
        <v>1926.29</v>
      </c>
      <c r="E613" t="s">
        <v>25</v>
      </c>
      <c r="F613" t="s">
        <v>20</v>
      </c>
      <c r="G613" t="s">
        <v>21</v>
      </c>
      <c r="H613" t="s">
        <v>1747</v>
      </c>
      <c r="I613" t="s">
        <v>3751</v>
      </c>
      <c r="J613" t="s">
        <v>3034</v>
      </c>
      <c r="K613" s="1">
        <v>46036.850914351853</v>
      </c>
      <c r="L613">
        <v>1926.29</v>
      </c>
      <c r="M613">
        <v>56.16</v>
      </c>
      <c r="N613">
        <v>1870.13</v>
      </c>
      <c r="O613" t="s">
        <v>25</v>
      </c>
      <c r="P613" t="s">
        <v>3492</v>
      </c>
      <c r="Q613" t="s">
        <v>3036</v>
      </c>
      <c r="R613" t="s">
        <v>4977</v>
      </c>
      <c r="S613" t="s">
        <v>4992</v>
      </c>
      <c r="T613" t="s">
        <v>4992</v>
      </c>
    </row>
    <row r="614" spans="1:20" x14ac:dyDescent="0.25">
      <c r="A614" t="s">
        <v>1748</v>
      </c>
      <c r="B614" t="s">
        <v>1749</v>
      </c>
      <c r="C614" s="1">
        <v>46023.96298611111</v>
      </c>
      <c r="D614">
        <v>55.6</v>
      </c>
      <c r="E614" t="s">
        <v>25</v>
      </c>
      <c r="F614" t="s">
        <v>20</v>
      </c>
      <c r="G614" t="s">
        <v>26</v>
      </c>
      <c r="H614" t="s">
        <v>1750</v>
      </c>
      <c r="I614" t="s">
        <v>3752</v>
      </c>
      <c r="J614" t="s">
        <v>3034</v>
      </c>
      <c r="K614" s="1">
        <v>46023.969930555555</v>
      </c>
      <c r="L614">
        <v>55.6</v>
      </c>
      <c r="M614">
        <v>1.91</v>
      </c>
      <c r="N614">
        <v>53.69</v>
      </c>
      <c r="O614" t="s">
        <v>25</v>
      </c>
      <c r="P614" t="s">
        <v>3494</v>
      </c>
      <c r="Q614" t="s">
        <v>3036</v>
      </c>
      <c r="R614" t="s">
        <v>4977</v>
      </c>
      <c r="S614" t="s">
        <v>4992</v>
      </c>
      <c r="T614" t="s">
        <v>4992</v>
      </c>
    </row>
    <row r="615" spans="1:20" x14ac:dyDescent="0.25">
      <c r="A615" t="s">
        <v>1751</v>
      </c>
      <c r="B615" t="s">
        <v>1752</v>
      </c>
      <c r="C615" s="1">
        <v>46025.024074074077</v>
      </c>
      <c r="D615">
        <v>214.83</v>
      </c>
      <c r="E615" t="s">
        <v>25</v>
      </c>
      <c r="F615" t="s">
        <v>20</v>
      </c>
      <c r="G615" t="s">
        <v>30</v>
      </c>
      <c r="H615" t="s">
        <v>1753</v>
      </c>
      <c r="I615" t="s">
        <v>3753</v>
      </c>
      <c r="J615" t="s">
        <v>3034</v>
      </c>
      <c r="K615" s="1">
        <v>46025.031018518515</v>
      </c>
      <c r="L615">
        <v>214.83</v>
      </c>
      <c r="M615">
        <v>6.53</v>
      </c>
      <c r="N615">
        <v>208.3</v>
      </c>
      <c r="O615" t="s">
        <v>25</v>
      </c>
      <c r="P615" t="s">
        <v>3468</v>
      </c>
      <c r="Q615" t="s">
        <v>3036</v>
      </c>
      <c r="R615" t="s">
        <v>4977</v>
      </c>
      <c r="S615" t="s">
        <v>4992</v>
      </c>
      <c r="T615" t="s">
        <v>4992</v>
      </c>
    </row>
    <row r="616" spans="1:20" x14ac:dyDescent="0.25">
      <c r="A616" t="s">
        <v>1754</v>
      </c>
      <c r="B616" t="s">
        <v>1755</v>
      </c>
      <c r="C616" s="1">
        <v>46026.122534722221</v>
      </c>
      <c r="D616">
        <v>582.35</v>
      </c>
      <c r="E616" t="s">
        <v>25</v>
      </c>
      <c r="F616" t="s">
        <v>20</v>
      </c>
      <c r="G616" t="s">
        <v>21</v>
      </c>
      <c r="H616" t="s">
        <v>1756</v>
      </c>
      <c r="I616" t="s">
        <v>3754</v>
      </c>
      <c r="J616" t="s">
        <v>3034</v>
      </c>
      <c r="K616" s="1">
        <v>46026.129479166666</v>
      </c>
      <c r="L616">
        <v>582.35</v>
      </c>
      <c r="M616">
        <v>17.190000000000001</v>
      </c>
      <c r="N616">
        <v>565.16</v>
      </c>
      <c r="O616" t="s">
        <v>25</v>
      </c>
      <c r="P616" t="s">
        <v>3470</v>
      </c>
      <c r="Q616" t="s">
        <v>3036</v>
      </c>
      <c r="R616" t="s">
        <v>4977</v>
      </c>
      <c r="S616" t="s">
        <v>4992</v>
      </c>
      <c r="T616" t="s">
        <v>4992</v>
      </c>
    </row>
    <row r="617" spans="1:20" x14ac:dyDescent="0.25">
      <c r="A617" t="s">
        <v>1757</v>
      </c>
      <c r="B617" t="s">
        <v>1758</v>
      </c>
      <c r="C617" s="1">
        <v>46026.234537037039</v>
      </c>
      <c r="D617">
        <v>1524.39</v>
      </c>
      <c r="E617" t="s">
        <v>25</v>
      </c>
      <c r="F617" t="s">
        <v>20</v>
      </c>
      <c r="G617" t="s">
        <v>26</v>
      </c>
      <c r="H617" t="s">
        <v>1759</v>
      </c>
      <c r="I617" t="s">
        <v>3755</v>
      </c>
      <c r="J617" t="s">
        <v>3034</v>
      </c>
      <c r="K617" s="1">
        <v>46026.241481481484</v>
      </c>
      <c r="L617">
        <v>1524.39</v>
      </c>
      <c r="M617">
        <v>44.51</v>
      </c>
      <c r="N617">
        <v>1479.88</v>
      </c>
      <c r="O617" t="s">
        <v>25</v>
      </c>
      <c r="P617" t="s">
        <v>3472</v>
      </c>
      <c r="Q617" t="s">
        <v>3036</v>
      </c>
      <c r="R617" t="s">
        <v>4977</v>
      </c>
      <c r="S617" t="s">
        <v>4992</v>
      </c>
      <c r="T617" t="s">
        <v>4992</v>
      </c>
    </row>
    <row r="618" spans="1:20" x14ac:dyDescent="0.25">
      <c r="A618" t="s">
        <v>1760</v>
      </c>
      <c r="B618" t="s">
        <v>1761</v>
      </c>
      <c r="C618" s="1">
        <v>46027.331701388888</v>
      </c>
      <c r="D618">
        <v>1385.87</v>
      </c>
      <c r="E618" t="s">
        <v>25</v>
      </c>
      <c r="F618" t="s">
        <v>20</v>
      </c>
      <c r="G618" t="s">
        <v>30</v>
      </c>
      <c r="H618" t="s">
        <v>1762</v>
      </c>
      <c r="I618" t="s">
        <v>3756</v>
      </c>
      <c r="J618" t="s">
        <v>3034</v>
      </c>
      <c r="K618" s="1">
        <v>46027.338645833333</v>
      </c>
      <c r="L618">
        <v>1385.87</v>
      </c>
      <c r="M618">
        <v>40.49</v>
      </c>
      <c r="N618">
        <v>1345.38</v>
      </c>
      <c r="O618" t="s">
        <v>25</v>
      </c>
      <c r="P618" t="s">
        <v>3474</v>
      </c>
      <c r="Q618" t="s">
        <v>3036</v>
      </c>
      <c r="R618" t="s">
        <v>4977</v>
      </c>
      <c r="S618" t="s">
        <v>4992</v>
      </c>
      <c r="T618" t="s">
        <v>4992</v>
      </c>
    </row>
    <row r="619" spans="1:20" x14ac:dyDescent="0.25">
      <c r="A619" t="s">
        <v>1763</v>
      </c>
      <c r="B619" t="s">
        <v>1764</v>
      </c>
      <c r="C619" s="1">
        <v>46028.416388888887</v>
      </c>
      <c r="D619">
        <v>196.4</v>
      </c>
      <c r="E619" t="s">
        <v>52</v>
      </c>
      <c r="F619" t="s">
        <v>20</v>
      </c>
      <c r="G619" t="s">
        <v>21</v>
      </c>
      <c r="H619" t="s">
        <v>1765</v>
      </c>
      <c r="I619" t="s">
        <v>3757</v>
      </c>
      <c r="J619" t="s">
        <v>3034</v>
      </c>
      <c r="K619" s="1">
        <v>46028.423333333332</v>
      </c>
      <c r="L619">
        <v>196.4</v>
      </c>
      <c r="M619">
        <v>6</v>
      </c>
      <c r="N619">
        <v>190.4</v>
      </c>
      <c r="O619" t="s">
        <v>52</v>
      </c>
      <c r="P619" t="s">
        <v>3502</v>
      </c>
      <c r="Q619" t="s">
        <v>3036</v>
      </c>
      <c r="R619" t="s">
        <v>4977</v>
      </c>
      <c r="S619" t="s">
        <v>4992</v>
      </c>
      <c r="T619" t="s">
        <v>4992</v>
      </c>
    </row>
    <row r="620" spans="1:20" x14ac:dyDescent="0.25">
      <c r="A620" t="s">
        <v>1766</v>
      </c>
      <c r="B620" t="s">
        <v>1767</v>
      </c>
      <c r="C620" s="1">
        <v>46029.506365740737</v>
      </c>
      <c r="D620">
        <v>310.01</v>
      </c>
      <c r="E620" t="s">
        <v>19</v>
      </c>
      <c r="F620" t="s">
        <v>20</v>
      </c>
      <c r="G620" t="s">
        <v>26</v>
      </c>
      <c r="H620" t="s">
        <v>1768</v>
      </c>
      <c r="I620" t="s">
        <v>3758</v>
      </c>
      <c r="J620" t="s">
        <v>3034</v>
      </c>
      <c r="K620" s="1">
        <v>46029.513310185182</v>
      </c>
      <c r="L620">
        <v>310.01</v>
      </c>
      <c r="M620">
        <v>9.2899999999999991</v>
      </c>
      <c r="N620">
        <v>300.72000000000003</v>
      </c>
      <c r="O620" t="s">
        <v>19</v>
      </c>
      <c r="P620" t="s">
        <v>3759</v>
      </c>
      <c r="Q620" t="s">
        <v>3036</v>
      </c>
      <c r="R620" t="s">
        <v>4977</v>
      </c>
      <c r="S620" t="s">
        <v>4992</v>
      </c>
      <c r="T620" t="s">
        <v>4992</v>
      </c>
    </row>
    <row r="621" spans="1:20" x14ac:dyDescent="0.25">
      <c r="A621" t="s">
        <v>1769</v>
      </c>
      <c r="B621" t="s">
        <v>1770</v>
      </c>
      <c r="C621" s="1">
        <v>46030.578460648147</v>
      </c>
      <c r="D621">
        <v>2030.37</v>
      </c>
      <c r="E621" t="s">
        <v>25</v>
      </c>
      <c r="F621" t="s">
        <v>20</v>
      </c>
      <c r="G621" t="s">
        <v>30</v>
      </c>
      <c r="H621" t="s">
        <v>1771</v>
      </c>
      <c r="I621" t="s">
        <v>3760</v>
      </c>
      <c r="J621" t="s">
        <v>3034</v>
      </c>
      <c r="K621" s="1">
        <v>46030.585405092592</v>
      </c>
      <c r="L621">
        <v>2030.37</v>
      </c>
      <c r="M621">
        <v>59.18</v>
      </c>
      <c r="N621">
        <v>1971.19</v>
      </c>
      <c r="O621" t="s">
        <v>25</v>
      </c>
      <c r="P621" t="s">
        <v>3480</v>
      </c>
      <c r="Q621" t="s">
        <v>3036</v>
      </c>
      <c r="R621" t="s">
        <v>4977</v>
      </c>
      <c r="S621" t="s">
        <v>4992</v>
      </c>
      <c r="T621" t="s">
        <v>4992</v>
      </c>
    </row>
    <row r="622" spans="1:20" x14ac:dyDescent="0.25">
      <c r="A622" t="s">
        <v>1772</v>
      </c>
      <c r="B622" t="s">
        <v>1773</v>
      </c>
      <c r="C622" s="1">
        <v>46031.673425925925</v>
      </c>
      <c r="D622">
        <v>1042.3499999999999</v>
      </c>
      <c r="E622" t="s">
        <v>25</v>
      </c>
      <c r="F622" t="s">
        <v>20</v>
      </c>
      <c r="G622" t="s">
        <v>21</v>
      </c>
      <c r="H622" t="s">
        <v>1774</v>
      </c>
      <c r="I622" t="s">
        <v>3761</v>
      </c>
      <c r="J622" t="s">
        <v>3034</v>
      </c>
      <c r="K622" s="1">
        <v>46031.68037037037</v>
      </c>
      <c r="L622">
        <v>1042.3499999999999</v>
      </c>
      <c r="M622">
        <v>30.53</v>
      </c>
      <c r="N622">
        <v>1011.82</v>
      </c>
      <c r="O622" t="s">
        <v>25</v>
      </c>
      <c r="P622" t="s">
        <v>3482</v>
      </c>
      <c r="Q622" t="s">
        <v>3036</v>
      </c>
      <c r="R622" t="s">
        <v>4977</v>
      </c>
      <c r="S622" t="s">
        <v>4992</v>
      </c>
      <c r="T622" t="s">
        <v>4992</v>
      </c>
    </row>
    <row r="623" spans="1:20" x14ac:dyDescent="0.25">
      <c r="A623" t="s">
        <v>1775</v>
      </c>
      <c r="B623" t="s">
        <v>1776</v>
      </c>
      <c r="C623" s="1">
        <v>46032.789988425924</v>
      </c>
      <c r="D623">
        <v>1252.4000000000001</v>
      </c>
      <c r="E623" t="s">
        <v>25</v>
      </c>
      <c r="F623" t="s">
        <v>20</v>
      </c>
      <c r="G623" t="s">
        <v>26</v>
      </c>
      <c r="H623" t="s">
        <v>1777</v>
      </c>
      <c r="I623" t="s">
        <v>3762</v>
      </c>
      <c r="J623" t="s">
        <v>3034</v>
      </c>
      <c r="K623" s="1">
        <v>46032.796932870369</v>
      </c>
      <c r="L623">
        <v>1252.4000000000001</v>
      </c>
      <c r="M623">
        <v>36.619999999999997</v>
      </c>
      <c r="N623">
        <v>1215.78</v>
      </c>
      <c r="O623" t="s">
        <v>25</v>
      </c>
      <c r="P623" t="s">
        <v>3530</v>
      </c>
      <c r="Q623" t="s">
        <v>3036</v>
      </c>
      <c r="R623" t="s">
        <v>4977</v>
      </c>
      <c r="S623" t="s">
        <v>4992</v>
      </c>
      <c r="T623" t="s">
        <v>4992</v>
      </c>
    </row>
    <row r="624" spans="1:20" x14ac:dyDescent="0.25">
      <c r="A624" t="s">
        <v>1778</v>
      </c>
      <c r="B624" t="s">
        <v>1779</v>
      </c>
      <c r="C624" s="1">
        <v>46033.869201388887</v>
      </c>
      <c r="D624">
        <v>1404.41</v>
      </c>
      <c r="E624" t="s">
        <v>25</v>
      </c>
      <c r="F624" t="s">
        <v>20</v>
      </c>
      <c r="G624" t="s">
        <v>30</v>
      </c>
      <c r="H624" t="s">
        <v>1780</v>
      </c>
      <c r="I624" t="s">
        <v>3763</v>
      </c>
      <c r="J624" t="s">
        <v>3034</v>
      </c>
      <c r="K624" s="1">
        <v>46033.876145833332</v>
      </c>
      <c r="L624">
        <v>1404.41</v>
      </c>
      <c r="M624">
        <v>41.4</v>
      </c>
      <c r="N624">
        <v>1363.01</v>
      </c>
      <c r="O624" t="s">
        <v>25</v>
      </c>
      <c r="P624" t="s">
        <v>3510</v>
      </c>
      <c r="Q624" t="s">
        <v>3036</v>
      </c>
      <c r="R624" t="s">
        <v>4977</v>
      </c>
      <c r="S624" t="s">
        <v>4992</v>
      </c>
      <c r="T624" t="s">
        <v>4992</v>
      </c>
    </row>
    <row r="625" spans="1:20" x14ac:dyDescent="0.25">
      <c r="A625" t="s">
        <v>1781</v>
      </c>
      <c r="B625" t="s">
        <v>1782</v>
      </c>
      <c r="C625" s="1">
        <v>46034.977349537039</v>
      </c>
      <c r="D625">
        <v>1821.7</v>
      </c>
      <c r="E625" t="s">
        <v>25</v>
      </c>
      <c r="F625" t="s">
        <v>20</v>
      </c>
      <c r="G625" t="s">
        <v>21</v>
      </c>
      <c r="H625" t="s">
        <v>1783</v>
      </c>
      <c r="I625" t="s">
        <v>3764</v>
      </c>
      <c r="J625" t="s">
        <v>3034</v>
      </c>
      <c r="K625" s="1">
        <v>46034.984293981484</v>
      </c>
      <c r="L625">
        <v>1821.7</v>
      </c>
      <c r="M625">
        <v>53.13</v>
      </c>
      <c r="N625">
        <v>1768.57</v>
      </c>
      <c r="O625" t="s">
        <v>25</v>
      </c>
      <c r="P625" t="s">
        <v>3765</v>
      </c>
      <c r="Q625" t="s">
        <v>3036</v>
      </c>
      <c r="R625" t="s">
        <v>4977</v>
      </c>
      <c r="S625" t="s">
        <v>4992</v>
      </c>
      <c r="T625" t="s">
        <v>4992</v>
      </c>
    </row>
    <row r="626" spans="1:20" x14ac:dyDescent="0.25">
      <c r="A626" t="s">
        <v>1784</v>
      </c>
      <c r="B626" t="s">
        <v>1785</v>
      </c>
      <c r="C626" s="1">
        <v>46036.051400462966</v>
      </c>
      <c r="D626">
        <v>1001.13</v>
      </c>
      <c r="E626" t="s">
        <v>25</v>
      </c>
      <c r="F626" t="s">
        <v>20</v>
      </c>
      <c r="G626" t="s">
        <v>26</v>
      </c>
      <c r="H626" t="s">
        <v>1786</v>
      </c>
      <c r="I626" t="s">
        <v>3766</v>
      </c>
      <c r="J626" t="s">
        <v>3034</v>
      </c>
      <c r="K626" s="1">
        <v>46036.058344907404</v>
      </c>
      <c r="L626">
        <v>1001.13</v>
      </c>
      <c r="M626">
        <v>29.33</v>
      </c>
      <c r="N626">
        <v>971.8</v>
      </c>
      <c r="O626" t="s">
        <v>25</v>
      </c>
      <c r="P626" t="s">
        <v>3490</v>
      </c>
      <c r="Q626" t="s">
        <v>3036</v>
      </c>
      <c r="R626" t="s">
        <v>4977</v>
      </c>
      <c r="S626" t="s">
        <v>4992</v>
      </c>
      <c r="T626" t="s">
        <v>4992</v>
      </c>
    </row>
    <row r="627" spans="1:20" x14ac:dyDescent="0.25">
      <c r="A627" t="s">
        <v>1787</v>
      </c>
      <c r="B627" t="s">
        <v>1788</v>
      </c>
      <c r="C627" s="1">
        <v>46037.136388888888</v>
      </c>
      <c r="D627">
        <v>2272.7199999999998</v>
      </c>
      <c r="E627" t="s">
        <v>25</v>
      </c>
      <c r="F627" t="s">
        <v>20</v>
      </c>
      <c r="G627" t="s">
        <v>30</v>
      </c>
      <c r="H627" t="s">
        <v>1789</v>
      </c>
      <c r="I627" t="s">
        <v>3767</v>
      </c>
      <c r="J627" t="s">
        <v>3034</v>
      </c>
      <c r="K627" s="1">
        <v>46037.143333333333</v>
      </c>
      <c r="L627">
        <v>2272.7199999999998</v>
      </c>
      <c r="M627">
        <v>66.209999999999994</v>
      </c>
      <c r="N627">
        <v>2206.5100000000002</v>
      </c>
      <c r="O627" t="s">
        <v>25</v>
      </c>
      <c r="P627" t="s">
        <v>3492</v>
      </c>
      <c r="Q627" t="s">
        <v>3036</v>
      </c>
      <c r="R627" t="s">
        <v>4977</v>
      </c>
      <c r="S627" t="s">
        <v>4992</v>
      </c>
      <c r="T627" t="s">
        <v>4992</v>
      </c>
    </row>
    <row r="628" spans="1:20" x14ac:dyDescent="0.25">
      <c r="A628" t="s">
        <v>1790</v>
      </c>
      <c r="B628" t="s">
        <v>1791</v>
      </c>
      <c r="C628" s="1">
        <v>46023.254907407405</v>
      </c>
      <c r="D628">
        <v>2290.2800000000002</v>
      </c>
      <c r="E628" t="s">
        <v>25</v>
      </c>
      <c r="F628" t="s">
        <v>20</v>
      </c>
      <c r="G628" t="s">
        <v>21</v>
      </c>
      <c r="H628" t="s">
        <v>1792</v>
      </c>
      <c r="I628" t="s">
        <v>3768</v>
      </c>
      <c r="J628" t="s">
        <v>3034</v>
      </c>
      <c r="K628" s="1">
        <v>46023.26185185185</v>
      </c>
      <c r="L628">
        <v>2290.2800000000002</v>
      </c>
      <c r="M628">
        <v>66.72</v>
      </c>
      <c r="N628">
        <v>2223.56</v>
      </c>
      <c r="O628" t="s">
        <v>25</v>
      </c>
      <c r="P628" t="s">
        <v>3494</v>
      </c>
      <c r="Q628" t="s">
        <v>3036</v>
      </c>
      <c r="R628" t="s">
        <v>4977</v>
      </c>
      <c r="S628" t="s">
        <v>4992</v>
      </c>
      <c r="T628" t="s">
        <v>4992</v>
      </c>
    </row>
    <row r="629" spans="1:20" x14ac:dyDescent="0.25">
      <c r="A629" t="s">
        <v>1793</v>
      </c>
      <c r="B629" t="s">
        <v>1794</v>
      </c>
      <c r="C629" s="1">
        <v>46024.318379629629</v>
      </c>
      <c r="D629">
        <v>1626.72</v>
      </c>
      <c r="E629" t="s">
        <v>52</v>
      </c>
      <c r="F629" t="s">
        <v>20</v>
      </c>
      <c r="G629" t="s">
        <v>26</v>
      </c>
      <c r="H629" t="s">
        <v>1795</v>
      </c>
      <c r="I629" t="s">
        <v>3769</v>
      </c>
      <c r="J629" t="s">
        <v>3034</v>
      </c>
      <c r="K629" s="1">
        <v>46024.325324074074</v>
      </c>
      <c r="L629">
        <v>1626.72</v>
      </c>
      <c r="M629">
        <v>47.84</v>
      </c>
      <c r="N629">
        <v>1578.88</v>
      </c>
      <c r="O629" t="s">
        <v>52</v>
      </c>
      <c r="P629" t="s">
        <v>3518</v>
      </c>
      <c r="Q629" t="s">
        <v>3036</v>
      </c>
      <c r="R629" t="s">
        <v>4977</v>
      </c>
      <c r="S629" t="s">
        <v>4992</v>
      </c>
      <c r="T629" t="s">
        <v>4992</v>
      </c>
    </row>
    <row r="630" spans="1:20" x14ac:dyDescent="0.25">
      <c r="A630" t="s">
        <v>1796</v>
      </c>
      <c r="B630" t="s">
        <v>1797</v>
      </c>
      <c r="C630" s="1">
        <v>46025.438530092593</v>
      </c>
      <c r="D630">
        <v>674.9</v>
      </c>
      <c r="E630" t="s">
        <v>19</v>
      </c>
      <c r="F630" t="s">
        <v>20</v>
      </c>
      <c r="G630" t="s">
        <v>30</v>
      </c>
      <c r="H630" t="s">
        <v>1798</v>
      </c>
      <c r="I630" t="s">
        <v>3770</v>
      </c>
      <c r="J630" t="s">
        <v>3034</v>
      </c>
      <c r="K630" s="1">
        <v>46025.445474537039</v>
      </c>
      <c r="L630">
        <v>674.9</v>
      </c>
      <c r="M630">
        <v>20.239999999999998</v>
      </c>
      <c r="N630">
        <v>654.66</v>
      </c>
      <c r="O630" t="s">
        <v>19</v>
      </c>
      <c r="P630" t="s">
        <v>3520</v>
      </c>
      <c r="Q630" t="s">
        <v>3036</v>
      </c>
      <c r="R630" t="s">
        <v>4977</v>
      </c>
      <c r="S630" t="s">
        <v>4992</v>
      </c>
      <c r="T630" t="s">
        <v>4992</v>
      </c>
    </row>
    <row r="631" spans="1:20" x14ac:dyDescent="0.25">
      <c r="A631" t="s">
        <v>1799</v>
      </c>
      <c r="B631" t="s">
        <v>1800</v>
      </c>
      <c r="C631" s="1">
        <v>46026.530555555553</v>
      </c>
      <c r="D631">
        <v>960.49</v>
      </c>
      <c r="E631" t="s">
        <v>25</v>
      </c>
      <c r="F631" t="s">
        <v>20</v>
      </c>
      <c r="G631" t="s">
        <v>21</v>
      </c>
      <c r="H631" t="s">
        <v>1801</v>
      </c>
      <c r="I631" t="s">
        <v>3771</v>
      </c>
      <c r="J631" t="s">
        <v>3034</v>
      </c>
      <c r="K631" s="1">
        <v>46026.537499999999</v>
      </c>
      <c r="L631">
        <v>960.49</v>
      </c>
      <c r="M631">
        <v>28.15</v>
      </c>
      <c r="N631">
        <v>932.34</v>
      </c>
      <c r="O631" t="s">
        <v>25</v>
      </c>
      <c r="P631" t="s">
        <v>3472</v>
      </c>
      <c r="Q631" t="s">
        <v>3036</v>
      </c>
      <c r="R631" t="s">
        <v>4977</v>
      </c>
      <c r="S631" t="s">
        <v>4992</v>
      </c>
      <c r="T631" t="s">
        <v>4992</v>
      </c>
    </row>
    <row r="632" spans="1:20" x14ac:dyDescent="0.25">
      <c r="A632" t="s">
        <v>1802</v>
      </c>
      <c r="B632" t="s">
        <v>1803</v>
      </c>
      <c r="C632" s="1">
        <v>46027.611377314817</v>
      </c>
      <c r="D632">
        <v>606.83000000000004</v>
      </c>
      <c r="E632" t="s">
        <v>25</v>
      </c>
      <c r="F632" t="s">
        <v>20</v>
      </c>
      <c r="G632" t="s">
        <v>26</v>
      </c>
      <c r="H632" t="s">
        <v>1804</v>
      </c>
      <c r="I632" t="s">
        <v>3772</v>
      </c>
      <c r="J632" t="s">
        <v>3034</v>
      </c>
      <c r="K632" s="1">
        <v>46027.618321759262</v>
      </c>
      <c r="L632">
        <v>606.83000000000004</v>
      </c>
      <c r="M632">
        <v>17.899999999999999</v>
      </c>
      <c r="N632">
        <v>588.92999999999995</v>
      </c>
      <c r="O632" t="s">
        <v>25</v>
      </c>
      <c r="P632" t="s">
        <v>3474</v>
      </c>
      <c r="Q632" t="s">
        <v>3036</v>
      </c>
      <c r="R632" t="s">
        <v>4977</v>
      </c>
      <c r="S632" t="s">
        <v>4992</v>
      </c>
      <c r="T632" t="s">
        <v>4992</v>
      </c>
    </row>
    <row r="633" spans="1:20" x14ac:dyDescent="0.25">
      <c r="A633" t="s">
        <v>1805</v>
      </c>
      <c r="B633" t="s">
        <v>1806</v>
      </c>
      <c r="C633" s="1">
        <v>46028.682812500003</v>
      </c>
      <c r="D633">
        <v>660.26</v>
      </c>
      <c r="E633" t="s">
        <v>25</v>
      </c>
      <c r="F633" t="s">
        <v>20</v>
      </c>
      <c r="G633" t="s">
        <v>30</v>
      </c>
      <c r="H633" t="s">
        <v>1807</v>
      </c>
      <c r="I633" t="s">
        <v>3773</v>
      </c>
      <c r="J633" t="s">
        <v>3034</v>
      </c>
      <c r="K633" s="1">
        <v>46028.689756944441</v>
      </c>
      <c r="L633">
        <v>660.26</v>
      </c>
      <c r="M633">
        <v>19.45</v>
      </c>
      <c r="N633">
        <v>640.80999999999995</v>
      </c>
      <c r="O633" t="s">
        <v>25</v>
      </c>
      <c r="P633" t="s">
        <v>3476</v>
      </c>
      <c r="Q633" t="s">
        <v>3036</v>
      </c>
      <c r="R633" t="s">
        <v>4977</v>
      </c>
      <c r="S633" t="s">
        <v>4992</v>
      </c>
      <c r="T633" t="s">
        <v>4992</v>
      </c>
    </row>
    <row r="634" spans="1:20" x14ac:dyDescent="0.25">
      <c r="A634" t="s">
        <v>1808</v>
      </c>
      <c r="B634" t="s">
        <v>1809</v>
      </c>
      <c r="C634" s="1">
        <v>46029.772060185183</v>
      </c>
      <c r="D634">
        <v>150.6</v>
      </c>
      <c r="E634" t="s">
        <v>25</v>
      </c>
      <c r="F634" t="s">
        <v>20</v>
      </c>
      <c r="G634" t="s">
        <v>21</v>
      </c>
      <c r="H634" t="s">
        <v>1810</v>
      </c>
      <c r="I634" t="s">
        <v>3774</v>
      </c>
      <c r="J634" t="s">
        <v>3034</v>
      </c>
      <c r="K634" s="1">
        <v>46029.779004629629</v>
      </c>
      <c r="L634">
        <v>150.6</v>
      </c>
      <c r="M634">
        <v>4.67</v>
      </c>
      <c r="N634">
        <v>145.93</v>
      </c>
      <c r="O634" t="s">
        <v>25</v>
      </c>
      <c r="P634" t="s">
        <v>3478</v>
      </c>
      <c r="Q634" t="s">
        <v>3036</v>
      </c>
      <c r="R634" t="s">
        <v>4977</v>
      </c>
      <c r="S634" t="s">
        <v>4992</v>
      </c>
      <c r="T634" t="s">
        <v>4992</v>
      </c>
    </row>
    <row r="635" spans="1:20" x14ac:dyDescent="0.25">
      <c r="A635" t="s">
        <v>1811</v>
      </c>
      <c r="B635" t="s">
        <v>1812</v>
      </c>
      <c r="C635" s="1">
        <v>46030.885300925926</v>
      </c>
      <c r="D635">
        <v>1245.53</v>
      </c>
      <c r="E635" t="s">
        <v>25</v>
      </c>
      <c r="F635" t="s">
        <v>20</v>
      </c>
      <c r="G635" t="s">
        <v>26</v>
      </c>
      <c r="H635" t="s">
        <v>1813</v>
      </c>
      <c r="I635" t="s">
        <v>3775</v>
      </c>
      <c r="J635" t="s">
        <v>3034</v>
      </c>
      <c r="K635" s="1">
        <v>46030.892245370371</v>
      </c>
      <c r="L635">
        <v>1245.53</v>
      </c>
      <c r="M635">
        <v>36.42</v>
      </c>
      <c r="N635">
        <v>1209.1099999999999</v>
      </c>
      <c r="O635" t="s">
        <v>25</v>
      </c>
      <c r="P635" t="s">
        <v>3480</v>
      </c>
      <c r="Q635" t="s">
        <v>3036</v>
      </c>
      <c r="R635" t="s">
        <v>4977</v>
      </c>
      <c r="S635" t="s">
        <v>4992</v>
      </c>
      <c r="T635" t="s">
        <v>4992</v>
      </c>
    </row>
    <row r="636" spans="1:20" x14ac:dyDescent="0.25">
      <c r="A636" t="s">
        <v>1814</v>
      </c>
      <c r="B636" t="s">
        <v>1815</v>
      </c>
      <c r="C636" s="1">
        <v>46031.951898148145</v>
      </c>
      <c r="D636">
        <v>1302.3499999999999</v>
      </c>
      <c r="E636" t="s">
        <v>25</v>
      </c>
      <c r="F636" t="s">
        <v>20</v>
      </c>
      <c r="G636" t="s">
        <v>30</v>
      </c>
      <c r="H636" t="s">
        <v>1816</v>
      </c>
      <c r="I636" t="s">
        <v>3776</v>
      </c>
      <c r="J636" t="s">
        <v>3034</v>
      </c>
      <c r="K636" s="1">
        <v>46031.95884259259</v>
      </c>
      <c r="L636">
        <v>1303.46</v>
      </c>
      <c r="M636">
        <v>38.1</v>
      </c>
      <c r="N636">
        <v>1265.3599999999999</v>
      </c>
      <c r="O636" t="s">
        <v>25</v>
      </c>
      <c r="P636" t="s">
        <v>3482</v>
      </c>
      <c r="Q636" t="s">
        <v>3036</v>
      </c>
      <c r="R636" t="s">
        <v>4977</v>
      </c>
      <c r="S636" t="s">
        <v>4991</v>
      </c>
      <c r="T636" t="s">
        <v>4992</v>
      </c>
    </row>
    <row r="637" spans="1:20" x14ac:dyDescent="0.25">
      <c r="A637" t="s">
        <v>1817</v>
      </c>
      <c r="B637" t="s">
        <v>1818</v>
      </c>
      <c r="C637" s="1">
        <v>46033.042326388888</v>
      </c>
      <c r="D637">
        <v>92.71</v>
      </c>
      <c r="E637" t="s">
        <v>25</v>
      </c>
      <c r="F637" t="s">
        <v>20</v>
      </c>
      <c r="G637" t="s">
        <v>21</v>
      </c>
      <c r="H637" t="s">
        <v>1819</v>
      </c>
      <c r="I637" t="s">
        <v>3777</v>
      </c>
      <c r="J637" t="s">
        <v>3034</v>
      </c>
      <c r="K637" s="1">
        <v>46033.049270833333</v>
      </c>
      <c r="L637">
        <v>92.71</v>
      </c>
      <c r="M637">
        <v>2.99</v>
      </c>
      <c r="N637">
        <v>89.72</v>
      </c>
      <c r="O637" t="s">
        <v>25</v>
      </c>
      <c r="P637" t="s">
        <v>3530</v>
      </c>
      <c r="Q637" t="s">
        <v>3036</v>
      </c>
      <c r="R637" t="s">
        <v>4977</v>
      </c>
      <c r="S637" t="s">
        <v>4992</v>
      </c>
      <c r="T637" t="s">
        <v>4992</v>
      </c>
    </row>
    <row r="638" spans="1:20" x14ac:dyDescent="0.25">
      <c r="A638" t="s">
        <v>1820</v>
      </c>
      <c r="B638" t="s">
        <v>1821</v>
      </c>
      <c r="C638" s="1">
        <v>46034.170289351852</v>
      </c>
      <c r="D638">
        <v>21.8</v>
      </c>
      <c r="E638" t="s">
        <v>25</v>
      </c>
      <c r="F638" t="s">
        <v>20</v>
      </c>
      <c r="G638" t="s">
        <v>26</v>
      </c>
      <c r="H638" t="s">
        <v>1822</v>
      </c>
      <c r="I638" t="s">
        <v>3778</v>
      </c>
      <c r="J638" t="s">
        <v>3034</v>
      </c>
      <c r="K638" s="1">
        <v>46034.177233796298</v>
      </c>
      <c r="L638">
        <v>21.8</v>
      </c>
      <c r="M638">
        <v>0.93</v>
      </c>
      <c r="N638">
        <v>20.87</v>
      </c>
      <c r="O638" t="s">
        <v>25</v>
      </c>
      <c r="P638" t="s">
        <v>3510</v>
      </c>
      <c r="Q638" t="s">
        <v>3036</v>
      </c>
      <c r="R638" t="s">
        <v>4977</v>
      </c>
      <c r="S638" t="s">
        <v>4992</v>
      </c>
      <c r="T638" t="s">
        <v>4992</v>
      </c>
    </row>
    <row r="639" spans="1:20" x14ac:dyDescent="0.25">
      <c r="A639" t="s">
        <v>1823</v>
      </c>
      <c r="B639" t="s">
        <v>1824</v>
      </c>
      <c r="C639" s="1">
        <v>46034.246018518519</v>
      </c>
      <c r="D639">
        <v>26.36</v>
      </c>
      <c r="E639" t="s">
        <v>52</v>
      </c>
      <c r="F639" t="s">
        <v>20</v>
      </c>
      <c r="G639" t="s">
        <v>30</v>
      </c>
      <c r="H639" t="s">
        <v>1825</v>
      </c>
      <c r="I639" t="s">
        <v>3779</v>
      </c>
      <c r="J639" t="s">
        <v>3034</v>
      </c>
      <c r="K639" s="1">
        <v>46034.252962962964</v>
      </c>
      <c r="L639">
        <v>26.36</v>
      </c>
      <c r="M639">
        <v>1.06</v>
      </c>
      <c r="N639">
        <v>25.3</v>
      </c>
      <c r="O639" t="s">
        <v>52</v>
      </c>
      <c r="P639" t="s">
        <v>3533</v>
      </c>
      <c r="Q639" t="s">
        <v>3036</v>
      </c>
      <c r="R639" t="s">
        <v>4977</v>
      </c>
      <c r="S639" t="s">
        <v>4992</v>
      </c>
      <c r="T639" t="s">
        <v>4992</v>
      </c>
    </row>
    <row r="640" spans="1:20" x14ac:dyDescent="0.25">
      <c r="A640" t="s">
        <v>1826</v>
      </c>
      <c r="B640" t="s">
        <v>1827</v>
      </c>
      <c r="C640" s="1">
        <v>46035.327962962961</v>
      </c>
      <c r="D640">
        <v>1466.25</v>
      </c>
      <c r="E640" t="s">
        <v>19</v>
      </c>
      <c r="F640" t="s">
        <v>20</v>
      </c>
      <c r="G640" t="s">
        <v>21</v>
      </c>
      <c r="H640" t="s">
        <v>1828</v>
      </c>
      <c r="I640" t="s">
        <v>3780</v>
      </c>
      <c r="J640" t="s">
        <v>3034</v>
      </c>
      <c r="K640" s="1">
        <v>46035.334907407407</v>
      </c>
      <c r="L640">
        <v>1466.25</v>
      </c>
      <c r="M640">
        <v>42.82</v>
      </c>
      <c r="N640">
        <v>1423.43</v>
      </c>
      <c r="O640" t="s">
        <v>19</v>
      </c>
      <c r="P640" t="s">
        <v>3535</v>
      </c>
      <c r="Q640" t="s">
        <v>3036</v>
      </c>
      <c r="R640" t="s">
        <v>4977</v>
      </c>
      <c r="S640" t="s">
        <v>4992</v>
      </c>
      <c r="T640" t="s">
        <v>4992</v>
      </c>
    </row>
    <row r="641" spans="1:20" x14ac:dyDescent="0.25">
      <c r="A641" t="s">
        <v>1829</v>
      </c>
      <c r="B641" t="s">
        <v>1830</v>
      </c>
      <c r="C641" s="1">
        <v>46036.406851851854</v>
      </c>
      <c r="D641">
        <v>1804.93</v>
      </c>
      <c r="E641" t="s">
        <v>25</v>
      </c>
      <c r="F641" t="s">
        <v>20</v>
      </c>
      <c r="G641" t="s">
        <v>26</v>
      </c>
      <c r="H641" t="s">
        <v>1831</v>
      </c>
      <c r="I641" t="s">
        <v>3781</v>
      </c>
      <c r="J641" t="s">
        <v>3034</v>
      </c>
      <c r="K641" s="1">
        <v>46036.4137962963</v>
      </c>
      <c r="L641">
        <v>1804.93</v>
      </c>
      <c r="M641">
        <v>52.64</v>
      </c>
      <c r="N641">
        <v>1752.29</v>
      </c>
      <c r="O641" t="s">
        <v>25</v>
      </c>
      <c r="P641" t="s">
        <v>3492</v>
      </c>
      <c r="Q641" t="s">
        <v>3036</v>
      </c>
      <c r="R641" t="s">
        <v>4977</v>
      </c>
      <c r="S641" t="s">
        <v>4992</v>
      </c>
      <c r="T641" t="s">
        <v>4992</v>
      </c>
    </row>
    <row r="642" spans="1:20" x14ac:dyDescent="0.25">
      <c r="A642" t="s">
        <v>1832</v>
      </c>
      <c r="B642" t="s">
        <v>1833</v>
      </c>
      <c r="C642" s="1">
        <v>46023.504074074073</v>
      </c>
      <c r="D642">
        <v>868.26</v>
      </c>
      <c r="E642" t="s">
        <v>25</v>
      </c>
      <c r="F642" t="s">
        <v>20</v>
      </c>
      <c r="G642" t="s">
        <v>30</v>
      </c>
      <c r="H642" t="s">
        <v>1834</v>
      </c>
      <c r="I642" t="s">
        <v>3782</v>
      </c>
      <c r="J642" t="s">
        <v>3034</v>
      </c>
      <c r="K642" s="1">
        <v>46023.511018518519</v>
      </c>
      <c r="L642">
        <v>868.26</v>
      </c>
      <c r="M642">
        <v>25.48</v>
      </c>
      <c r="N642">
        <v>842.78</v>
      </c>
      <c r="O642" t="s">
        <v>25</v>
      </c>
      <c r="P642" t="s">
        <v>3494</v>
      </c>
      <c r="Q642" t="s">
        <v>3036</v>
      </c>
      <c r="R642" t="s">
        <v>4977</v>
      </c>
      <c r="S642" t="s">
        <v>4992</v>
      </c>
      <c r="T642" t="s">
        <v>4992</v>
      </c>
    </row>
    <row r="643" spans="1:20" x14ac:dyDescent="0.25">
      <c r="A643" t="s">
        <v>1835</v>
      </c>
      <c r="B643" t="s">
        <v>1836</v>
      </c>
      <c r="C643" s="1">
        <v>46024.617824074077</v>
      </c>
      <c r="D643">
        <v>55.83</v>
      </c>
      <c r="E643" t="s">
        <v>25</v>
      </c>
      <c r="F643" t="s">
        <v>20</v>
      </c>
      <c r="G643" t="s">
        <v>21</v>
      </c>
      <c r="H643" t="s">
        <v>1837</v>
      </c>
      <c r="I643" t="s">
        <v>3783</v>
      </c>
      <c r="J643" t="s">
        <v>3034</v>
      </c>
      <c r="K643" s="1">
        <v>46024.624768518515</v>
      </c>
      <c r="L643">
        <v>55.83</v>
      </c>
      <c r="M643">
        <v>1.92</v>
      </c>
      <c r="N643">
        <v>53.91</v>
      </c>
      <c r="O643" t="s">
        <v>25</v>
      </c>
      <c r="P643" t="s">
        <v>3468</v>
      </c>
      <c r="Q643" t="s">
        <v>3036</v>
      </c>
      <c r="R643" t="s">
        <v>4977</v>
      </c>
      <c r="S643" t="s">
        <v>4992</v>
      </c>
      <c r="T643" t="s">
        <v>4992</v>
      </c>
    </row>
    <row r="644" spans="1:20" x14ac:dyDescent="0.25">
      <c r="A644" t="s">
        <v>1838</v>
      </c>
      <c r="B644" t="s">
        <v>1839</v>
      </c>
      <c r="C644" s="1">
        <v>46025.6950462963</v>
      </c>
      <c r="D644">
        <v>2036.82</v>
      </c>
      <c r="E644" t="s">
        <v>25</v>
      </c>
      <c r="F644" t="s">
        <v>20</v>
      </c>
      <c r="G644" t="s">
        <v>26</v>
      </c>
      <c r="H644" t="s">
        <v>1840</v>
      </c>
      <c r="I644" t="s">
        <v>3784</v>
      </c>
      <c r="J644" t="s">
        <v>3034</v>
      </c>
      <c r="K644" s="1">
        <v>46025.701990740738</v>
      </c>
      <c r="L644">
        <v>2036.82</v>
      </c>
      <c r="M644">
        <v>59.37</v>
      </c>
      <c r="N644">
        <v>1977.45</v>
      </c>
      <c r="O644" t="s">
        <v>25</v>
      </c>
      <c r="P644" t="s">
        <v>3470</v>
      </c>
      <c r="Q644" t="s">
        <v>3036</v>
      </c>
      <c r="R644" t="s">
        <v>4977</v>
      </c>
      <c r="S644" t="s">
        <v>4992</v>
      </c>
      <c r="T644" t="s">
        <v>4992</v>
      </c>
    </row>
    <row r="645" spans="1:20" x14ac:dyDescent="0.25">
      <c r="A645" t="s">
        <v>1841</v>
      </c>
      <c r="B645" t="s">
        <v>1842</v>
      </c>
      <c r="C645" s="1">
        <v>46026.785925925928</v>
      </c>
      <c r="D645">
        <v>2310.1999999999998</v>
      </c>
      <c r="E645" t="s">
        <v>25</v>
      </c>
      <c r="F645" t="s">
        <v>20</v>
      </c>
      <c r="G645" t="s">
        <v>30</v>
      </c>
      <c r="H645" t="s">
        <v>1843</v>
      </c>
      <c r="I645" t="s">
        <v>3785</v>
      </c>
      <c r="J645" t="s">
        <v>3034</v>
      </c>
      <c r="K645" s="1">
        <v>46026.792870370373</v>
      </c>
      <c r="L645">
        <v>2310.1999999999998</v>
      </c>
      <c r="M645">
        <v>67.3</v>
      </c>
      <c r="N645">
        <v>2242.9</v>
      </c>
      <c r="O645" t="s">
        <v>25</v>
      </c>
      <c r="P645" t="s">
        <v>3472</v>
      </c>
      <c r="Q645" t="s">
        <v>3036</v>
      </c>
      <c r="R645" t="s">
        <v>4977</v>
      </c>
      <c r="S645" t="s">
        <v>4992</v>
      </c>
      <c r="T645" t="s">
        <v>4992</v>
      </c>
    </row>
    <row r="646" spans="1:20" x14ac:dyDescent="0.25">
      <c r="A646" t="s">
        <v>1844</v>
      </c>
      <c r="B646" t="s">
        <v>1845</v>
      </c>
      <c r="C646" s="1">
        <v>46027.88690972222</v>
      </c>
      <c r="D646">
        <v>80.77</v>
      </c>
      <c r="E646" t="s">
        <v>25</v>
      </c>
      <c r="F646" t="s">
        <v>20</v>
      </c>
      <c r="G646" t="s">
        <v>21</v>
      </c>
      <c r="H646" t="s">
        <v>1846</v>
      </c>
      <c r="I646" t="s">
        <v>3786</v>
      </c>
      <c r="J646" t="s">
        <v>3034</v>
      </c>
      <c r="K646" s="1">
        <v>46027.893854166665</v>
      </c>
      <c r="L646">
        <v>80.77</v>
      </c>
      <c r="M646">
        <v>2.64</v>
      </c>
      <c r="N646">
        <v>78.13</v>
      </c>
      <c r="O646" t="s">
        <v>25</v>
      </c>
      <c r="P646" t="s">
        <v>3474</v>
      </c>
      <c r="Q646" t="s">
        <v>3036</v>
      </c>
      <c r="R646" t="s">
        <v>4977</v>
      </c>
      <c r="S646" t="s">
        <v>4992</v>
      </c>
      <c r="T646" t="s">
        <v>4992</v>
      </c>
    </row>
    <row r="647" spans="1:20" x14ac:dyDescent="0.25">
      <c r="A647" t="s">
        <v>1847</v>
      </c>
      <c r="B647" t="s">
        <v>1848</v>
      </c>
      <c r="C647" s="1">
        <v>46028.991261574076</v>
      </c>
      <c r="D647">
        <v>1103.1400000000001</v>
      </c>
      <c r="E647" t="s">
        <v>25</v>
      </c>
      <c r="F647" t="s">
        <v>92</v>
      </c>
      <c r="G647" t="s">
        <v>26</v>
      </c>
      <c r="H647" t="s">
        <v>1849</v>
      </c>
      <c r="I647" t="s">
        <v>3787</v>
      </c>
      <c r="J647" t="s">
        <v>3034</v>
      </c>
      <c r="K647" s="1">
        <v>46028.998206018521</v>
      </c>
      <c r="L647">
        <v>1103.1400000000001</v>
      </c>
      <c r="M647">
        <v>32.29</v>
      </c>
      <c r="N647">
        <v>1070.8499999999999</v>
      </c>
      <c r="O647" t="s">
        <v>25</v>
      </c>
      <c r="P647" t="s">
        <v>3476</v>
      </c>
      <c r="Q647" t="s">
        <v>3036</v>
      </c>
      <c r="R647" t="s">
        <v>4977</v>
      </c>
      <c r="S647" t="s">
        <v>4992</v>
      </c>
      <c r="T647" t="s">
        <v>4992</v>
      </c>
    </row>
    <row r="648" spans="1:20" x14ac:dyDescent="0.25">
      <c r="A648" t="s">
        <v>1847</v>
      </c>
      <c r="B648" t="s">
        <v>1848</v>
      </c>
      <c r="C648" s="1">
        <v>46028.991261574076</v>
      </c>
      <c r="D648">
        <v>1103.1400000000001</v>
      </c>
      <c r="E648" t="s">
        <v>25</v>
      </c>
      <c r="F648" t="s">
        <v>92</v>
      </c>
      <c r="G648" t="s">
        <v>26</v>
      </c>
      <c r="H648" t="s">
        <v>1849</v>
      </c>
      <c r="I648" t="s">
        <v>3788</v>
      </c>
      <c r="J648" t="s">
        <v>3076</v>
      </c>
      <c r="K648" s="1">
        <v>46029.991261574076</v>
      </c>
      <c r="L648">
        <v>-551.57000000000005</v>
      </c>
      <c r="M648">
        <v>0</v>
      </c>
      <c r="N648">
        <v>-551.57000000000005</v>
      </c>
      <c r="O648" t="s">
        <v>25</v>
      </c>
      <c r="P648" t="s">
        <v>3789</v>
      </c>
      <c r="Q648" t="s">
        <v>3036</v>
      </c>
      <c r="R648" t="s">
        <v>4977</v>
      </c>
      <c r="S648" t="s">
        <v>4991</v>
      </c>
      <c r="T648" t="s">
        <v>4992</v>
      </c>
    </row>
    <row r="649" spans="1:20" x14ac:dyDescent="0.25">
      <c r="A649" t="s">
        <v>1850</v>
      </c>
      <c r="B649" t="s">
        <v>1851</v>
      </c>
      <c r="C649" s="1">
        <v>46030.071331018517</v>
      </c>
      <c r="D649">
        <v>994.14</v>
      </c>
      <c r="E649" t="s">
        <v>25</v>
      </c>
      <c r="F649" t="s">
        <v>20</v>
      </c>
      <c r="G649" t="s">
        <v>30</v>
      </c>
      <c r="H649" t="s">
        <v>1852</v>
      </c>
      <c r="I649" t="s">
        <v>3790</v>
      </c>
      <c r="J649" t="s">
        <v>3034</v>
      </c>
      <c r="K649" s="1">
        <v>46030.078275462962</v>
      </c>
      <c r="L649">
        <v>994.14</v>
      </c>
      <c r="M649">
        <v>29.13</v>
      </c>
      <c r="N649">
        <v>965.01</v>
      </c>
      <c r="O649" t="s">
        <v>25</v>
      </c>
      <c r="P649" t="s">
        <v>3478</v>
      </c>
      <c r="Q649" t="s">
        <v>3036</v>
      </c>
      <c r="R649" t="s">
        <v>4977</v>
      </c>
      <c r="S649" t="s">
        <v>4992</v>
      </c>
      <c r="T649" t="s">
        <v>4992</v>
      </c>
    </row>
    <row r="650" spans="1:20" x14ac:dyDescent="0.25">
      <c r="A650" t="s">
        <v>1853</v>
      </c>
      <c r="B650" t="s">
        <v>1854</v>
      </c>
      <c r="C650" s="1">
        <v>46031.141331018516</v>
      </c>
      <c r="D650">
        <v>1262.3</v>
      </c>
      <c r="E650" t="s">
        <v>52</v>
      </c>
      <c r="F650" t="s">
        <v>20</v>
      </c>
      <c r="G650" t="s">
        <v>21</v>
      </c>
      <c r="H650" t="s">
        <v>1855</v>
      </c>
      <c r="I650" t="s">
        <v>3791</v>
      </c>
      <c r="J650" t="s">
        <v>3034</v>
      </c>
      <c r="K650" s="1">
        <v>46031.148275462961</v>
      </c>
      <c r="L650">
        <v>1262.3</v>
      </c>
      <c r="M650">
        <v>36.909999999999997</v>
      </c>
      <c r="N650">
        <v>1225.3900000000001</v>
      </c>
      <c r="O650" t="s">
        <v>52</v>
      </c>
      <c r="P650" t="s">
        <v>3545</v>
      </c>
      <c r="Q650" t="s">
        <v>3036</v>
      </c>
      <c r="R650" t="s">
        <v>4977</v>
      </c>
      <c r="S650" t="s">
        <v>4992</v>
      </c>
      <c r="T650" t="s">
        <v>4992</v>
      </c>
    </row>
    <row r="651" spans="1:20" x14ac:dyDescent="0.25">
      <c r="A651" t="s">
        <v>1856</v>
      </c>
      <c r="B651" t="s">
        <v>1857</v>
      </c>
      <c r="C651" s="1">
        <v>46031.242731481485</v>
      </c>
      <c r="D651">
        <v>603.08000000000004</v>
      </c>
      <c r="E651" t="s">
        <v>19</v>
      </c>
      <c r="F651" t="s">
        <v>20</v>
      </c>
      <c r="G651" t="s">
        <v>26</v>
      </c>
      <c r="H651" t="s">
        <v>1858</v>
      </c>
      <c r="I651" t="s">
        <v>3792</v>
      </c>
      <c r="J651" t="s">
        <v>3034</v>
      </c>
      <c r="K651" s="1">
        <v>46031.249675925923</v>
      </c>
      <c r="L651">
        <v>603.08000000000004</v>
      </c>
      <c r="M651">
        <v>17.79</v>
      </c>
      <c r="N651">
        <v>585.29</v>
      </c>
      <c r="O651" t="s">
        <v>19</v>
      </c>
      <c r="P651" t="s">
        <v>3549</v>
      </c>
      <c r="Q651" t="s">
        <v>3036</v>
      </c>
      <c r="R651" t="s">
        <v>4977</v>
      </c>
      <c r="S651" t="s">
        <v>4992</v>
      </c>
      <c r="T651" t="s">
        <v>4992</v>
      </c>
    </row>
    <row r="652" spans="1:20" x14ac:dyDescent="0.25">
      <c r="A652" t="s">
        <v>1859</v>
      </c>
      <c r="B652" t="s">
        <v>1860</v>
      </c>
      <c r="C652" s="1">
        <v>46032.352372685185</v>
      </c>
      <c r="D652">
        <v>2034.74</v>
      </c>
      <c r="E652" t="s">
        <v>25</v>
      </c>
      <c r="F652" t="s">
        <v>20</v>
      </c>
      <c r="G652" t="s">
        <v>30</v>
      </c>
      <c r="H652" t="s">
        <v>1861</v>
      </c>
      <c r="I652" t="s">
        <v>3793</v>
      </c>
      <c r="J652" t="s">
        <v>3034</v>
      </c>
      <c r="K652" s="1">
        <v>46032.359317129631</v>
      </c>
      <c r="L652">
        <v>2034.74</v>
      </c>
      <c r="M652">
        <v>59.31</v>
      </c>
      <c r="N652">
        <v>1975.43</v>
      </c>
      <c r="O652" t="s">
        <v>25</v>
      </c>
      <c r="P652" t="s">
        <v>3530</v>
      </c>
      <c r="Q652" t="s">
        <v>3036</v>
      </c>
      <c r="R652" t="s">
        <v>4977</v>
      </c>
      <c r="S652" t="s">
        <v>4992</v>
      </c>
      <c r="T652" t="s">
        <v>4992</v>
      </c>
    </row>
    <row r="653" spans="1:20" x14ac:dyDescent="0.25">
      <c r="A653" t="s">
        <v>1862</v>
      </c>
      <c r="B653" t="s">
        <v>1863</v>
      </c>
      <c r="C653" s="1">
        <v>46033.43310185185</v>
      </c>
      <c r="D653">
        <v>344.54</v>
      </c>
      <c r="E653" t="s">
        <v>25</v>
      </c>
      <c r="F653" t="s">
        <v>20</v>
      </c>
      <c r="G653" t="s">
        <v>21</v>
      </c>
      <c r="H653" t="s">
        <v>1864</v>
      </c>
      <c r="I653" t="s">
        <v>3794</v>
      </c>
      <c r="J653" t="s">
        <v>3034</v>
      </c>
      <c r="K653" s="1">
        <v>46033.440046296295</v>
      </c>
      <c r="L653">
        <v>344.54</v>
      </c>
      <c r="M653">
        <v>10.29</v>
      </c>
      <c r="N653">
        <v>334.25</v>
      </c>
      <c r="O653" t="s">
        <v>25</v>
      </c>
      <c r="P653" t="s">
        <v>3510</v>
      </c>
      <c r="Q653" t="s">
        <v>3036</v>
      </c>
      <c r="R653" t="s">
        <v>4977</v>
      </c>
      <c r="S653" t="s">
        <v>4992</v>
      </c>
      <c r="T653" t="s">
        <v>4992</v>
      </c>
    </row>
    <row r="654" spans="1:20" x14ac:dyDescent="0.25">
      <c r="A654" t="s">
        <v>1865</v>
      </c>
      <c r="B654" t="s">
        <v>1866</v>
      </c>
      <c r="C654" s="1">
        <v>46034.522638888891</v>
      </c>
      <c r="D654">
        <v>1430.55</v>
      </c>
      <c r="E654" t="s">
        <v>25</v>
      </c>
      <c r="F654" t="s">
        <v>20</v>
      </c>
      <c r="G654" t="s">
        <v>26</v>
      </c>
      <c r="H654" t="s">
        <v>1867</v>
      </c>
      <c r="I654" t="s">
        <v>3795</v>
      </c>
      <c r="J654" t="s">
        <v>3034</v>
      </c>
      <c r="K654" s="1">
        <v>46034.529583333337</v>
      </c>
      <c r="L654">
        <v>1430.55</v>
      </c>
      <c r="M654">
        <v>41.79</v>
      </c>
      <c r="N654">
        <v>1388.76</v>
      </c>
      <c r="O654" t="s">
        <v>25</v>
      </c>
      <c r="P654" t="s">
        <v>3553</v>
      </c>
      <c r="Q654" t="s">
        <v>3036</v>
      </c>
      <c r="R654" t="s">
        <v>4977</v>
      </c>
      <c r="S654" t="s">
        <v>4992</v>
      </c>
      <c r="T654" t="s">
        <v>4992</v>
      </c>
    </row>
    <row r="655" spans="1:20" x14ac:dyDescent="0.25">
      <c r="A655" t="s">
        <v>1868</v>
      </c>
      <c r="B655" t="s">
        <v>1869</v>
      </c>
      <c r="C655" s="1">
        <v>46035.626469907409</v>
      </c>
      <c r="D655">
        <v>2224.5500000000002</v>
      </c>
      <c r="E655" t="s">
        <v>25</v>
      </c>
      <c r="F655" t="s">
        <v>20</v>
      </c>
      <c r="G655" t="s">
        <v>30</v>
      </c>
      <c r="H655" t="s">
        <v>1870</v>
      </c>
      <c r="I655" t="s">
        <v>3796</v>
      </c>
      <c r="J655" t="s">
        <v>3034</v>
      </c>
      <c r="K655" s="1">
        <v>46035.633414351854</v>
      </c>
      <c r="L655">
        <v>2224.5500000000002</v>
      </c>
      <c r="M655">
        <v>64.81</v>
      </c>
      <c r="N655">
        <v>2159.7399999999998</v>
      </c>
      <c r="O655" t="s">
        <v>25</v>
      </c>
      <c r="P655" t="s">
        <v>3490</v>
      </c>
      <c r="Q655" t="s">
        <v>3036</v>
      </c>
      <c r="R655" t="s">
        <v>4977</v>
      </c>
      <c r="S655" t="s">
        <v>4992</v>
      </c>
      <c r="T655" t="s">
        <v>4992</v>
      </c>
    </row>
    <row r="656" spans="1:20" x14ac:dyDescent="0.25">
      <c r="A656" t="s">
        <v>1871</v>
      </c>
      <c r="B656" t="s">
        <v>1872</v>
      </c>
      <c r="C656" s="1">
        <v>46036.71770833333</v>
      </c>
      <c r="D656">
        <v>262.08</v>
      </c>
      <c r="E656" t="s">
        <v>25</v>
      </c>
      <c r="F656" t="s">
        <v>20</v>
      </c>
      <c r="G656" t="s">
        <v>21</v>
      </c>
      <c r="H656" t="s">
        <v>1873</v>
      </c>
      <c r="I656" t="s">
        <v>3797</v>
      </c>
      <c r="J656" t="s">
        <v>3034</v>
      </c>
      <c r="K656" s="1">
        <v>46036.724652777775</v>
      </c>
      <c r="L656">
        <v>262.08</v>
      </c>
      <c r="M656">
        <v>7.9</v>
      </c>
      <c r="N656">
        <v>254.18</v>
      </c>
      <c r="O656" t="s">
        <v>25</v>
      </c>
      <c r="P656" t="s">
        <v>3492</v>
      </c>
      <c r="Q656" t="s">
        <v>3036</v>
      </c>
      <c r="R656" t="s">
        <v>4977</v>
      </c>
      <c r="S656" t="s">
        <v>4992</v>
      </c>
      <c r="T656" t="s">
        <v>4992</v>
      </c>
    </row>
    <row r="657" spans="1:20" x14ac:dyDescent="0.25">
      <c r="A657" t="s">
        <v>1874</v>
      </c>
      <c r="B657" t="s">
        <v>1875</v>
      </c>
      <c r="C657" s="1">
        <v>46023.79886574074</v>
      </c>
      <c r="D657">
        <v>1601.97</v>
      </c>
      <c r="E657" t="s">
        <v>25</v>
      </c>
      <c r="F657" t="s">
        <v>20</v>
      </c>
      <c r="G657" t="s">
        <v>26</v>
      </c>
      <c r="H657" t="s">
        <v>1876</v>
      </c>
      <c r="I657" t="s">
        <v>3798</v>
      </c>
      <c r="J657" t="s">
        <v>3034</v>
      </c>
      <c r="K657" s="1">
        <v>46023.805810185186</v>
      </c>
      <c r="L657">
        <v>1601.97</v>
      </c>
      <c r="M657">
        <v>46.76</v>
      </c>
      <c r="N657">
        <v>1555.21</v>
      </c>
      <c r="O657" t="s">
        <v>25</v>
      </c>
      <c r="P657" t="s">
        <v>3494</v>
      </c>
      <c r="Q657" t="s">
        <v>3036</v>
      </c>
      <c r="R657" t="s">
        <v>4977</v>
      </c>
      <c r="S657" t="s">
        <v>4992</v>
      </c>
      <c r="T657" t="s">
        <v>4992</v>
      </c>
    </row>
    <row r="658" spans="1:20" x14ac:dyDescent="0.25">
      <c r="A658" t="s">
        <v>1877</v>
      </c>
      <c r="B658" t="s">
        <v>1878</v>
      </c>
      <c r="C658" s="1">
        <v>46024.881585648145</v>
      </c>
      <c r="D658">
        <v>2423.31</v>
      </c>
      <c r="E658" t="s">
        <v>25</v>
      </c>
      <c r="F658" t="s">
        <v>20</v>
      </c>
      <c r="G658" t="s">
        <v>30</v>
      </c>
      <c r="H658" t="s">
        <v>1879</v>
      </c>
      <c r="I658" t="s">
        <v>3799</v>
      </c>
      <c r="J658" t="s">
        <v>3034</v>
      </c>
      <c r="K658" s="1">
        <v>46024.88853009259</v>
      </c>
      <c r="L658">
        <v>2423.31</v>
      </c>
      <c r="M658">
        <v>70.58</v>
      </c>
      <c r="N658">
        <v>2352.73</v>
      </c>
      <c r="O658" t="s">
        <v>25</v>
      </c>
      <c r="P658" t="s">
        <v>3468</v>
      </c>
      <c r="Q658" t="s">
        <v>3036</v>
      </c>
      <c r="R658" t="s">
        <v>4977</v>
      </c>
      <c r="S658" t="s">
        <v>4992</v>
      </c>
      <c r="T658" t="s">
        <v>4992</v>
      </c>
    </row>
    <row r="659" spans="1:20" x14ac:dyDescent="0.25">
      <c r="A659" t="s">
        <v>1880</v>
      </c>
      <c r="B659" t="s">
        <v>1881</v>
      </c>
      <c r="C659" s="1">
        <v>46025.987141203703</v>
      </c>
      <c r="D659">
        <v>329.07</v>
      </c>
      <c r="E659" t="s">
        <v>25</v>
      </c>
      <c r="F659" t="s">
        <v>20</v>
      </c>
      <c r="G659" t="s">
        <v>21</v>
      </c>
      <c r="H659" t="s">
        <v>1882</v>
      </c>
      <c r="I659" t="s">
        <v>3800</v>
      </c>
      <c r="J659" t="s">
        <v>3034</v>
      </c>
      <c r="K659" s="1">
        <v>46025.994085648148</v>
      </c>
      <c r="L659">
        <v>329.07</v>
      </c>
      <c r="M659">
        <v>9.84</v>
      </c>
      <c r="N659">
        <v>319.23</v>
      </c>
      <c r="O659" t="s">
        <v>25</v>
      </c>
      <c r="P659" t="s">
        <v>3470</v>
      </c>
      <c r="Q659" t="s">
        <v>3036</v>
      </c>
      <c r="R659" t="s">
        <v>4977</v>
      </c>
      <c r="S659" t="s">
        <v>4992</v>
      </c>
      <c r="T659" t="s">
        <v>4992</v>
      </c>
    </row>
    <row r="660" spans="1:20" x14ac:dyDescent="0.25">
      <c r="A660" t="s">
        <v>1883</v>
      </c>
      <c r="B660" t="s">
        <v>1884</v>
      </c>
      <c r="C660" s="1">
        <v>46027.096134259256</v>
      </c>
      <c r="D660">
        <v>651.76</v>
      </c>
      <c r="E660" t="s">
        <v>52</v>
      </c>
      <c r="F660" t="s">
        <v>20</v>
      </c>
      <c r="G660" t="s">
        <v>26</v>
      </c>
      <c r="H660" t="s">
        <v>1885</v>
      </c>
      <c r="I660" t="s">
        <v>3801</v>
      </c>
      <c r="J660" t="s">
        <v>3034</v>
      </c>
      <c r="K660" s="1">
        <v>46027.103078703702</v>
      </c>
      <c r="L660">
        <v>651.76</v>
      </c>
      <c r="M660">
        <v>19.2</v>
      </c>
      <c r="N660">
        <v>632.55999999999995</v>
      </c>
      <c r="O660" t="s">
        <v>52</v>
      </c>
      <c r="P660" t="s">
        <v>3561</v>
      </c>
      <c r="Q660" t="s">
        <v>3036</v>
      </c>
      <c r="R660" t="s">
        <v>4977</v>
      </c>
      <c r="S660" t="s">
        <v>4992</v>
      </c>
      <c r="T660" t="s">
        <v>4992</v>
      </c>
    </row>
    <row r="661" spans="1:20" x14ac:dyDescent="0.25">
      <c r="A661" t="s">
        <v>1886</v>
      </c>
      <c r="B661" t="s">
        <v>1887</v>
      </c>
      <c r="C661" s="1">
        <v>46028.185740740744</v>
      </c>
      <c r="D661">
        <v>911.79</v>
      </c>
      <c r="E661" t="s">
        <v>19</v>
      </c>
      <c r="F661" t="s">
        <v>20</v>
      </c>
      <c r="G661" t="s">
        <v>30</v>
      </c>
      <c r="H661" t="s">
        <v>1888</v>
      </c>
      <c r="I661" t="s">
        <v>3802</v>
      </c>
      <c r="J661" t="s">
        <v>3034</v>
      </c>
      <c r="K661" s="1">
        <v>46028.192685185182</v>
      </c>
      <c r="L661">
        <v>912.9</v>
      </c>
      <c r="M661">
        <v>26.77</v>
      </c>
      <c r="N661">
        <v>886.13</v>
      </c>
      <c r="O661" t="s">
        <v>19</v>
      </c>
      <c r="P661" t="s">
        <v>3563</v>
      </c>
      <c r="Q661" t="s">
        <v>3036</v>
      </c>
      <c r="R661" t="s">
        <v>4977</v>
      </c>
      <c r="S661" t="s">
        <v>4991</v>
      </c>
      <c r="T661" t="s">
        <v>4992</v>
      </c>
    </row>
    <row r="662" spans="1:20" x14ac:dyDescent="0.25">
      <c r="A662" t="s">
        <v>1889</v>
      </c>
      <c r="B662" t="s">
        <v>1890</v>
      </c>
      <c r="C662" s="1">
        <v>46028.272638888891</v>
      </c>
      <c r="D662">
        <v>80.38</v>
      </c>
      <c r="E662" t="s">
        <v>25</v>
      </c>
      <c r="F662" t="s">
        <v>20</v>
      </c>
      <c r="G662" t="s">
        <v>21</v>
      </c>
      <c r="H662" t="s">
        <v>1891</v>
      </c>
      <c r="I662" t="s">
        <v>3803</v>
      </c>
      <c r="J662" t="s">
        <v>3034</v>
      </c>
      <c r="K662" s="1">
        <v>46028.279583333337</v>
      </c>
      <c r="L662">
        <v>80.38</v>
      </c>
      <c r="M662">
        <v>2.63</v>
      </c>
      <c r="N662">
        <v>77.75</v>
      </c>
      <c r="O662" t="s">
        <v>25</v>
      </c>
      <c r="P662" t="s">
        <v>3476</v>
      </c>
      <c r="Q662" t="s">
        <v>3036</v>
      </c>
      <c r="R662" t="s">
        <v>4977</v>
      </c>
      <c r="S662" t="s">
        <v>4992</v>
      </c>
      <c r="T662" t="s">
        <v>4992</v>
      </c>
    </row>
    <row r="663" spans="1:20" x14ac:dyDescent="0.25">
      <c r="A663" t="s">
        <v>1892</v>
      </c>
      <c r="B663" t="s">
        <v>1893</v>
      </c>
      <c r="C663" s="1">
        <v>46029.33662037037</v>
      </c>
      <c r="D663">
        <v>1880.6</v>
      </c>
      <c r="E663" t="s">
        <v>25</v>
      </c>
      <c r="F663" t="s">
        <v>20</v>
      </c>
      <c r="G663" t="s">
        <v>26</v>
      </c>
      <c r="H663" t="s">
        <v>1894</v>
      </c>
      <c r="I663" t="s">
        <v>3804</v>
      </c>
      <c r="J663" t="s">
        <v>3034</v>
      </c>
      <c r="K663" s="1">
        <v>46029.343564814815</v>
      </c>
      <c r="L663">
        <v>1880.6</v>
      </c>
      <c r="M663">
        <v>54.84</v>
      </c>
      <c r="N663">
        <v>1825.76</v>
      </c>
      <c r="O663" t="s">
        <v>25</v>
      </c>
      <c r="P663" t="s">
        <v>3478</v>
      </c>
      <c r="Q663" t="s">
        <v>3036</v>
      </c>
      <c r="R663" t="s">
        <v>4977</v>
      </c>
      <c r="S663" t="s">
        <v>4992</v>
      </c>
      <c r="T663" t="s">
        <v>4992</v>
      </c>
    </row>
    <row r="664" spans="1:20" x14ac:dyDescent="0.25">
      <c r="A664" t="s">
        <v>1892</v>
      </c>
      <c r="B664" t="s">
        <v>1893</v>
      </c>
      <c r="C664" s="1">
        <v>46029.33662037037</v>
      </c>
      <c r="D664">
        <v>1880.6</v>
      </c>
      <c r="E664" t="s">
        <v>25</v>
      </c>
      <c r="F664" t="s">
        <v>20</v>
      </c>
      <c r="G664" t="s">
        <v>26</v>
      </c>
      <c r="H664" t="s">
        <v>1894</v>
      </c>
      <c r="I664" t="s">
        <v>3804</v>
      </c>
      <c r="J664" t="s">
        <v>3034</v>
      </c>
      <c r="K664" s="1">
        <v>46029.343564814815</v>
      </c>
      <c r="L664">
        <v>1880.6</v>
      </c>
      <c r="M664">
        <v>54.84</v>
      </c>
      <c r="N664">
        <v>1825.76</v>
      </c>
      <c r="O664" t="s">
        <v>25</v>
      </c>
      <c r="P664" t="s">
        <v>3478</v>
      </c>
      <c r="Q664" t="s">
        <v>3036</v>
      </c>
      <c r="R664" t="s">
        <v>4977</v>
      </c>
      <c r="S664" t="s">
        <v>4992</v>
      </c>
      <c r="T664" t="s">
        <v>4992</v>
      </c>
    </row>
    <row r="665" spans="1:20" x14ac:dyDescent="0.25">
      <c r="A665" t="s">
        <v>1895</v>
      </c>
      <c r="B665" t="s">
        <v>1896</v>
      </c>
      <c r="C665" s="1">
        <v>46030.443831018521</v>
      </c>
      <c r="D665">
        <v>876.28</v>
      </c>
      <c r="E665" t="s">
        <v>25</v>
      </c>
      <c r="F665" t="s">
        <v>20</v>
      </c>
      <c r="G665" t="s">
        <v>30</v>
      </c>
      <c r="H665" t="s">
        <v>1897</v>
      </c>
      <c r="I665" t="s">
        <v>3805</v>
      </c>
      <c r="J665" t="s">
        <v>3034</v>
      </c>
      <c r="K665" s="1">
        <v>46030.450775462959</v>
      </c>
      <c r="L665">
        <v>876.28</v>
      </c>
      <c r="M665">
        <v>25.71</v>
      </c>
      <c r="N665">
        <v>850.57</v>
      </c>
      <c r="O665" t="s">
        <v>25</v>
      </c>
      <c r="P665" t="s">
        <v>3480</v>
      </c>
      <c r="Q665" t="s">
        <v>3036</v>
      </c>
      <c r="R665" t="s">
        <v>4977</v>
      </c>
      <c r="S665" t="s">
        <v>4992</v>
      </c>
      <c r="T665" t="s">
        <v>4992</v>
      </c>
    </row>
    <row r="666" spans="1:20" x14ac:dyDescent="0.25">
      <c r="A666" t="s">
        <v>1898</v>
      </c>
      <c r="B666" t="s">
        <v>1899</v>
      </c>
      <c r="C666" s="1">
        <v>46031.515196759261</v>
      </c>
      <c r="D666">
        <v>934.88</v>
      </c>
      <c r="E666" t="s">
        <v>25</v>
      </c>
      <c r="F666" t="s">
        <v>20</v>
      </c>
      <c r="G666" t="s">
        <v>21</v>
      </c>
      <c r="H666" t="s">
        <v>1900</v>
      </c>
      <c r="I666" t="s">
        <v>3806</v>
      </c>
      <c r="J666" t="s">
        <v>3034</v>
      </c>
      <c r="K666" s="1">
        <v>46031.522141203706</v>
      </c>
      <c r="L666">
        <v>934.88</v>
      </c>
      <c r="M666">
        <v>27.41</v>
      </c>
      <c r="N666">
        <v>907.47</v>
      </c>
      <c r="O666" t="s">
        <v>25</v>
      </c>
      <c r="P666" t="s">
        <v>3482</v>
      </c>
      <c r="Q666" t="s">
        <v>3036</v>
      </c>
      <c r="R666" t="s">
        <v>4977</v>
      </c>
      <c r="S666" t="s">
        <v>4992</v>
      </c>
      <c r="T666" t="s">
        <v>4992</v>
      </c>
    </row>
    <row r="667" spans="1:20" x14ac:dyDescent="0.25">
      <c r="A667" t="s">
        <v>1901</v>
      </c>
      <c r="B667" t="s">
        <v>1902</v>
      </c>
      <c r="C667" s="1">
        <v>46032.610960648148</v>
      </c>
      <c r="D667">
        <v>376.75</v>
      </c>
      <c r="E667" t="s">
        <v>25</v>
      </c>
      <c r="F667" t="s">
        <v>20</v>
      </c>
      <c r="G667" t="s">
        <v>26</v>
      </c>
      <c r="H667" t="s">
        <v>1903</v>
      </c>
      <c r="I667" t="s">
        <v>3807</v>
      </c>
      <c r="J667" t="s">
        <v>3034</v>
      </c>
      <c r="K667" s="1">
        <v>46032.617905092593</v>
      </c>
      <c r="L667">
        <v>376.75</v>
      </c>
      <c r="M667">
        <v>11.23</v>
      </c>
      <c r="N667">
        <v>365.52</v>
      </c>
      <c r="O667" t="s">
        <v>25</v>
      </c>
      <c r="P667" t="s">
        <v>3530</v>
      </c>
      <c r="Q667" t="s">
        <v>3036</v>
      </c>
      <c r="R667" t="s">
        <v>4977</v>
      </c>
      <c r="S667" t="s">
        <v>4992</v>
      </c>
      <c r="T667" t="s">
        <v>4992</v>
      </c>
    </row>
    <row r="668" spans="1:20" x14ac:dyDescent="0.25">
      <c r="A668" t="s">
        <v>1904</v>
      </c>
      <c r="B668" t="s">
        <v>1905</v>
      </c>
      <c r="C668" s="1">
        <v>46033.712175925924</v>
      </c>
      <c r="D668">
        <v>2000.87</v>
      </c>
      <c r="E668" t="s">
        <v>25</v>
      </c>
      <c r="F668" t="s">
        <v>20</v>
      </c>
      <c r="G668" t="s">
        <v>30</v>
      </c>
      <c r="H668" t="s">
        <v>1906</v>
      </c>
      <c r="I668" t="s">
        <v>3808</v>
      </c>
      <c r="J668" t="s">
        <v>3034</v>
      </c>
      <c r="K668" s="1">
        <v>46033.71912037037</v>
      </c>
      <c r="L668">
        <v>2000.87</v>
      </c>
      <c r="M668">
        <v>58.33</v>
      </c>
      <c r="N668">
        <v>1942.54</v>
      </c>
      <c r="O668" t="s">
        <v>25</v>
      </c>
      <c r="P668" t="s">
        <v>3510</v>
      </c>
      <c r="Q668" t="s">
        <v>3036</v>
      </c>
      <c r="R668" t="s">
        <v>4977</v>
      </c>
      <c r="S668" t="s">
        <v>4992</v>
      </c>
      <c r="T668" t="s">
        <v>4992</v>
      </c>
    </row>
    <row r="669" spans="1:20" x14ac:dyDescent="0.25">
      <c r="A669" t="s">
        <v>1907</v>
      </c>
      <c r="B669" t="s">
        <v>1908</v>
      </c>
      <c r="C669" s="1">
        <v>46034.795312499999</v>
      </c>
      <c r="D669">
        <v>2363.73</v>
      </c>
      <c r="E669" t="s">
        <v>25</v>
      </c>
      <c r="F669" t="s">
        <v>20</v>
      </c>
      <c r="G669" t="s">
        <v>21</v>
      </c>
      <c r="H669" t="s">
        <v>1909</v>
      </c>
      <c r="I669" t="s">
        <v>3809</v>
      </c>
      <c r="J669" t="s">
        <v>3034</v>
      </c>
      <c r="K669" s="1">
        <v>46034.802256944444</v>
      </c>
      <c r="L669">
        <v>2363.73</v>
      </c>
      <c r="M669">
        <v>68.849999999999994</v>
      </c>
      <c r="N669">
        <v>2294.88</v>
      </c>
      <c r="O669" t="s">
        <v>25</v>
      </c>
      <c r="P669" t="s">
        <v>3553</v>
      </c>
      <c r="Q669" t="s">
        <v>3036</v>
      </c>
      <c r="R669" t="s">
        <v>4977</v>
      </c>
      <c r="S669" t="s">
        <v>4992</v>
      </c>
      <c r="T669" t="s">
        <v>4992</v>
      </c>
    </row>
    <row r="670" spans="1:20" x14ac:dyDescent="0.25">
      <c r="A670" t="s">
        <v>1910</v>
      </c>
      <c r="B670" t="s">
        <v>1911</v>
      </c>
      <c r="C670" s="1">
        <v>46035.893055555556</v>
      </c>
      <c r="D670">
        <v>955.41</v>
      </c>
      <c r="E670" t="s">
        <v>25</v>
      </c>
      <c r="F670" t="s">
        <v>20</v>
      </c>
      <c r="G670" t="s">
        <v>26</v>
      </c>
      <c r="H670" t="s">
        <v>1912</v>
      </c>
      <c r="I670" t="s">
        <v>3810</v>
      </c>
      <c r="J670" t="s">
        <v>3034</v>
      </c>
      <c r="K670" s="1">
        <v>46035.9</v>
      </c>
      <c r="L670">
        <v>955.41</v>
      </c>
      <c r="M670">
        <v>28.01</v>
      </c>
      <c r="N670">
        <v>927.4</v>
      </c>
      <c r="O670" t="s">
        <v>25</v>
      </c>
      <c r="P670" t="s">
        <v>3490</v>
      </c>
      <c r="Q670" t="s">
        <v>3036</v>
      </c>
      <c r="R670" t="s">
        <v>4977</v>
      </c>
      <c r="S670" t="s">
        <v>4992</v>
      </c>
      <c r="T670" t="s">
        <v>4992</v>
      </c>
    </row>
    <row r="671" spans="1:20" x14ac:dyDescent="0.25">
      <c r="A671" t="s">
        <v>1913</v>
      </c>
      <c r="B671" t="s">
        <v>1914</v>
      </c>
      <c r="C671" s="1">
        <v>46036.98636574074</v>
      </c>
      <c r="D671">
        <v>20.78</v>
      </c>
      <c r="E671" t="s">
        <v>52</v>
      </c>
      <c r="F671" t="s">
        <v>20</v>
      </c>
      <c r="G671" t="s">
        <v>30</v>
      </c>
      <c r="H671" t="s">
        <v>1915</v>
      </c>
      <c r="I671" t="s">
        <v>3811</v>
      </c>
      <c r="J671" t="s">
        <v>3034</v>
      </c>
      <c r="K671" s="1">
        <v>46036.993310185186</v>
      </c>
      <c r="L671">
        <v>20.78</v>
      </c>
      <c r="M671">
        <v>0.9</v>
      </c>
      <c r="N671">
        <v>19.88</v>
      </c>
      <c r="O671" t="s">
        <v>52</v>
      </c>
      <c r="P671" t="s">
        <v>3576</v>
      </c>
      <c r="Q671" t="s">
        <v>3036</v>
      </c>
      <c r="R671" t="s">
        <v>4977</v>
      </c>
      <c r="S671" t="s">
        <v>4992</v>
      </c>
      <c r="T671" t="s">
        <v>4992</v>
      </c>
    </row>
    <row r="672" spans="1:20" x14ac:dyDescent="0.25">
      <c r="A672" t="s">
        <v>1916</v>
      </c>
      <c r="B672" t="s">
        <v>1917</v>
      </c>
      <c r="C672" s="1">
        <v>46024.071238425924</v>
      </c>
      <c r="D672">
        <v>1803.21</v>
      </c>
      <c r="E672" t="s">
        <v>19</v>
      </c>
      <c r="F672" t="s">
        <v>20</v>
      </c>
      <c r="G672" t="s">
        <v>21</v>
      </c>
      <c r="H672" t="s">
        <v>1918</v>
      </c>
      <c r="I672" t="s">
        <v>3812</v>
      </c>
      <c r="J672" t="s">
        <v>3034</v>
      </c>
      <c r="K672" s="1">
        <v>46024.078182870369</v>
      </c>
      <c r="L672">
        <v>1803.21</v>
      </c>
      <c r="M672">
        <v>52.59</v>
      </c>
      <c r="N672">
        <v>1750.62</v>
      </c>
      <c r="O672" t="s">
        <v>19</v>
      </c>
      <c r="P672" t="s">
        <v>3466</v>
      </c>
      <c r="Q672" t="s">
        <v>3036</v>
      </c>
      <c r="R672" t="s">
        <v>4977</v>
      </c>
      <c r="S672" t="s">
        <v>4992</v>
      </c>
      <c r="T672" t="s">
        <v>4992</v>
      </c>
    </row>
    <row r="673" spans="1:20" x14ac:dyDescent="0.25">
      <c r="A673" t="s">
        <v>1919</v>
      </c>
      <c r="B673" t="s">
        <v>1920</v>
      </c>
      <c r="C673" s="1">
        <v>46025.171712962961</v>
      </c>
      <c r="D673">
        <v>1728.99</v>
      </c>
      <c r="E673" t="s">
        <v>25</v>
      </c>
      <c r="F673" t="s">
        <v>20</v>
      </c>
      <c r="G673" t="s">
        <v>26</v>
      </c>
      <c r="H673" t="s">
        <v>1921</v>
      </c>
      <c r="I673" t="s">
        <v>3813</v>
      </c>
      <c r="J673" t="s">
        <v>3034</v>
      </c>
      <c r="K673" s="1">
        <v>46025.178657407407</v>
      </c>
      <c r="L673">
        <v>1728.99</v>
      </c>
      <c r="M673">
        <v>50.44</v>
      </c>
      <c r="N673">
        <v>1678.55</v>
      </c>
      <c r="O673" t="s">
        <v>25</v>
      </c>
      <c r="P673" t="s">
        <v>3468</v>
      </c>
      <c r="Q673" t="s">
        <v>3036</v>
      </c>
      <c r="R673" t="s">
        <v>4977</v>
      </c>
      <c r="S673" t="s">
        <v>4992</v>
      </c>
      <c r="T673" t="s">
        <v>4992</v>
      </c>
    </row>
    <row r="674" spans="1:20" x14ac:dyDescent="0.25">
      <c r="A674" t="s">
        <v>1922</v>
      </c>
      <c r="B674" t="s">
        <v>1923</v>
      </c>
      <c r="C674" s="1">
        <v>46025.282164351855</v>
      </c>
      <c r="D674">
        <v>2419.88</v>
      </c>
      <c r="E674" t="s">
        <v>25</v>
      </c>
      <c r="F674" t="s">
        <v>20</v>
      </c>
      <c r="G674" t="s">
        <v>30</v>
      </c>
      <c r="H674" t="s">
        <v>1924</v>
      </c>
      <c r="I674" t="s">
        <v>3814</v>
      </c>
      <c r="J674" t="s">
        <v>3034</v>
      </c>
      <c r="K674" s="1">
        <v>46025.2891087963</v>
      </c>
      <c r="L674">
        <v>2419.88</v>
      </c>
      <c r="M674">
        <v>70.48</v>
      </c>
      <c r="N674">
        <v>2349.4</v>
      </c>
      <c r="O674" t="s">
        <v>25</v>
      </c>
      <c r="P674" t="s">
        <v>3470</v>
      </c>
      <c r="Q674" t="s">
        <v>3036</v>
      </c>
      <c r="R674" t="s">
        <v>4977</v>
      </c>
      <c r="S674" t="s">
        <v>4992</v>
      </c>
      <c r="T674" t="s">
        <v>4992</v>
      </c>
    </row>
    <row r="675" spans="1:20" x14ac:dyDescent="0.25">
      <c r="A675" t="s">
        <v>1925</v>
      </c>
      <c r="B675" t="s">
        <v>1926</v>
      </c>
      <c r="C675" s="1">
        <v>46026.347511574073</v>
      </c>
      <c r="D675">
        <v>172.49</v>
      </c>
      <c r="E675" t="s">
        <v>25</v>
      </c>
      <c r="F675" t="s">
        <v>20</v>
      </c>
      <c r="G675" t="s">
        <v>21</v>
      </c>
      <c r="H675" t="s">
        <v>1927</v>
      </c>
      <c r="I675" t="s">
        <v>3815</v>
      </c>
      <c r="J675" t="s">
        <v>3034</v>
      </c>
      <c r="K675" s="1">
        <v>46026.354456018518</v>
      </c>
      <c r="L675">
        <v>172.49</v>
      </c>
      <c r="M675">
        <v>5.3</v>
      </c>
      <c r="N675">
        <v>167.19</v>
      </c>
      <c r="O675" t="s">
        <v>25</v>
      </c>
      <c r="P675" t="s">
        <v>3472</v>
      </c>
      <c r="Q675" t="s">
        <v>3036</v>
      </c>
      <c r="R675" t="s">
        <v>4977</v>
      </c>
      <c r="S675" t="s">
        <v>4992</v>
      </c>
      <c r="T675" t="s">
        <v>4992</v>
      </c>
    </row>
    <row r="676" spans="1:20" x14ac:dyDescent="0.25">
      <c r="A676" t="s">
        <v>1928</v>
      </c>
      <c r="B676" t="s">
        <v>1929</v>
      </c>
      <c r="C676" s="1">
        <v>46027.461388888885</v>
      </c>
      <c r="D676">
        <v>1950.81</v>
      </c>
      <c r="E676" t="s">
        <v>25</v>
      </c>
      <c r="F676" t="s">
        <v>20</v>
      </c>
      <c r="G676" t="s">
        <v>26</v>
      </c>
      <c r="H676" t="s">
        <v>1930</v>
      </c>
      <c r="I676" t="s">
        <v>3816</v>
      </c>
      <c r="J676" t="s">
        <v>3034</v>
      </c>
      <c r="K676" s="1">
        <v>46027.468333333331</v>
      </c>
      <c r="L676">
        <v>1950.81</v>
      </c>
      <c r="M676">
        <v>56.87</v>
      </c>
      <c r="N676">
        <v>1893.94</v>
      </c>
      <c r="O676" t="s">
        <v>25</v>
      </c>
      <c r="P676" t="s">
        <v>3474</v>
      </c>
      <c r="Q676" t="s">
        <v>3036</v>
      </c>
      <c r="R676" t="s">
        <v>4977</v>
      </c>
      <c r="S676" t="s">
        <v>4992</v>
      </c>
      <c r="T676" t="s">
        <v>4992</v>
      </c>
    </row>
    <row r="677" spans="1:20" x14ac:dyDescent="0.25">
      <c r="A677" t="s">
        <v>1931</v>
      </c>
      <c r="B677" t="s">
        <v>1932</v>
      </c>
      <c r="C677" s="1">
        <v>46028.541712962964</v>
      </c>
      <c r="D677">
        <v>976.84</v>
      </c>
      <c r="E677" t="s">
        <v>25</v>
      </c>
      <c r="F677" t="s">
        <v>20</v>
      </c>
      <c r="G677" t="s">
        <v>30</v>
      </c>
      <c r="H677" t="s">
        <v>1933</v>
      </c>
      <c r="I677" t="s">
        <v>3817</v>
      </c>
      <c r="J677" t="s">
        <v>3034</v>
      </c>
      <c r="K677" s="1">
        <v>46028.548657407409</v>
      </c>
      <c r="L677">
        <v>976.84</v>
      </c>
      <c r="M677">
        <v>28.63</v>
      </c>
      <c r="N677">
        <v>948.21</v>
      </c>
      <c r="O677" t="s">
        <v>25</v>
      </c>
      <c r="P677" t="s">
        <v>3476</v>
      </c>
      <c r="Q677" t="s">
        <v>3036</v>
      </c>
      <c r="R677" t="s">
        <v>4977</v>
      </c>
      <c r="S677" t="s">
        <v>4992</v>
      </c>
      <c r="T677" t="s">
        <v>4992</v>
      </c>
    </row>
    <row r="678" spans="1:20" x14ac:dyDescent="0.25">
      <c r="A678" t="s">
        <v>1934</v>
      </c>
      <c r="B678" t="s">
        <v>1935</v>
      </c>
      <c r="C678" s="1">
        <v>46029.633194444446</v>
      </c>
      <c r="D678">
        <v>2438.5</v>
      </c>
      <c r="E678" t="s">
        <v>25</v>
      </c>
      <c r="F678" t="s">
        <v>20</v>
      </c>
      <c r="G678" t="s">
        <v>21</v>
      </c>
      <c r="H678" t="s">
        <v>1936</v>
      </c>
      <c r="I678" t="s">
        <v>3818</v>
      </c>
      <c r="J678" t="s">
        <v>3034</v>
      </c>
      <c r="K678" s="1">
        <v>46029.640138888892</v>
      </c>
      <c r="L678">
        <v>2438.5</v>
      </c>
      <c r="M678">
        <v>71.02</v>
      </c>
      <c r="N678">
        <v>2367.48</v>
      </c>
      <c r="O678" t="s">
        <v>25</v>
      </c>
      <c r="P678" t="s">
        <v>3478</v>
      </c>
      <c r="Q678" t="s">
        <v>3036</v>
      </c>
      <c r="R678" t="s">
        <v>4977</v>
      </c>
      <c r="S678" t="s">
        <v>4992</v>
      </c>
      <c r="T678" t="s">
        <v>4992</v>
      </c>
    </row>
    <row r="679" spans="1:20" x14ac:dyDescent="0.25">
      <c r="A679" t="s">
        <v>1934</v>
      </c>
      <c r="B679" t="s">
        <v>1935</v>
      </c>
      <c r="C679" s="1">
        <v>46029.633194444446</v>
      </c>
      <c r="D679">
        <v>2438.5</v>
      </c>
      <c r="E679" t="s">
        <v>25</v>
      </c>
      <c r="F679" t="s">
        <v>20</v>
      </c>
      <c r="G679" t="s">
        <v>21</v>
      </c>
      <c r="H679" t="s">
        <v>1936</v>
      </c>
      <c r="I679" t="s">
        <v>3818</v>
      </c>
      <c r="J679" t="s">
        <v>3034</v>
      </c>
      <c r="K679" s="1">
        <v>46029.640138888892</v>
      </c>
      <c r="L679">
        <v>2438.5</v>
      </c>
      <c r="M679">
        <v>71.02</v>
      </c>
      <c r="N679">
        <v>2367.48</v>
      </c>
      <c r="O679" t="s">
        <v>25</v>
      </c>
      <c r="P679" t="s">
        <v>3478</v>
      </c>
      <c r="Q679" t="s">
        <v>3036</v>
      </c>
      <c r="R679" t="s">
        <v>4977</v>
      </c>
      <c r="S679" t="s">
        <v>4992</v>
      </c>
      <c r="T679" t="s">
        <v>4992</v>
      </c>
    </row>
    <row r="680" spans="1:20" x14ac:dyDescent="0.25">
      <c r="A680" t="s">
        <v>1937</v>
      </c>
      <c r="B680" t="s">
        <v>1938</v>
      </c>
      <c r="C680" s="1">
        <v>46030.740115740744</v>
      </c>
      <c r="D680">
        <v>706.29</v>
      </c>
      <c r="E680" t="s">
        <v>25</v>
      </c>
      <c r="F680" t="s">
        <v>20</v>
      </c>
      <c r="G680" t="s">
        <v>26</v>
      </c>
      <c r="H680" t="s">
        <v>1939</v>
      </c>
      <c r="I680" t="s">
        <v>3819</v>
      </c>
      <c r="J680" t="s">
        <v>3034</v>
      </c>
      <c r="K680" s="1">
        <v>46030.747060185182</v>
      </c>
      <c r="L680">
        <v>706.29</v>
      </c>
      <c r="M680">
        <v>21.15</v>
      </c>
      <c r="N680">
        <v>685.14</v>
      </c>
      <c r="O680" t="s">
        <v>25</v>
      </c>
      <c r="P680" t="s">
        <v>3480</v>
      </c>
      <c r="Q680" t="s">
        <v>3036</v>
      </c>
      <c r="R680" t="s">
        <v>4977</v>
      </c>
      <c r="S680" t="s">
        <v>4992</v>
      </c>
      <c r="T680" t="s">
        <v>4992</v>
      </c>
    </row>
    <row r="681" spans="1:20" x14ac:dyDescent="0.25">
      <c r="A681" t="s">
        <v>1940</v>
      </c>
      <c r="B681" t="s">
        <v>1941</v>
      </c>
      <c r="C681" s="1">
        <v>46031.818310185183</v>
      </c>
      <c r="D681">
        <v>1795.33</v>
      </c>
      <c r="E681" t="s">
        <v>25</v>
      </c>
      <c r="F681" t="s">
        <v>20</v>
      </c>
      <c r="G681" t="s">
        <v>30</v>
      </c>
      <c r="H681" t="s">
        <v>1942</v>
      </c>
      <c r="I681" t="s">
        <v>3820</v>
      </c>
      <c r="J681" t="s">
        <v>3034</v>
      </c>
      <c r="K681" s="1">
        <v>46031.825254629628</v>
      </c>
      <c r="L681">
        <v>1795.33</v>
      </c>
      <c r="M681">
        <v>52.36</v>
      </c>
      <c r="N681">
        <v>1742.97</v>
      </c>
      <c r="O681" t="s">
        <v>25</v>
      </c>
      <c r="P681" t="s">
        <v>3482</v>
      </c>
      <c r="Q681" t="s">
        <v>3036</v>
      </c>
      <c r="R681" t="s">
        <v>4977</v>
      </c>
      <c r="S681" t="s">
        <v>4992</v>
      </c>
      <c r="T681" t="s">
        <v>4992</v>
      </c>
    </row>
    <row r="682" spans="1:20" x14ac:dyDescent="0.25">
      <c r="A682" t="s">
        <v>1943</v>
      </c>
      <c r="B682" t="s">
        <v>1944</v>
      </c>
      <c r="C682" s="1">
        <v>46032.889606481483</v>
      </c>
      <c r="D682">
        <v>625.12</v>
      </c>
      <c r="E682" t="s">
        <v>52</v>
      </c>
      <c r="F682" t="s">
        <v>20</v>
      </c>
      <c r="G682" t="s">
        <v>21</v>
      </c>
      <c r="H682" t="s">
        <v>1945</v>
      </c>
      <c r="I682" t="s">
        <v>3821</v>
      </c>
      <c r="J682" t="s">
        <v>3034</v>
      </c>
      <c r="K682" s="1">
        <v>46032.896550925929</v>
      </c>
      <c r="L682">
        <v>625.12</v>
      </c>
      <c r="M682">
        <v>18.43</v>
      </c>
      <c r="N682">
        <v>606.69000000000005</v>
      </c>
      <c r="O682" t="s">
        <v>52</v>
      </c>
      <c r="P682" t="s">
        <v>3484</v>
      </c>
      <c r="Q682" t="s">
        <v>3036</v>
      </c>
      <c r="R682" t="s">
        <v>4977</v>
      </c>
      <c r="S682" t="s">
        <v>4992</v>
      </c>
      <c r="T682" t="s">
        <v>4992</v>
      </c>
    </row>
    <row r="683" spans="1:20" x14ac:dyDescent="0.25">
      <c r="A683" t="s">
        <v>1946</v>
      </c>
      <c r="B683" t="s">
        <v>1947</v>
      </c>
      <c r="C683" s="1">
        <v>46033.985671296294</v>
      </c>
      <c r="D683">
        <v>2353.5500000000002</v>
      </c>
      <c r="E683" t="s">
        <v>19</v>
      </c>
      <c r="F683" t="s">
        <v>20</v>
      </c>
      <c r="G683" t="s">
        <v>26</v>
      </c>
      <c r="H683" t="s">
        <v>1948</v>
      </c>
      <c r="I683" t="s">
        <v>3822</v>
      </c>
      <c r="J683" t="s">
        <v>3034</v>
      </c>
      <c r="K683" s="1">
        <v>46033.992615740739</v>
      </c>
      <c r="L683">
        <v>2353.5500000000002</v>
      </c>
      <c r="M683">
        <v>68.55</v>
      </c>
      <c r="N683">
        <v>2285</v>
      </c>
      <c r="O683" t="s">
        <v>19</v>
      </c>
      <c r="P683" t="s">
        <v>3486</v>
      </c>
      <c r="Q683" t="s">
        <v>3036</v>
      </c>
      <c r="R683" t="s">
        <v>4977</v>
      </c>
      <c r="S683" t="s">
        <v>4992</v>
      </c>
      <c r="T683" t="s">
        <v>4992</v>
      </c>
    </row>
    <row r="684" spans="1:20" x14ac:dyDescent="0.25">
      <c r="A684" t="s">
        <v>1949</v>
      </c>
      <c r="B684" t="s">
        <v>1950</v>
      </c>
      <c r="C684" s="1">
        <v>46035.074791666666</v>
      </c>
      <c r="D684">
        <v>1595.97</v>
      </c>
      <c r="E684" t="s">
        <v>25</v>
      </c>
      <c r="F684" t="s">
        <v>20</v>
      </c>
      <c r="G684" t="s">
        <v>30</v>
      </c>
      <c r="H684" t="s">
        <v>1951</v>
      </c>
      <c r="I684" t="s">
        <v>3823</v>
      </c>
      <c r="J684" t="s">
        <v>3034</v>
      </c>
      <c r="K684" s="1">
        <v>46035.081736111111</v>
      </c>
      <c r="L684">
        <v>1595.97</v>
      </c>
      <c r="M684">
        <v>46.58</v>
      </c>
      <c r="N684">
        <v>1549.39</v>
      </c>
      <c r="O684" t="s">
        <v>25</v>
      </c>
      <c r="P684" t="s">
        <v>3553</v>
      </c>
      <c r="Q684" t="s">
        <v>3036</v>
      </c>
      <c r="R684" t="s">
        <v>4977</v>
      </c>
      <c r="S684" t="s">
        <v>4992</v>
      </c>
      <c r="T684" t="s">
        <v>4992</v>
      </c>
    </row>
    <row r="685" spans="1:20" x14ac:dyDescent="0.25">
      <c r="A685" t="s">
        <v>1952</v>
      </c>
      <c r="B685" t="s">
        <v>1953</v>
      </c>
      <c r="C685" s="1">
        <v>46036.199745370373</v>
      </c>
      <c r="D685">
        <v>1491.55</v>
      </c>
      <c r="E685" t="s">
        <v>25</v>
      </c>
      <c r="F685" t="s">
        <v>20</v>
      </c>
      <c r="G685" t="s">
        <v>21</v>
      </c>
      <c r="H685" t="s">
        <v>1954</v>
      </c>
      <c r="I685" t="s">
        <v>3824</v>
      </c>
      <c r="J685" t="s">
        <v>3034</v>
      </c>
      <c r="K685" s="1">
        <v>46036.206689814811</v>
      </c>
      <c r="L685">
        <v>1491.55</v>
      </c>
      <c r="M685">
        <v>43.92</v>
      </c>
      <c r="N685">
        <v>1447.63</v>
      </c>
      <c r="O685" t="s">
        <v>25</v>
      </c>
      <c r="P685" t="s">
        <v>3490</v>
      </c>
      <c r="Q685" t="s">
        <v>3036</v>
      </c>
      <c r="R685" t="s">
        <v>4977</v>
      </c>
      <c r="S685" t="s">
        <v>4992</v>
      </c>
      <c r="T685" t="s">
        <v>4992</v>
      </c>
    </row>
    <row r="686" spans="1:20" x14ac:dyDescent="0.25">
      <c r="A686" t="s">
        <v>1955</v>
      </c>
      <c r="B686" t="s">
        <v>1956</v>
      </c>
      <c r="C686" s="1">
        <v>46036.282199074078</v>
      </c>
      <c r="D686">
        <v>1402.73</v>
      </c>
      <c r="E686" t="s">
        <v>25</v>
      </c>
      <c r="F686" t="s">
        <v>20</v>
      </c>
      <c r="G686" t="s">
        <v>26</v>
      </c>
      <c r="H686" t="s">
        <v>1957</v>
      </c>
      <c r="I686" t="s">
        <v>3825</v>
      </c>
      <c r="J686" t="s">
        <v>3034</v>
      </c>
      <c r="K686" s="1">
        <v>46036.289143518516</v>
      </c>
      <c r="L686">
        <v>1402.73</v>
      </c>
      <c r="M686">
        <v>40.98</v>
      </c>
      <c r="N686">
        <v>1361.75</v>
      </c>
      <c r="O686" t="s">
        <v>25</v>
      </c>
      <c r="P686" t="s">
        <v>3492</v>
      </c>
      <c r="Q686" t="s">
        <v>3036</v>
      </c>
      <c r="R686" t="s">
        <v>4977</v>
      </c>
      <c r="S686" t="s">
        <v>4992</v>
      </c>
      <c r="T686" t="s">
        <v>4992</v>
      </c>
    </row>
    <row r="687" spans="1:20" x14ac:dyDescent="0.25">
      <c r="A687" t="s">
        <v>1958</v>
      </c>
      <c r="B687" t="s">
        <v>1959</v>
      </c>
      <c r="C687" s="1">
        <v>46023.360208333332</v>
      </c>
      <c r="D687">
        <v>330.24</v>
      </c>
      <c r="E687" t="s">
        <v>25</v>
      </c>
      <c r="F687" t="s">
        <v>20</v>
      </c>
      <c r="G687" t="s">
        <v>30</v>
      </c>
      <c r="H687" t="s">
        <v>1960</v>
      </c>
      <c r="I687" t="s">
        <v>3826</v>
      </c>
      <c r="J687" t="s">
        <v>3034</v>
      </c>
      <c r="K687" s="1">
        <v>46023.367152777777</v>
      </c>
      <c r="L687">
        <v>330.24</v>
      </c>
      <c r="M687">
        <v>9.8800000000000008</v>
      </c>
      <c r="N687">
        <v>320.36</v>
      </c>
      <c r="O687" t="s">
        <v>25</v>
      </c>
      <c r="P687" t="s">
        <v>3494</v>
      </c>
      <c r="Q687" t="s">
        <v>3036</v>
      </c>
      <c r="R687" t="s">
        <v>4977</v>
      </c>
      <c r="S687" t="s">
        <v>4992</v>
      </c>
      <c r="T687" t="s">
        <v>4992</v>
      </c>
    </row>
    <row r="688" spans="1:20" x14ac:dyDescent="0.25">
      <c r="A688" t="s">
        <v>1961</v>
      </c>
      <c r="B688" t="s">
        <v>1962</v>
      </c>
      <c r="C688" s="1">
        <v>46024.473680555559</v>
      </c>
      <c r="D688">
        <v>117.83</v>
      </c>
      <c r="E688" t="s">
        <v>25</v>
      </c>
      <c r="F688" t="s">
        <v>20</v>
      </c>
      <c r="G688" t="s">
        <v>21</v>
      </c>
      <c r="H688" t="s">
        <v>1963</v>
      </c>
      <c r="I688" t="s">
        <v>3827</v>
      </c>
      <c r="J688" t="s">
        <v>3034</v>
      </c>
      <c r="K688" s="1">
        <v>46024.480624999997</v>
      </c>
      <c r="L688">
        <v>117.83</v>
      </c>
      <c r="M688">
        <v>3.72</v>
      </c>
      <c r="N688">
        <v>114.11</v>
      </c>
      <c r="O688" t="s">
        <v>25</v>
      </c>
      <c r="P688" t="s">
        <v>3468</v>
      </c>
      <c r="Q688" t="s">
        <v>3036</v>
      </c>
      <c r="R688" t="s">
        <v>4977</v>
      </c>
      <c r="S688" t="s">
        <v>4992</v>
      </c>
      <c r="T688" t="s">
        <v>4992</v>
      </c>
    </row>
    <row r="689" spans="1:20" x14ac:dyDescent="0.25">
      <c r="A689" t="s">
        <v>1964</v>
      </c>
      <c r="B689" t="s">
        <v>1965</v>
      </c>
      <c r="C689" s="1">
        <v>46025.545011574075</v>
      </c>
      <c r="D689">
        <v>1154.48</v>
      </c>
      <c r="E689" t="s">
        <v>25</v>
      </c>
      <c r="F689" t="s">
        <v>20</v>
      </c>
      <c r="G689" t="s">
        <v>26</v>
      </c>
      <c r="H689" t="s">
        <v>1966</v>
      </c>
      <c r="I689" t="s">
        <v>3828</v>
      </c>
      <c r="J689" t="s">
        <v>3034</v>
      </c>
      <c r="K689" s="1">
        <v>46025.55195601852</v>
      </c>
      <c r="L689">
        <v>1154.48</v>
      </c>
      <c r="M689">
        <v>33.78</v>
      </c>
      <c r="N689">
        <v>1120.7</v>
      </c>
      <c r="O689" t="s">
        <v>25</v>
      </c>
      <c r="P689" t="s">
        <v>3470</v>
      </c>
      <c r="Q689" t="s">
        <v>3036</v>
      </c>
      <c r="R689" t="s">
        <v>4977</v>
      </c>
      <c r="S689" t="s">
        <v>4992</v>
      </c>
      <c r="T689" t="s">
        <v>4992</v>
      </c>
    </row>
    <row r="690" spans="1:20" x14ac:dyDescent="0.25">
      <c r="A690" t="s">
        <v>1967</v>
      </c>
      <c r="B690" t="s">
        <v>1968</v>
      </c>
      <c r="C690" s="1">
        <v>46026.65425925926</v>
      </c>
      <c r="D690">
        <v>539.03</v>
      </c>
      <c r="E690" t="s">
        <v>25</v>
      </c>
      <c r="F690" t="s">
        <v>20</v>
      </c>
      <c r="G690" t="s">
        <v>30</v>
      </c>
      <c r="H690" t="s">
        <v>1969</v>
      </c>
      <c r="I690" t="s">
        <v>3829</v>
      </c>
      <c r="J690" t="s">
        <v>3034</v>
      </c>
      <c r="K690" s="1">
        <v>46026.661203703705</v>
      </c>
      <c r="L690">
        <v>539.03</v>
      </c>
      <c r="M690">
        <v>15.93</v>
      </c>
      <c r="N690">
        <v>523.1</v>
      </c>
      <c r="O690" t="s">
        <v>25</v>
      </c>
      <c r="P690" t="s">
        <v>3472</v>
      </c>
      <c r="Q690" t="s">
        <v>3036</v>
      </c>
      <c r="R690" t="s">
        <v>4977</v>
      </c>
      <c r="S690" t="s">
        <v>4992</v>
      </c>
      <c r="T690" t="s">
        <v>4992</v>
      </c>
    </row>
    <row r="691" spans="1:20" x14ac:dyDescent="0.25">
      <c r="A691" t="s">
        <v>1970</v>
      </c>
      <c r="B691" t="s">
        <v>1971</v>
      </c>
      <c r="C691" s="1">
        <v>46027.726782407408</v>
      </c>
      <c r="D691">
        <v>1979.31</v>
      </c>
      <c r="E691" t="s">
        <v>25</v>
      </c>
      <c r="F691" t="s">
        <v>20</v>
      </c>
      <c r="G691" t="s">
        <v>21</v>
      </c>
      <c r="H691" t="s">
        <v>1972</v>
      </c>
      <c r="I691" t="s">
        <v>3830</v>
      </c>
      <c r="J691" t="s">
        <v>3034</v>
      </c>
      <c r="K691" s="1">
        <v>46027.733726851853</v>
      </c>
      <c r="L691">
        <v>1979.31</v>
      </c>
      <c r="M691">
        <v>57.7</v>
      </c>
      <c r="N691">
        <v>1921.61</v>
      </c>
      <c r="O691" t="s">
        <v>25</v>
      </c>
      <c r="P691" t="s">
        <v>3474</v>
      </c>
      <c r="Q691" t="s">
        <v>3036</v>
      </c>
      <c r="R691" t="s">
        <v>4977</v>
      </c>
      <c r="S691" t="s">
        <v>4992</v>
      </c>
      <c r="T691" t="s">
        <v>4992</v>
      </c>
    </row>
    <row r="692" spans="1:20" x14ac:dyDescent="0.25">
      <c r="A692" t="s">
        <v>1973</v>
      </c>
      <c r="B692" t="s">
        <v>1974</v>
      </c>
      <c r="C692" s="1">
        <v>46028.831342592595</v>
      </c>
      <c r="D692">
        <v>180.96</v>
      </c>
      <c r="E692" t="s">
        <v>52</v>
      </c>
      <c r="F692" t="s">
        <v>20</v>
      </c>
      <c r="G692" t="s">
        <v>26</v>
      </c>
      <c r="H692" t="s">
        <v>1975</v>
      </c>
      <c r="I692" t="s">
        <v>3831</v>
      </c>
      <c r="J692" t="s">
        <v>3034</v>
      </c>
      <c r="K692" s="1">
        <v>46028.838287037041</v>
      </c>
      <c r="L692">
        <v>180.96</v>
      </c>
      <c r="M692">
        <v>5.55</v>
      </c>
      <c r="N692">
        <v>175.41</v>
      </c>
      <c r="O692" t="s">
        <v>52</v>
      </c>
      <c r="P692" t="s">
        <v>3502</v>
      </c>
      <c r="Q692" t="s">
        <v>3036</v>
      </c>
      <c r="R692" t="s">
        <v>4977</v>
      </c>
      <c r="S692" t="s">
        <v>4992</v>
      </c>
      <c r="T692" t="s">
        <v>4992</v>
      </c>
    </row>
    <row r="693" spans="1:20" x14ac:dyDescent="0.25">
      <c r="A693" t="s">
        <v>1976</v>
      </c>
      <c r="B693" t="s">
        <v>1977</v>
      </c>
      <c r="C693" s="1">
        <v>46029.902395833335</v>
      </c>
      <c r="D693">
        <v>1295.5</v>
      </c>
      <c r="E693" t="s">
        <v>19</v>
      </c>
      <c r="F693" t="s">
        <v>20</v>
      </c>
      <c r="G693" t="s">
        <v>30</v>
      </c>
      <c r="H693" t="s">
        <v>1978</v>
      </c>
      <c r="I693" t="s">
        <v>3832</v>
      </c>
      <c r="J693" t="s">
        <v>3034</v>
      </c>
      <c r="K693" s="1">
        <v>46029.90934027778</v>
      </c>
      <c r="L693">
        <v>1295.5</v>
      </c>
      <c r="M693">
        <v>37.869999999999997</v>
      </c>
      <c r="N693">
        <v>1257.6300000000001</v>
      </c>
      <c r="O693" t="s">
        <v>19</v>
      </c>
      <c r="P693" t="s">
        <v>3504</v>
      </c>
      <c r="Q693" t="s">
        <v>3036</v>
      </c>
      <c r="R693" t="s">
        <v>4977</v>
      </c>
      <c r="S693" t="s">
        <v>4992</v>
      </c>
      <c r="T693" t="s">
        <v>4992</v>
      </c>
    </row>
    <row r="694" spans="1:20" x14ac:dyDescent="0.25">
      <c r="A694" t="s">
        <v>1979</v>
      </c>
      <c r="B694" t="s">
        <v>1980</v>
      </c>
      <c r="C694" s="1">
        <v>46031.001979166664</v>
      </c>
      <c r="D694">
        <v>2134.33</v>
      </c>
      <c r="E694" t="s">
        <v>25</v>
      </c>
      <c r="F694" t="s">
        <v>20</v>
      </c>
      <c r="G694" t="s">
        <v>21</v>
      </c>
      <c r="H694" t="s">
        <v>1981</v>
      </c>
      <c r="I694" t="s">
        <v>3833</v>
      </c>
      <c r="J694" t="s">
        <v>3034</v>
      </c>
      <c r="K694" s="1">
        <v>46031.008923611109</v>
      </c>
      <c r="L694">
        <v>2134.33</v>
      </c>
      <c r="M694">
        <v>62.2</v>
      </c>
      <c r="N694">
        <v>2072.13</v>
      </c>
      <c r="O694" t="s">
        <v>25</v>
      </c>
      <c r="P694" t="s">
        <v>3480</v>
      </c>
      <c r="Q694" t="s">
        <v>3036</v>
      </c>
      <c r="R694" t="s">
        <v>4977</v>
      </c>
      <c r="S694" t="s">
        <v>4992</v>
      </c>
      <c r="T694" t="s">
        <v>4992</v>
      </c>
    </row>
    <row r="695" spans="1:20" x14ac:dyDescent="0.25">
      <c r="A695" t="s">
        <v>1982</v>
      </c>
      <c r="B695" t="s">
        <v>1983</v>
      </c>
      <c r="C695" s="1">
        <v>46032.091956018521</v>
      </c>
      <c r="D695">
        <v>1703.09</v>
      </c>
      <c r="E695" t="s">
        <v>25</v>
      </c>
      <c r="F695" t="s">
        <v>20</v>
      </c>
      <c r="G695" t="s">
        <v>26</v>
      </c>
      <c r="H695" t="s">
        <v>1984</v>
      </c>
      <c r="I695" t="s">
        <v>3834</v>
      </c>
      <c r="J695" t="s">
        <v>3034</v>
      </c>
      <c r="K695" s="1">
        <v>46032.098900462966</v>
      </c>
      <c r="L695">
        <v>1703.09</v>
      </c>
      <c r="M695">
        <v>49.69</v>
      </c>
      <c r="N695">
        <v>1653.4</v>
      </c>
      <c r="O695" t="s">
        <v>25</v>
      </c>
      <c r="P695" t="s">
        <v>3482</v>
      </c>
      <c r="Q695" t="s">
        <v>3036</v>
      </c>
      <c r="R695" t="s">
        <v>4977</v>
      </c>
      <c r="S695" t="s">
        <v>4992</v>
      </c>
      <c r="T695" t="s">
        <v>4992</v>
      </c>
    </row>
    <row r="696" spans="1:20" x14ac:dyDescent="0.25">
      <c r="A696" t="s">
        <v>1985</v>
      </c>
      <c r="B696" t="s">
        <v>1986</v>
      </c>
      <c r="C696" s="1">
        <v>46033.200462962966</v>
      </c>
      <c r="D696">
        <v>1588.41</v>
      </c>
      <c r="E696" t="s">
        <v>25</v>
      </c>
      <c r="F696" t="s">
        <v>20</v>
      </c>
      <c r="G696" t="s">
        <v>30</v>
      </c>
      <c r="H696" t="s">
        <v>1987</v>
      </c>
      <c r="I696" t="s">
        <v>3835</v>
      </c>
      <c r="J696" t="s">
        <v>3034</v>
      </c>
      <c r="K696" s="1">
        <v>46033.207407407404</v>
      </c>
      <c r="L696">
        <v>1588.41</v>
      </c>
      <c r="M696">
        <v>46.36</v>
      </c>
      <c r="N696">
        <v>1542.05</v>
      </c>
      <c r="O696" t="s">
        <v>25</v>
      </c>
      <c r="P696" t="s">
        <v>3530</v>
      </c>
      <c r="Q696" t="s">
        <v>3036</v>
      </c>
      <c r="R696" t="s">
        <v>4977</v>
      </c>
      <c r="S696" t="s">
        <v>4992</v>
      </c>
      <c r="T696" t="s">
        <v>4992</v>
      </c>
    </row>
    <row r="697" spans="1:20" x14ac:dyDescent="0.25">
      <c r="A697" t="s">
        <v>1988</v>
      </c>
      <c r="B697" t="s">
        <v>1989</v>
      </c>
      <c r="C697" s="1">
        <v>46033.299722222226</v>
      </c>
      <c r="D697">
        <v>8.43</v>
      </c>
      <c r="E697" t="s">
        <v>25</v>
      </c>
      <c r="F697" t="s">
        <v>20</v>
      </c>
      <c r="G697" t="s">
        <v>21</v>
      </c>
      <c r="H697" t="s">
        <v>1990</v>
      </c>
      <c r="I697" t="s">
        <v>3836</v>
      </c>
      <c r="J697" t="s">
        <v>3034</v>
      </c>
      <c r="K697" s="1">
        <v>46033.306666666664</v>
      </c>
      <c r="L697">
        <v>8.43</v>
      </c>
      <c r="M697">
        <v>0.54</v>
      </c>
      <c r="N697">
        <v>7.89</v>
      </c>
      <c r="O697" t="s">
        <v>25</v>
      </c>
      <c r="P697" t="s">
        <v>3510</v>
      </c>
      <c r="Q697" t="s">
        <v>3036</v>
      </c>
      <c r="R697" t="s">
        <v>4977</v>
      </c>
      <c r="S697" t="s">
        <v>4992</v>
      </c>
      <c r="T697" t="s">
        <v>4992</v>
      </c>
    </row>
    <row r="698" spans="1:20" x14ac:dyDescent="0.25">
      <c r="A698" t="s">
        <v>1991</v>
      </c>
      <c r="B698" t="s">
        <v>1992</v>
      </c>
      <c r="C698" s="1">
        <v>46034.396284722221</v>
      </c>
      <c r="D698">
        <v>2393.37</v>
      </c>
      <c r="E698" t="s">
        <v>25</v>
      </c>
      <c r="F698" t="s">
        <v>20</v>
      </c>
      <c r="G698" t="s">
        <v>26</v>
      </c>
      <c r="H698" t="s">
        <v>1993</v>
      </c>
      <c r="I698" t="s">
        <v>3837</v>
      </c>
      <c r="J698" t="s">
        <v>3034</v>
      </c>
      <c r="K698" s="1">
        <v>46034.403229166666</v>
      </c>
      <c r="L698">
        <v>2393.37</v>
      </c>
      <c r="M698">
        <v>69.709999999999994</v>
      </c>
      <c r="N698">
        <v>2323.66</v>
      </c>
      <c r="O698" t="s">
        <v>25</v>
      </c>
      <c r="P698" t="s">
        <v>3838</v>
      </c>
      <c r="Q698" t="s">
        <v>3036</v>
      </c>
      <c r="R698" t="s">
        <v>4977</v>
      </c>
      <c r="S698" t="s">
        <v>4992</v>
      </c>
      <c r="T698" t="s">
        <v>4992</v>
      </c>
    </row>
    <row r="699" spans="1:20" x14ac:dyDescent="0.25">
      <c r="A699" t="s">
        <v>1994</v>
      </c>
      <c r="B699" t="s">
        <v>1995</v>
      </c>
      <c r="C699" s="1">
        <v>46035.471458333333</v>
      </c>
      <c r="D699">
        <v>2317.9899999999998</v>
      </c>
      <c r="E699" t="s">
        <v>25</v>
      </c>
      <c r="F699" t="s">
        <v>20</v>
      </c>
      <c r="G699" t="s">
        <v>30</v>
      </c>
      <c r="H699" t="s">
        <v>1996</v>
      </c>
      <c r="I699" t="s">
        <v>3839</v>
      </c>
      <c r="J699" t="s">
        <v>3034</v>
      </c>
      <c r="K699" s="1">
        <v>46035.478402777779</v>
      </c>
      <c r="L699">
        <v>2317.9899999999998</v>
      </c>
      <c r="M699">
        <v>67.52</v>
      </c>
      <c r="N699">
        <v>2250.4699999999998</v>
      </c>
      <c r="O699" t="s">
        <v>25</v>
      </c>
      <c r="P699" t="s">
        <v>3490</v>
      </c>
      <c r="Q699" t="s">
        <v>3036</v>
      </c>
      <c r="R699" t="s">
        <v>4977</v>
      </c>
      <c r="S699" t="s">
        <v>4992</v>
      </c>
      <c r="T699" t="s">
        <v>4992</v>
      </c>
    </row>
    <row r="700" spans="1:20" x14ac:dyDescent="0.25">
      <c r="A700" t="s">
        <v>1997</v>
      </c>
      <c r="B700" t="s">
        <v>1998</v>
      </c>
      <c r="C700" s="1">
        <v>46036.548275462963</v>
      </c>
      <c r="D700">
        <v>685.82</v>
      </c>
      <c r="E700" t="s">
        <v>25</v>
      </c>
      <c r="F700" t="s">
        <v>20</v>
      </c>
      <c r="G700" t="s">
        <v>21</v>
      </c>
      <c r="H700" t="s">
        <v>1999</v>
      </c>
      <c r="I700" t="s">
        <v>3840</v>
      </c>
      <c r="J700" t="s">
        <v>3034</v>
      </c>
      <c r="K700" s="1">
        <v>46036.555219907408</v>
      </c>
      <c r="L700">
        <v>685.82</v>
      </c>
      <c r="M700">
        <v>20.190000000000001</v>
      </c>
      <c r="N700">
        <v>665.63</v>
      </c>
      <c r="O700" t="s">
        <v>25</v>
      </c>
      <c r="P700" t="s">
        <v>3492</v>
      </c>
      <c r="Q700" t="s">
        <v>3036</v>
      </c>
      <c r="R700" t="s">
        <v>4977</v>
      </c>
      <c r="S700" t="s">
        <v>4992</v>
      </c>
      <c r="T700" t="s">
        <v>4992</v>
      </c>
    </row>
    <row r="701" spans="1:20" x14ac:dyDescent="0.25">
      <c r="A701" t="s">
        <v>2000</v>
      </c>
      <c r="B701" t="s">
        <v>2001</v>
      </c>
      <c r="C701" s="1">
        <v>46023.638391203705</v>
      </c>
      <c r="D701">
        <v>133.13999999999999</v>
      </c>
      <c r="E701" t="s">
        <v>25</v>
      </c>
      <c r="F701" t="s">
        <v>20</v>
      </c>
      <c r="G701" t="s">
        <v>26</v>
      </c>
      <c r="H701" t="s">
        <v>2002</v>
      </c>
      <c r="I701" t="s">
        <v>3841</v>
      </c>
      <c r="J701" t="s">
        <v>3034</v>
      </c>
      <c r="K701" s="1">
        <v>46023.645335648151</v>
      </c>
      <c r="L701">
        <v>133.13999999999999</v>
      </c>
      <c r="M701">
        <v>4.16</v>
      </c>
      <c r="N701">
        <v>128.97999999999999</v>
      </c>
      <c r="O701" t="s">
        <v>25</v>
      </c>
      <c r="P701" t="s">
        <v>3494</v>
      </c>
      <c r="Q701" t="s">
        <v>3036</v>
      </c>
      <c r="R701" t="s">
        <v>4977</v>
      </c>
      <c r="S701" t="s">
        <v>4992</v>
      </c>
      <c r="T701" t="s">
        <v>4992</v>
      </c>
    </row>
    <row r="702" spans="1:20" x14ac:dyDescent="0.25">
      <c r="A702" t="s">
        <v>2003</v>
      </c>
      <c r="B702" t="s">
        <v>2004</v>
      </c>
      <c r="C702" s="1">
        <v>46024.730474537035</v>
      </c>
      <c r="D702">
        <v>291.95</v>
      </c>
      <c r="E702" t="s">
        <v>52</v>
      </c>
      <c r="F702" t="s">
        <v>20</v>
      </c>
      <c r="G702" t="s">
        <v>30</v>
      </c>
      <c r="H702" t="s">
        <v>2005</v>
      </c>
      <c r="I702" t="s">
        <v>3842</v>
      </c>
      <c r="J702" t="s">
        <v>3034</v>
      </c>
      <c r="K702" s="1">
        <v>46024.73741898148</v>
      </c>
      <c r="L702">
        <v>291.95</v>
      </c>
      <c r="M702">
        <v>8.77</v>
      </c>
      <c r="N702">
        <v>283.18</v>
      </c>
      <c r="O702" t="s">
        <v>52</v>
      </c>
      <c r="P702" t="s">
        <v>3518</v>
      </c>
      <c r="Q702" t="s">
        <v>3036</v>
      </c>
      <c r="R702" t="s">
        <v>4977</v>
      </c>
      <c r="S702" t="s">
        <v>4992</v>
      </c>
      <c r="T702" t="s">
        <v>4992</v>
      </c>
    </row>
    <row r="703" spans="1:20" x14ac:dyDescent="0.25">
      <c r="A703" t="s">
        <v>2006</v>
      </c>
      <c r="B703" t="s">
        <v>2007</v>
      </c>
      <c r="C703" s="1">
        <v>46025.852337962962</v>
      </c>
      <c r="D703">
        <v>1320.42</v>
      </c>
      <c r="E703" t="s">
        <v>19</v>
      </c>
      <c r="F703" t="s">
        <v>20</v>
      </c>
      <c r="G703" t="s">
        <v>21</v>
      </c>
      <c r="H703" t="s">
        <v>2008</v>
      </c>
      <c r="I703" t="s">
        <v>3843</v>
      </c>
      <c r="J703" t="s">
        <v>3034</v>
      </c>
      <c r="K703" s="1">
        <v>46025.859282407408</v>
      </c>
      <c r="L703">
        <v>1320.42</v>
      </c>
      <c r="M703">
        <v>38.590000000000003</v>
      </c>
      <c r="N703">
        <v>1281.83</v>
      </c>
      <c r="O703" t="s">
        <v>19</v>
      </c>
      <c r="P703" t="s">
        <v>3520</v>
      </c>
      <c r="Q703" t="s">
        <v>3036</v>
      </c>
      <c r="R703" t="s">
        <v>4977</v>
      </c>
      <c r="S703" t="s">
        <v>4992</v>
      </c>
      <c r="T703" t="s">
        <v>4992</v>
      </c>
    </row>
    <row r="704" spans="1:20" x14ac:dyDescent="0.25">
      <c r="A704" t="s">
        <v>2009</v>
      </c>
      <c r="B704" t="s">
        <v>2010</v>
      </c>
      <c r="C704" s="1">
        <v>46026.927453703705</v>
      </c>
      <c r="D704">
        <v>15.06</v>
      </c>
      <c r="E704" t="s">
        <v>25</v>
      </c>
      <c r="F704" t="s">
        <v>20</v>
      </c>
      <c r="G704" t="s">
        <v>26</v>
      </c>
      <c r="H704" t="s">
        <v>2011</v>
      </c>
      <c r="I704" t="s">
        <v>3844</v>
      </c>
      <c r="J704" t="s">
        <v>3034</v>
      </c>
      <c r="K704" s="1">
        <v>46026.934398148151</v>
      </c>
      <c r="L704">
        <v>15.06</v>
      </c>
      <c r="M704">
        <v>0.74</v>
      </c>
      <c r="N704">
        <v>14.32</v>
      </c>
      <c r="O704" t="s">
        <v>25</v>
      </c>
      <c r="P704" t="s">
        <v>3472</v>
      </c>
      <c r="Q704" t="s">
        <v>3036</v>
      </c>
      <c r="R704" t="s">
        <v>4977</v>
      </c>
      <c r="S704" t="s">
        <v>4992</v>
      </c>
      <c r="T704" t="s">
        <v>4992</v>
      </c>
    </row>
    <row r="705" spans="1:20" x14ac:dyDescent="0.25">
      <c r="A705" t="s">
        <v>2009</v>
      </c>
      <c r="B705" t="s">
        <v>2010</v>
      </c>
      <c r="C705" s="1">
        <v>46026.927453703705</v>
      </c>
      <c r="D705">
        <v>15.06</v>
      </c>
      <c r="E705" t="s">
        <v>25</v>
      </c>
      <c r="F705" t="s">
        <v>20</v>
      </c>
      <c r="G705" t="s">
        <v>26</v>
      </c>
      <c r="H705" t="s">
        <v>2011</v>
      </c>
      <c r="I705" t="s">
        <v>3844</v>
      </c>
      <c r="J705" t="s">
        <v>3034</v>
      </c>
      <c r="K705" s="1">
        <v>46026.934398148151</v>
      </c>
      <c r="L705">
        <v>15.06</v>
      </c>
      <c r="M705">
        <v>0.74</v>
      </c>
      <c r="N705">
        <v>14.32</v>
      </c>
      <c r="O705" t="s">
        <v>25</v>
      </c>
      <c r="P705" t="s">
        <v>3472</v>
      </c>
      <c r="Q705" t="s">
        <v>3036</v>
      </c>
      <c r="R705" t="s">
        <v>4977</v>
      </c>
      <c r="S705" t="s">
        <v>4992</v>
      </c>
      <c r="T705" t="s">
        <v>4992</v>
      </c>
    </row>
    <row r="706" spans="1:20" x14ac:dyDescent="0.25">
      <c r="A706" t="s">
        <v>2012</v>
      </c>
      <c r="B706" t="s">
        <v>2013</v>
      </c>
      <c r="C706" s="1">
        <v>46028.00304398148</v>
      </c>
      <c r="D706">
        <v>1809.81</v>
      </c>
      <c r="E706" t="s">
        <v>25</v>
      </c>
      <c r="F706" t="s">
        <v>20</v>
      </c>
      <c r="G706" t="s">
        <v>30</v>
      </c>
      <c r="H706" t="s">
        <v>2014</v>
      </c>
      <c r="I706" t="s">
        <v>3845</v>
      </c>
      <c r="J706" t="s">
        <v>3034</v>
      </c>
      <c r="K706" s="1">
        <v>46028.009988425925</v>
      </c>
      <c r="L706">
        <v>1809.81</v>
      </c>
      <c r="M706">
        <v>52.78</v>
      </c>
      <c r="N706">
        <v>1757.03</v>
      </c>
      <c r="O706" t="s">
        <v>25</v>
      </c>
      <c r="P706" t="s">
        <v>3474</v>
      </c>
      <c r="Q706" t="s">
        <v>3036</v>
      </c>
      <c r="R706" t="s">
        <v>4977</v>
      </c>
      <c r="S706" t="s">
        <v>4992</v>
      </c>
      <c r="T706" t="s">
        <v>4992</v>
      </c>
    </row>
    <row r="707" spans="1:20" x14ac:dyDescent="0.25">
      <c r="A707" t="s">
        <v>2015</v>
      </c>
      <c r="B707" t="s">
        <v>2016</v>
      </c>
      <c r="C707" s="1">
        <v>46029.12736111111</v>
      </c>
      <c r="D707">
        <v>1568.45</v>
      </c>
      <c r="E707" t="s">
        <v>25</v>
      </c>
      <c r="F707" t="s">
        <v>20</v>
      </c>
      <c r="G707" t="s">
        <v>21</v>
      </c>
      <c r="H707" t="s">
        <v>2017</v>
      </c>
      <c r="I707" t="s">
        <v>3846</v>
      </c>
      <c r="J707" t="s">
        <v>3034</v>
      </c>
      <c r="K707" s="1">
        <v>46029.134305555555</v>
      </c>
      <c r="L707">
        <v>1568.45</v>
      </c>
      <c r="M707">
        <v>45.79</v>
      </c>
      <c r="N707">
        <v>1522.66</v>
      </c>
      <c r="O707" t="s">
        <v>25</v>
      </c>
      <c r="P707" t="s">
        <v>3476</v>
      </c>
      <c r="Q707" t="s">
        <v>3036</v>
      </c>
      <c r="R707" t="s">
        <v>4977</v>
      </c>
      <c r="S707" t="s">
        <v>4992</v>
      </c>
      <c r="T707" t="s">
        <v>4992</v>
      </c>
    </row>
    <row r="708" spans="1:20" x14ac:dyDescent="0.25">
      <c r="A708" t="s">
        <v>2018</v>
      </c>
      <c r="B708" t="s">
        <v>2019</v>
      </c>
      <c r="C708" s="1">
        <v>46030.213055555556</v>
      </c>
      <c r="D708">
        <v>951.4</v>
      </c>
      <c r="E708" t="s">
        <v>25</v>
      </c>
      <c r="F708" t="s">
        <v>20</v>
      </c>
      <c r="G708" t="s">
        <v>26</v>
      </c>
      <c r="H708" t="s">
        <v>2020</v>
      </c>
      <c r="I708" t="s">
        <v>3847</v>
      </c>
      <c r="J708" t="s">
        <v>3034</v>
      </c>
      <c r="K708" s="1">
        <v>46030.22</v>
      </c>
      <c r="L708">
        <v>951.4</v>
      </c>
      <c r="M708">
        <v>27.89</v>
      </c>
      <c r="N708">
        <v>923.51</v>
      </c>
      <c r="O708" t="s">
        <v>25</v>
      </c>
      <c r="P708" t="s">
        <v>3478</v>
      </c>
      <c r="Q708" t="s">
        <v>3036</v>
      </c>
      <c r="R708" t="s">
        <v>4977</v>
      </c>
      <c r="S708" t="s">
        <v>4992</v>
      </c>
      <c r="T708" t="s">
        <v>4992</v>
      </c>
    </row>
    <row r="709" spans="1:20" x14ac:dyDescent="0.25">
      <c r="A709" t="s">
        <v>2021</v>
      </c>
      <c r="B709" t="s">
        <v>2022</v>
      </c>
      <c r="C709" s="1">
        <v>46030.280844907407</v>
      </c>
      <c r="D709">
        <v>1549.39</v>
      </c>
      <c r="E709" t="s">
        <v>25</v>
      </c>
      <c r="F709" t="s">
        <v>20</v>
      </c>
      <c r="G709" t="s">
        <v>30</v>
      </c>
      <c r="H709" t="s">
        <v>2023</v>
      </c>
      <c r="I709" t="s">
        <v>3848</v>
      </c>
      <c r="J709" t="s">
        <v>3034</v>
      </c>
      <c r="K709" s="1">
        <v>46030.287789351853</v>
      </c>
      <c r="L709">
        <v>1549.39</v>
      </c>
      <c r="M709">
        <v>45.23</v>
      </c>
      <c r="N709">
        <v>1504.16</v>
      </c>
      <c r="O709" t="s">
        <v>25</v>
      </c>
      <c r="P709" t="s">
        <v>3480</v>
      </c>
      <c r="Q709" t="s">
        <v>3036</v>
      </c>
      <c r="R709" t="s">
        <v>4977</v>
      </c>
      <c r="S709" t="s">
        <v>4992</v>
      </c>
      <c r="T709" t="s">
        <v>4992</v>
      </c>
    </row>
    <row r="710" spans="1:20" x14ac:dyDescent="0.25">
      <c r="A710" t="s">
        <v>2021</v>
      </c>
      <c r="B710" t="s">
        <v>2022</v>
      </c>
      <c r="C710" s="1">
        <v>46030.280844907407</v>
      </c>
      <c r="D710">
        <v>1549.39</v>
      </c>
      <c r="E710" t="s">
        <v>25</v>
      </c>
      <c r="F710" t="s">
        <v>20</v>
      </c>
      <c r="G710" t="s">
        <v>30</v>
      </c>
      <c r="H710" t="s">
        <v>2023</v>
      </c>
      <c r="I710" t="s">
        <v>3849</v>
      </c>
      <c r="J710" t="s">
        <v>3034</v>
      </c>
      <c r="K710" s="1">
        <v>46030.288483796299</v>
      </c>
      <c r="L710">
        <v>1549.39</v>
      </c>
      <c r="M710">
        <v>45.23</v>
      </c>
      <c r="N710">
        <v>1504.16</v>
      </c>
      <c r="O710" t="s">
        <v>25</v>
      </c>
      <c r="P710" t="s">
        <v>3480</v>
      </c>
      <c r="Q710" t="s">
        <v>3036</v>
      </c>
      <c r="R710" t="s">
        <v>4977</v>
      </c>
      <c r="S710" t="s">
        <v>4992</v>
      </c>
      <c r="T710" t="s">
        <v>4992</v>
      </c>
    </row>
    <row r="711" spans="1:20" x14ac:dyDescent="0.25">
      <c r="A711" t="s">
        <v>2024</v>
      </c>
      <c r="B711" t="s">
        <v>2025</v>
      </c>
      <c r="C711" s="1">
        <v>46031.381053240744</v>
      </c>
      <c r="D711">
        <v>2210.02</v>
      </c>
      <c r="E711" t="s">
        <v>25</v>
      </c>
      <c r="F711" t="s">
        <v>20</v>
      </c>
      <c r="G711" t="s">
        <v>21</v>
      </c>
      <c r="H711" t="s">
        <v>2026</v>
      </c>
      <c r="I711" t="s">
        <v>3850</v>
      </c>
      <c r="J711" t="s">
        <v>3034</v>
      </c>
      <c r="K711" s="1">
        <v>46031.387997685182</v>
      </c>
      <c r="L711">
        <v>2210.02</v>
      </c>
      <c r="M711">
        <v>64.39</v>
      </c>
      <c r="N711">
        <v>2145.63</v>
      </c>
      <c r="O711" t="s">
        <v>25</v>
      </c>
      <c r="P711" t="s">
        <v>3851</v>
      </c>
      <c r="Q711" t="s">
        <v>3036</v>
      </c>
      <c r="R711" t="s">
        <v>4977</v>
      </c>
      <c r="S711" t="s">
        <v>4992</v>
      </c>
      <c r="T711" t="s">
        <v>4992</v>
      </c>
    </row>
    <row r="712" spans="1:20" x14ac:dyDescent="0.25">
      <c r="A712" t="s">
        <v>2027</v>
      </c>
      <c r="B712" t="s">
        <v>2028</v>
      </c>
      <c r="C712" s="1">
        <v>46032.479780092595</v>
      </c>
      <c r="D712">
        <v>116.71</v>
      </c>
      <c r="E712" t="s">
        <v>25</v>
      </c>
      <c r="F712" t="s">
        <v>20</v>
      </c>
      <c r="G712" t="s">
        <v>26</v>
      </c>
      <c r="H712" t="s">
        <v>2029</v>
      </c>
      <c r="I712" t="s">
        <v>3852</v>
      </c>
      <c r="J712" t="s">
        <v>3034</v>
      </c>
      <c r="K712" s="1">
        <v>46032.486724537041</v>
      </c>
      <c r="L712">
        <v>116.71</v>
      </c>
      <c r="M712">
        <v>3.68</v>
      </c>
      <c r="N712">
        <v>113.03</v>
      </c>
      <c r="O712" t="s">
        <v>25</v>
      </c>
      <c r="P712" t="s">
        <v>3530</v>
      </c>
      <c r="Q712" t="s">
        <v>3036</v>
      </c>
      <c r="R712" t="s">
        <v>4977</v>
      </c>
      <c r="S712" t="s">
        <v>4992</v>
      </c>
      <c r="T712" t="s">
        <v>4992</v>
      </c>
    </row>
    <row r="713" spans="1:20" x14ac:dyDescent="0.25">
      <c r="A713" t="s">
        <v>2030</v>
      </c>
      <c r="B713" t="s">
        <v>2031</v>
      </c>
      <c r="C713" s="1">
        <v>46033.559537037036</v>
      </c>
      <c r="D713">
        <v>2128.0500000000002</v>
      </c>
      <c r="E713" t="s">
        <v>25</v>
      </c>
      <c r="F713" t="s">
        <v>20</v>
      </c>
      <c r="G713" t="s">
        <v>30</v>
      </c>
      <c r="H713" t="s">
        <v>2032</v>
      </c>
      <c r="I713" t="s">
        <v>3853</v>
      </c>
      <c r="J713" t="s">
        <v>3034</v>
      </c>
      <c r="K713" s="1">
        <v>46033.566481481481</v>
      </c>
      <c r="L713">
        <v>2128.0500000000002</v>
      </c>
      <c r="M713">
        <v>62.38</v>
      </c>
      <c r="N713">
        <v>2065.67</v>
      </c>
      <c r="O713" t="s">
        <v>25</v>
      </c>
      <c r="P713" t="s">
        <v>3510</v>
      </c>
      <c r="Q713" t="s">
        <v>3036</v>
      </c>
      <c r="R713" t="s">
        <v>4977</v>
      </c>
      <c r="S713" t="s">
        <v>4992</v>
      </c>
      <c r="T713" t="s">
        <v>4992</v>
      </c>
    </row>
    <row r="714" spans="1:20" x14ac:dyDescent="0.25">
      <c r="A714" t="s">
        <v>2033</v>
      </c>
      <c r="B714" t="s">
        <v>2034</v>
      </c>
      <c r="C714" s="1">
        <v>46034.673252314817</v>
      </c>
      <c r="D714">
        <v>2408.9899999999998</v>
      </c>
      <c r="E714" t="s">
        <v>52</v>
      </c>
      <c r="F714" t="s">
        <v>20</v>
      </c>
      <c r="G714" t="s">
        <v>21</v>
      </c>
      <c r="H714" t="s">
        <v>2035</v>
      </c>
      <c r="I714" t="s">
        <v>3854</v>
      </c>
      <c r="J714" t="s">
        <v>3034</v>
      </c>
      <c r="K714" s="1">
        <v>46034.680196759262</v>
      </c>
      <c r="L714">
        <v>2408.9899999999998</v>
      </c>
      <c r="M714">
        <v>70.16</v>
      </c>
      <c r="N714">
        <v>2338.83</v>
      </c>
      <c r="O714" t="s">
        <v>52</v>
      </c>
      <c r="P714" t="s">
        <v>3533</v>
      </c>
      <c r="Q714" t="s">
        <v>3036</v>
      </c>
      <c r="R714" t="s">
        <v>4977</v>
      </c>
      <c r="S714" t="s">
        <v>4992</v>
      </c>
      <c r="T714" t="s">
        <v>4992</v>
      </c>
    </row>
    <row r="715" spans="1:20" x14ac:dyDescent="0.25">
      <c r="A715" t="s">
        <v>2036</v>
      </c>
      <c r="B715" t="s">
        <v>2037</v>
      </c>
      <c r="C715" s="1">
        <v>46035.7346875</v>
      </c>
      <c r="D715">
        <v>111.56</v>
      </c>
      <c r="E715" t="s">
        <v>19</v>
      </c>
      <c r="F715" t="s">
        <v>20</v>
      </c>
      <c r="G715" t="s">
        <v>26</v>
      </c>
      <c r="H715" t="s">
        <v>2038</v>
      </c>
      <c r="I715" t="s">
        <v>3855</v>
      </c>
      <c r="J715" t="s">
        <v>3034</v>
      </c>
      <c r="K715" s="1">
        <v>46035.741631944446</v>
      </c>
      <c r="L715">
        <v>111.56</v>
      </c>
      <c r="M715">
        <v>3.54</v>
      </c>
      <c r="N715">
        <v>108.02</v>
      </c>
      <c r="O715" t="s">
        <v>19</v>
      </c>
      <c r="P715" t="s">
        <v>3535</v>
      </c>
      <c r="Q715" t="s">
        <v>3036</v>
      </c>
      <c r="R715" t="s">
        <v>4977</v>
      </c>
      <c r="S715" t="s">
        <v>4992</v>
      </c>
      <c r="T715" t="s">
        <v>4992</v>
      </c>
    </row>
    <row r="716" spans="1:20" x14ac:dyDescent="0.25">
      <c r="A716" t="s">
        <v>2039</v>
      </c>
      <c r="B716" t="s">
        <v>2040</v>
      </c>
      <c r="C716" s="1">
        <v>46036.834236111114</v>
      </c>
      <c r="D716">
        <v>2162.87</v>
      </c>
      <c r="E716" t="s">
        <v>25</v>
      </c>
      <c r="F716" t="s">
        <v>20</v>
      </c>
      <c r="G716" t="s">
        <v>30</v>
      </c>
      <c r="H716" t="s">
        <v>2041</v>
      </c>
      <c r="I716" t="s">
        <v>3856</v>
      </c>
      <c r="J716" t="s">
        <v>3034</v>
      </c>
      <c r="K716" s="1">
        <v>46036.841180555559</v>
      </c>
      <c r="L716">
        <v>2162.87</v>
      </c>
      <c r="M716">
        <v>63.02</v>
      </c>
      <c r="N716">
        <v>2099.85</v>
      </c>
      <c r="O716" t="s">
        <v>25</v>
      </c>
      <c r="P716" t="s">
        <v>3492</v>
      </c>
      <c r="Q716" t="s">
        <v>3036</v>
      </c>
      <c r="R716" t="s">
        <v>4977</v>
      </c>
      <c r="S716" t="s">
        <v>4992</v>
      </c>
      <c r="T716" t="s">
        <v>4992</v>
      </c>
    </row>
    <row r="717" spans="1:20" x14ac:dyDescent="0.25">
      <c r="A717" t="s">
        <v>2042</v>
      </c>
      <c r="B717" t="s">
        <v>2043</v>
      </c>
      <c r="C717" s="1">
        <v>46023.929467592592</v>
      </c>
      <c r="D717">
        <v>704.84</v>
      </c>
      <c r="E717" t="s">
        <v>25</v>
      </c>
      <c r="F717" t="s">
        <v>20</v>
      </c>
      <c r="G717" t="s">
        <v>21</v>
      </c>
      <c r="H717" t="s">
        <v>2044</v>
      </c>
      <c r="I717" t="s">
        <v>3857</v>
      </c>
      <c r="J717" t="s">
        <v>3034</v>
      </c>
      <c r="K717" s="1">
        <v>46023.936412037037</v>
      </c>
      <c r="L717">
        <v>704.84</v>
      </c>
      <c r="M717">
        <v>20.74</v>
      </c>
      <c r="N717">
        <v>684.1</v>
      </c>
      <c r="O717" t="s">
        <v>25</v>
      </c>
      <c r="P717" t="s">
        <v>3494</v>
      </c>
      <c r="Q717" t="s">
        <v>3036</v>
      </c>
      <c r="R717" t="s">
        <v>4977</v>
      </c>
      <c r="S717" t="s">
        <v>4992</v>
      </c>
      <c r="T717" t="s">
        <v>4992</v>
      </c>
    </row>
    <row r="718" spans="1:20" x14ac:dyDescent="0.25">
      <c r="A718" t="s">
        <v>2045</v>
      </c>
      <c r="B718" t="s">
        <v>2046</v>
      </c>
      <c r="C718" s="1">
        <v>46025.030740740738</v>
      </c>
      <c r="D718">
        <v>2390.73</v>
      </c>
      <c r="E718" t="s">
        <v>25</v>
      </c>
      <c r="F718" t="s">
        <v>20</v>
      </c>
      <c r="G718" t="s">
        <v>26</v>
      </c>
      <c r="H718" t="s">
        <v>2047</v>
      </c>
      <c r="I718" t="s">
        <v>3858</v>
      </c>
      <c r="J718" t="s">
        <v>3034</v>
      </c>
      <c r="K718" s="1">
        <v>46025.037685185183</v>
      </c>
      <c r="L718">
        <v>2390.73</v>
      </c>
      <c r="M718">
        <v>69.63</v>
      </c>
      <c r="N718">
        <v>2321.1</v>
      </c>
      <c r="O718" t="s">
        <v>25</v>
      </c>
      <c r="P718" t="s">
        <v>3468</v>
      </c>
      <c r="Q718" t="s">
        <v>3036</v>
      </c>
      <c r="R718" t="s">
        <v>4977</v>
      </c>
      <c r="S718" t="s">
        <v>4992</v>
      </c>
      <c r="T718" t="s">
        <v>4992</v>
      </c>
    </row>
    <row r="719" spans="1:20" x14ac:dyDescent="0.25">
      <c r="A719" t="s">
        <v>2048</v>
      </c>
      <c r="B719" t="s">
        <v>2049</v>
      </c>
      <c r="C719" s="1">
        <v>46026.122199074074</v>
      </c>
      <c r="D719">
        <v>1922.93</v>
      </c>
      <c r="E719" t="s">
        <v>25</v>
      </c>
      <c r="F719" t="s">
        <v>20</v>
      </c>
      <c r="G719" t="s">
        <v>30</v>
      </c>
      <c r="H719" t="s">
        <v>2050</v>
      </c>
      <c r="I719" t="s">
        <v>3859</v>
      </c>
      <c r="J719" t="s">
        <v>3034</v>
      </c>
      <c r="K719" s="1">
        <v>46026.129143518519</v>
      </c>
      <c r="L719">
        <v>1922.93</v>
      </c>
      <c r="M719">
        <v>56.06</v>
      </c>
      <c r="N719">
        <v>1866.87</v>
      </c>
      <c r="O719" t="s">
        <v>25</v>
      </c>
      <c r="P719" t="s">
        <v>3470</v>
      </c>
      <c r="Q719" t="s">
        <v>3036</v>
      </c>
      <c r="R719" t="s">
        <v>4977</v>
      </c>
      <c r="S719" t="s">
        <v>4992</v>
      </c>
      <c r="T719" t="s">
        <v>4992</v>
      </c>
    </row>
    <row r="720" spans="1:20" x14ac:dyDescent="0.25">
      <c r="A720" t="s">
        <v>2054</v>
      </c>
      <c r="B720" t="s">
        <v>2055</v>
      </c>
      <c r="C720" s="1">
        <v>46027.308993055558</v>
      </c>
      <c r="D720">
        <v>233.87</v>
      </c>
      <c r="E720" t="s">
        <v>25</v>
      </c>
      <c r="F720" t="s">
        <v>20</v>
      </c>
      <c r="G720" t="s">
        <v>26</v>
      </c>
      <c r="H720" t="s">
        <v>2056</v>
      </c>
      <c r="I720" t="s">
        <v>3860</v>
      </c>
      <c r="J720" t="s">
        <v>3034</v>
      </c>
      <c r="K720" s="1">
        <v>46027.315937500003</v>
      </c>
      <c r="L720">
        <v>233.87</v>
      </c>
      <c r="M720">
        <v>7.08</v>
      </c>
      <c r="N720">
        <v>226.79</v>
      </c>
      <c r="O720" t="s">
        <v>25</v>
      </c>
      <c r="P720" t="s">
        <v>3474</v>
      </c>
      <c r="Q720" t="s">
        <v>3036</v>
      </c>
      <c r="R720" t="s">
        <v>4977</v>
      </c>
      <c r="S720" t="s">
        <v>4992</v>
      </c>
      <c r="T720" t="s">
        <v>4992</v>
      </c>
    </row>
    <row r="721" spans="1:20" x14ac:dyDescent="0.25">
      <c r="A721" t="s">
        <v>2057</v>
      </c>
      <c r="B721" t="s">
        <v>2058</v>
      </c>
      <c r="C721" s="1">
        <v>46028.410046296296</v>
      </c>
      <c r="D721">
        <v>1849.91</v>
      </c>
      <c r="E721" t="s">
        <v>25</v>
      </c>
      <c r="F721" t="s">
        <v>20</v>
      </c>
      <c r="G721" t="s">
        <v>30</v>
      </c>
      <c r="H721" t="s">
        <v>2059</v>
      </c>
      <c r="I721" t="s">
        <v>3861</v>
      </c>
      <c r="J721" t="s">
        <v>3034</v>
      </c>
      <c r="K721" s="1">
        <v>46028.416990740741</v>
      </c>
      <c r="L721">
        <v>1849.91</v>
      </c>
      <c r="M721">
        <v>53.95</v>
      </c>
      <c r="N721">
        <v>1795.96</v>
      </c>
      <c r="O721" t="s">
        <v>25</v>
      </c>
      <c r="P721" t="s">
        <v>3476</v>
      </c>
      <c r="Q721" t="s">
        <v>3036</v>
      </c>
      <c r="R721" t="s">
        <v>4977</v>
      </c>
      <c r="S721" t="s">
        <v>4992</v>
      </c>
      <c r="T721" t="s">
        <v>4992</v>
      </c>
    </row>
    <row r="722" spans="1:20" x14ac:dyDescent="0.25">
      <c r="A722" t="s">
        <v>2060</v>
      </c>
      <c r="B722" t="s">
        <v>2061</v>
      </c>
      <c r="C722" s="1">
        <v>46029.487847222219</v>
      </c>
      <c r="D722">
        <v>789.77</v>
      </c>
      <c r="E722" t="s">
        <v>25</v>
      </c>
      <c r="F722" t="s">
        <v>20</v>
      </c>
      <c r="G722" t="s">
        <v>21</v>
      </c>
      <c r="H722" t="s">
        <v>2062</v>
      </c>
      <c r="I722" t="s">
        <v>3862</v>
      </c>
      <c r="J722" t="s">
        <v>3034</v>
      </c>
      <c r="K722" s="1">
        <v>46029.494791666664</v>
      </c>
      <c r="L722">
        <v>789.77</v>
      </c>
      <c r="M722">
        <v>23.2</v>
      </c>
      <c r="N722">
        <v>766.57</v>
      </c>
      <c r="O722" t="s">
        <v>25</v>
      </c>
      <c r="P722" t="s">
        <v>3863</v>
      </c>
      <c r="Q722" t="s">
        <v>3036</v>
      </c>
      <c r="R722" t="s">
        <v>4977</v>
      </c>
      <c r="S722" t="s">
        <v>4992</v>
      </c>
      <c r="T722" t="s">
        <v>4992</v>
      </c>
    </row>
    <row r="723" spans="1:20" x14ac:dyDescent="0.25">
      <c r="A723" t="s">
        <v>2063</v>
      </c>
      <c r="B723" t="s">
        <v>2064</v>
      </c>
      <c r="C723" s="1">
        <v>46030.585324074076</v>
      </c>
      <c r="D723">
        <v>2164.17</v>
      </c>
      <c r="E723" t="s">
        <v>52</v>
      </c>
      <c r="F723" t="s">
        <v>20</v>
      </c>
      <c r="G723" t="s">
        <v>26</v>
      </c>
      <c r="H723" t="s">
        <v>2065</v>
      </c>
      <c r="I723" t="s">
        <v>3864</v>
      </c>
      <c r="J723" t="s">
        <v>3034</v>
      </c>
      <c r="K723" s="1">
        <v>46030.592268518521</v>
      </c>
      <c r="L723">
        <v>2164.17</v>
      </c>
      <c r="M723">
        <v>63.06</v>
      </c>
      <c r="N723">
        <v>2101.11</v>
      </c>
      <c r="O723" t="s">
        <v>52</v>
      </c>
      <c r="P723" t="s">
        <v>3545</v>
      </c>
      <c r="Q723" t="s">
        <v>3036</v>
      </c>
      <c r="R723" t="s">
        <v>4977</v>
      </c>
      <c r="S723" t="s">
        <v>4992</v>
      </c>
      <c r="T723" t="s">
        <v>4992</v>
      </c>
    </row>
    <row r="724" spans="1:20" x14ac:dyDescent="0.25">
      <c r="A724" t="s">
        <v>2066</v>
      </c>
      <c r="B724" t="s">
        <v>2067</v>
      </c>
      <c r="C724" s="1">
        <v>46031.667546296296</v>
      </c>
      <c r="D724">
        <v>571.66</v>
      </c>
      <c r="E724" t="s">
        <v>19</v>
      </c>
      <c r="F724" t="s">
        <v>20</v>
      </c>
      <c r="G724" t="s">
        <v>30</v>
      </c>
      <c r="H724" t="s">
        <v>2068</v>
      </c>
      <c r="I724" t="s">
        <v>3865</v>
      </c>
      <c r="J724" t="s">
        <v>3034</v>
      </c>
      <c r="K724" s="1">
        <v>46031.674490740741</v>
      </c>
      <c r="L724">
        <v>571.66</v>
      </c>
      <c r="M724">
        <v>16.88</v>
      </c>
      <c r="N724">
        <v>554.78</v>
      </c>
      <c r="O724" t="s">
        <v>19</v>
      </c>
      <c r="P724" t="s">
        <v>3549</v>
      </c>
      <c r="Q724" t="s">
        <v>3036</v>
      </c>
      <c r="R724" t="s">
        <v>4977</v>
      </c>
      <c r="S724" t="s">
        <v>4992</v>
      </c>
      <c r="T724" t="s">
        <v>4992</v>
      </c>
    </row>
    <row r="725" spans="1:20" x14ac:dyDescent="0.25">
      <c r="A725" t="s">
        <v>2069</v>
      </c>
      <c r="B725" t="s">
        <v>2070</v>
      </c>
      <c r="C725" s="1">
        <v>46032.749710648146</v>
      </c>
      <c r="D725">
        <v>1670.89</v>
      </c>
      <c r="E725" t="s">
        <v>25</v>
      </c>
      <c r="F725" t="s">
        <v>20</v>
      </c>
      <c r="G725" t="s">
        <v>21</v>
      </c>
      <c r="H725" t="s">
        <v>2071</v>
      </c>
      <c r="I725" t="s">
        <v>3866</v>
      </c>
      <c r="J725" t="s">
        <v>3034</v>
      </c>
      <c r="K725" s="1">
        <v>46032.756655092591</v>
      </c>
      <c r="L725">
        <v>1670.89</v>
      </c>
      <c r="M725">
        <v>48.76</v>
      </c>
      <c r="N725">
        <v>1622.13</v>
      </c>
      <c r="O725" t="s">
        <v>25</v>
      </c>
      <c r="P725" t="s">
        <v>3530</v>
      </c>
      <c r="Q725" t="s">
        <v>3036</v>
      </c>
      <c r="R725" t="s">
        <v>4977</v>
      </c>
      <c r="S725" t="s">
        <v>4992</v>
      </c>
      <c r="T725" t="s">
        <v>4992</v>
      </c>
    </row>
    <row r="726" spans="1:20" x14ac:dyDescent="0.25">
      <c r="A726" t="s">
        <v>2072</v>
      </c>
      <c r="B726" t="s">
        <v>2073</v>
      </c>
      <c r="C726" s="1">
        <v>46033.839780092596</v>
      </c>
      <c r="D726">
        <v>1425.31</v>
      </c>
      <c r="E726" t="s">
        <v>25</v>
      </c>
      <c r="F726" t="s">
        <v>20</v>
      </c>
      <c r="G726" t="s">
        <v>26</v>
      </c>
      <c r="H726" t="s">
        <v>2074</v>
      </c>
      <c r="I726" t="s">
        <v>3867</v>
      </c>
      <c r="J726" t="s">
        <v>3034</v>
      </c>
      <c r="K726" s="1">
        <v>46033.846724537034</v>
      </c>
      <c r="L726">
        <v>1425.31</v>
      </c>
      <c r="M726">
        <v>41.63</v>
      </c>
      <c r="N726">
        <v>1383.68</v>
      </c>
      <c r="O726" t="s">
        <v>25</v>
      </c>
      <c r="P726" t="s">
        <v>3510</v>
      </c>
      <c r="Q726" t="s">
        <v>3036</v>
      </c>
      <c r="R726" t="s">
        <v>4977</v>
      </c>
      <c r="S726" t="s">
        <v>4992</v>
      </c>
      <c r="T726" t="s">
        <v>4992</v>
      </c>
    </row>
    <row r="727" spans="1:20" x14ac:dyDescent="0.25">
      <c r="A727" t="s">
        <v>2075</v>
      </c>
      <c r="B727" t="s">
        <v>2076</v>
      </c>
      <c r="C727" s="1">
        <v>46034.930856481478</v>
      </c>
      <c r="D727">
        <v>684.67</v>
      </c>
      <c r="E727" t="s">
        <v>25</v>
      </c>
      <c r="F727" t="s">
        <v>20</v>
      </c>
      <c r="G727" t="s">
        <v>30</v>
      </c>
      <c r="H727" t="s">
        <v>2077</v>
      </c>
      <c r="I727" t="s">
        <v>3868</v>
      </c>
      <c r="J727" t="s">
        <v>3034</v>
      </c>
      <c r="K727" s="1">
        <v>46034.937800925924</v>
      </c>
      <c r="L727">
        <v>684.67</v>
      </c>
      <c r="M727">
        <v>20.16</v>
      </c>
      <c r="N727">
        <v>664.51</v>
      </c>
      <c r="O727" t="s">
        <v>25</v>
      </c>
      <c r="P727" t="s">
        <v>3553</v>
      </c>
      <c r="Q727" t="s">
        <v>3036</v>
      </c>
      <c r="R727" t="s">
        <v>4977</v>
      </c>
      <c r="S727" t="s">
        <v>4992</v>
      </c>
      <c r="T727" t="s">
        <v>4992</v>
      </c>
    </row>
    <row r="728" spans="1:20" x14ac:dyDescent="0.25">
      <c r="A728" t="s">
        <v>2078</v>
      </c>
      <c r="B728" t="s">
        <v>2079</v>
      </c>
      <c r="C728" s="1">
        <v>46036.01730324074</v>
      </c>
      <c r="D728">
        <v>725.68</v>
      </c>
      <c r="E728" t="s">
        <v>25</v>
      </c>
      <c r="F728" t="s">
        <v>20</v>
      </c>
      <c r="G728" t="s">
        <v>21</v>
      </c>
      <c r="H728" t="s">
        <v>2080</v>
      </c>
      <c r="I728" t="s">
        <v>3869</v>
      </c>
      <c r="J728" t="s">
        <v>3034</v>
      </c>
      <c r="K728" s="1">
        <v>46036.024247685185</v>
      </c>
      <c r="L728">
        <v>725.68</v>
      </c>
      <c r="M728">
        <v>21.71</v>
      </c>
      <c r="N728">
        <v>703.97</v>
      </c>
      <c r="O728" t="s">
        <v>25</v>
      </c>
      <c r="P728" t="s">
        <v>3490</v>
      </c>
      <c r="Q728" t="s">
        <v>3036</v>
      </c>
      <c r="R728" t="s">
        <v>4977</v>
      </c>
      <c r="S728" t="s">
        <v>4992</v>
      </c>
      <c r="T728" t="s">
        <v>4992</v>
      </c>
    </row>
    <row r="729" spans="1:20" x14ac:dyDescent="0.25">
      <c r="A729" t="s">
        <v>2081</v>
      </c>
      <c r="B729" t="s">
        <v>2082</v>
      </c>
      <c r="C729" s="1">
        <v>46037.117731481485</v>
      </c>
      <c r="D729">
        <v>1457.74</v>
      </c>
      <c r="E729" t="s">
        <v>25</v>
      </c>
      <c r="F729" t="s">
        <v>20</v>
      </c>
      <c r="G729" t="s">
        <v>26</v>
      </c>
      <c r="H729" t="s">
        <v>2083</v>
      </c>
      <c r="I729" t="s">
        <v>3870</v>
      </c>
      <c r="J729" t="s">
        <v>3034</v>
      </c>
      <c r="K729" s="1">
        <v>46037.124675925923</v>
      </c>
      <c r="L729">
        <v>1457.74</v>
      </c>
      <c r="M729">
        <v>42.57</v>
      </c>
      <c r="N729">
        <v>1415.17</v>
      </c>
      <c r="O729" t="s">
        <v>25</v>
      </c>
      <c r="P729" t="s">
        <v>3492</v>
      </c>
      <c r="Q729" t="s">
        <v>3036</v>
      </c>
      <c r="R729" t="s">
        <v>4977</v>
      </c>
      <c r="S729" t="s">
        <v>4992</v>
      </c>
      <c r="T729" t="s">
        <v>4992</v>
      </c>
    </row>
    <row r="730" spans="1:20" x14ac:dyDescent="0.25">
      <c r="A730" t="s">
        <v>2084</v>
      </c>
      <c r="B730" t="s">
        <v>2085</v>
      </c>
      <c r="C730" s="1">
        <v>46024.203946759262</v>
      </c>
      <c r="D730">
        <v>373.47</v>
      </c>
      <c r="E730" t="s">
        <v>25</v>
      </c>
      <c r="F730" t="s">
        <v>20</v>
      </c>
      <c r="G730" t="s">
        <v>30</v>
      </c>
      <c r="H730" t="s">
        <v>2086</v>
      </c>
      <c r="I730" t="s">
        <v>3871</v>
      </c>
      <c r="J730" t="s">
        <v>3034</v>
      </c>
      <c r="K730" s="1">
        <v>46024.2108912037</v>
      </c>
      <c r="L730">
        <v>373.47</v>
      </c>
      <c r="M730">
        <v>11.13</v>
      </c>
      <c r="N730">
        <v>362.34</v>
      </c>
      <c r="O730" t="s">
        <v>25</v>
      </c>
      <c r="P730" t="s">
        <v>3494</v>
      </c>
      <c r="Q730" t="s">
        <v>3036</v>
      </c>
      <c r="R730" t="s">
        <v>4977</v>
      </c>
      <c r="S730" t="s">
        <v>4992</v>
      </c>
      <c r="T730" t="s">
        <v>4992</v>
      </c>
    </row>
    <row r="731" spans="1:20" x14ac:dyDescent="0.25">
      <c r="A731" t="s">
        <v>2087</v>
      </c>
      <c r="B731" t="s">
        <v>2088</v>
      </c>
      <c r="C731" s="1">
        <v>46024.31454861111</v>
      </c>
      <c r="D731">
        <v>710.36</v>
      </c>
      <c r="E731" t="s">
        <v>25</v>
      </c>
      <c r="F731" t="s">
        <v>20</v>
      </c>
      <c r="G731" t="s">
        <v>21</v>
      </c>
      <c r="H731" t="s">
        <v>2089</v>
      </c>
      <c r="I731" t="s">
        <v>3872</v>
      </c>
      <c r="J731" t="s">
        <v>3034</v>
      </c>
      <c r="K731" s="1">
        <v>46024.321493055555</v>
      </c>
      <c r="L731">
        <v>710.36</v>
      </c>
      <c r="M731">
        <v>20.9</v>
      </c>
      <c r="N731">
        <v>689.46</v>
      </c>
      <c r="O731" t="s">
        <v>25</v>
      </c>
      <c r="P731" t="s">
        <v>3468</v>
      </c>
      <c r="Q731" t="s">
        <v>3036</v>
      </c>
      <c r="R731" t="s">
        <v>4977</v>
      </c>
      <c r="S731" t="s">
        <v>4992</v>
      </c>
      <c r="T731" t="s">
        <v>4992</v>
      </c>
    </row>
    <row r="732" spans="1:20" x14ac:dyDescent="0.25">
      <c r="A732" t="s">
        <v>2090</v>
      </c>
      <c r="B732" t="s">
        <v>2091</v>
      </c>
      <c r="C732" s="1">
        <v>46025.411377314813</v>
      </c>
      <c r="D732">
        <v>713.36</v>
      </c>
      <c r="E732" t="s">
        <v>25</v>
      </c>
      <c r="F732" t="s">
        <v>429</v>
      </c>
      <c r="G732" t="s">
        <v>26</v>
      </c>
      <c r="H732" t="s">
        <v>2092</v>
      </c>
      <c r="I732" t="s">
        <v>3873</v>
      </c>
      <c r="J732" t="s">
        <v>3034</v>
      </c>
      <c r="K732" s="1">
        <v>46025.418321759258</v>
      </c>
      <c r="L732">
        <v>713.36</v>
      </c>
      <c r="M732">
        <v>20.99</v>
      </c>
      <c r="N732">
        <v>692.37</v>
      </c>
      <c r="O732" t="s">
        <v>25</v>
      </c>
      <c r="P732" t="s">
        <v>3470</v>
      </c>
      <c r="Q732" t="s">
        <v>3036</v>
      </c>
      <c r="R732" t="s">
        <v>4977</v>
      </c>
      <c r="S732" t="s">
        <v>4992</v>
      </c>
      <c r="T732" t="s">
        <v>4992</v>
      </c>
    </row>
    <row r="733" spans="1:20" x14ac:dyDescent="0.25">
      <c r="A733" t="s">
        <v>2090</v>
      </c>
      <c r="B733" t="s">
        <v>2091</v>
      </c>
      <c r="C733" s="1">
        <v>46025.411377314813</v>
      </c>
      <c r="D733">
        <v>713.36</v>
      </c>
      <c r="E733" t="s">
        <v>25</v>
      </c>
      <c r="F733" t="s">
        <v>429</v>
      </c>
      <c r="G733" t="s">
        <v>26</v>
      </c>
      <c r="H733" t="s">
        <v>2092</v>
      </c>
      <c r="I733" t="s">
        <v>3874</v>
      </c>
      <c r="J733" t="s">
        <v>3076</v>
      </c>
      <c r="K733" s="1">
        <v>46026.411377314813</v>
      </c>
      <c r="L733">
        <v>-713.36</v>
      </c>
      <c r="M733">
        <v>0</v>
      </c>
      <c r="N733">
        <v>-713.36</v>
      </c>
      <c r="O733" t="s">
        <v>25</v>
      </c>
      <c r="P733" t="s">
        <v>3875</v>
      </c>
      <c r="Q733" t="s">
        <v>3036</v>
      </c>
      <c r="R733" t="s">
        <v>4977</v>
      </c>
      <c r="S733" t="s">
        <v>4991</v>
      </c>
      <c r="T733" t="s">
        <v>4992</v>
      </c>
    </row>
    <row r="734" spans="1:20" x14ac:dyDescent="0.25">
      <c r="A734" t="s">
        <v>2093</v>
      </c>
      <c r="B734" t="s">
        <v>2094</v>
      </c>
      <c r="C734" s="1">
        <v>46026.494085648148</v>
      </c>
      <c r="D734">
        <v>554.65</v>
      </c>
      <c r="E734" t="s">
        <v>52</v>
      </c>
      <c r="F734" t="s">
        <v>20</v>
      </c>
      <c r="G734" t="s">
        <v>30</v>
      </c>
      <c r="H734" t="s">
        <v>2095</v>
      </c>
      <c r="I734" t="s">
        <v>3876</v>
      </c>
      <c r="J734" t="s">
        <v>3034</v>
      </c>
      <c r="K734" s="1">
        <v>46026.501030092593</v>
      </c>
      <c r="L734">
        <v>554.65</v>
      </c>
      <c r="M734">
        <v>16.38</v>
      </c>
      <c r="N734">
        <v>538.27</v>
      </c>
      <c r="O734" t="s">
        <v>52</v>
      </c>
      <c r="P734" t="s">
        <v>3561</v>
      </c>
      <c r="Q734" t="s">
        <v>3036</v>
      </c>
      <c r="R734" t="s">
        <v>4977</v>
      </c>
      <c r="S734" t="s">
        <v>4992</v>
      </c>
      <c r="T734" t="s">
        <v>4992</v>
      </c>
    </row>
    <row r="735" spans="1:20" x14ac:dyDescent="0.25">
      <c r="A735" t="s">
        <v>2096</v>
      </c>
      <c r="B735" t="s">
        <v>2097</v>
      </c>
      <c r="C735" s="1">
        <v>46027.577650462961</v>
      </c>
      <c r="D735">
        <v>645.59</v>
      </c>
      <c r="E735" t="s">
        <v>19</v>
      </c>
      <c r="F735" t="s">
        <v>20</v>
      </c>
      <c r="G735" t="s">
        <v>21</v>
      </c>
      <c r="H735" t="s">
        <v>2098</v>
      </c>
      <c r="I735" t="s">
        <v>3877</v>
      </c>
      <c r="J735" t="s">
        <v>3034</v>
      </c>
      <c r="K735" s="1">
        <v>46027.584594907406</v>
      </c>
      <c r="L735">
        <v>645.59</v>
      </c>
      <c r="M735">
        <v>19.02</v>
      </c>
      <c r="N735">
        <v>626.57000000000005</v>
      </c>
      <c r="O735" t="s">
        <v>19</v>
      </c>
      <c r="P735" t="s">
        <v>3563</v>
      </c>
      <c r="Q735" t="s">
        <v>3036</v>
      </c>
      <c r="R735" t="s">
        <v>4977</v>
      </c>
      <c r="S735" t="s">
        <v>4992</v>
      </c>
      <c r="T735" t="s">
        <v>4992</v>
      </c>
    </row>
    <row r="736" spans="1:20" x14ac:dyDescent="0.25">
      <c r="A736" t="s">
        <v>2099</v>
      </c>
      <c r="B736" t="s">
        <v>2100</v>
      </c>
      <c r="C736" s="1">
        <v>46028.67087962963</v>
      </c>
      <c r="D736">
        <v>645.11</v>
      </c>
      <c r="E736" t="s">
        <v>25</v>
      </c>
      <c r="F736" t="s">
        <v>20</v>
      </c>
      <c r="G736" t="s">
        <v>26</v>
      </c>
      <c r="H736" t="s">
        <v>2101</v>
      </c>
      <c r="I736" t="s">
        <v>3878</v>
      </c>
      <c r="J736" t="s">
        <v>3034</v>
      </c>
      <c r="K736" s="1">
        <v>46028.677824074075</v>
      </c>
      <c r="L736">
        <v>645.11</v>
      </c>
      <c r="M736">
        <v>19.010000000000002</v>
      </c>
      <c r="N736">
        <v>626.1</v>
      </c>
      <c r="O736" t="s">
        <v>25</v>
      </c>
      <c r="P736" t="s">
        <v>3476</v>
      </c>
      <c r="Q736" t="s">
        <v>3036</v>
      </c>
      <c r="R736" t="s">
        <v>4977</v>
      </c>
      <c r="S736" t="s">
        <v>4992</v>
      </c>
      <c r="T736" t="s">
        <v>4992</v>
      </c>
    </row>
    <row r="737" spans="1:20" x14ac:dyDescent="0.25">
      <c r="A737" t="s">
        <v>2102</v>
      </c>
      <c r="B737" t="s">
        <v>2103</v>
      </c>
      <c r="C737" s="1">
        <v>46029.771481481483</v>
      </c>
      <c r="D737">
        <v>885.44</v>
      </c>
      <c r="E737" t="s">
        <v>25</v>
      </c>
      <c r="F737" t="s">
        <v>20</v>
      </c>
      <c r="G737" t="s">
        <v>30</v>
      </c>
      <c r="H737" t="s">
        <v>2104</v>
      </c>
      <c r="I737" t="s">
        <v>3879</v>
      </c>
      <c r="J737" t="s">
        <v>3034</v>
      </c>
      <c r="K737" s="1">
        <v>46029.778425925928</v>
      </c>
      <c r="L737">
        <v>885.44</v>
      </c>
      <c r="M737">
        <v>25.98</v>
      </c>
      <c r="N737">
        <v>859.46</v>
      </c>
      <c r="O737" t="s">
        <v>25</v>
      </c>
      <c r="P737" t="s">
        <v>3478</v>
      </c>
      <c r="Q737" t="s">
        <v>3036</v>
      </c>
      <c r="R737" t="s">
        <v>4977</v>
      </c>
      <c r="S737" t="s">
        <v>4992</v>
      </c>
      <c r="T737" t="s">
        <v>4992</v>
      </c>
    </row>
    <row r="738" spans="1:20" x14ac:dyDescent="0.25">
      <c r="A738" t="s">
        <v>2105</v>
      </c>
      <c r="B738" t="s">
        <v>2106</v>
      </c>
      <c r="C738" s="1">
        <v>46030.878206018519</v>
      </c>
      <c r="D738">
        <v>1112.48</v>
      </c>
      <c r="E738" t="s">
        <v>25</v>
      </c>
      <c r="F738" t="s">
        <v>20</v>
      </c>
      <c r="G738" t="s">
        <v>21</v>
      </c>
      <c r="H738" t="s">
        <v>2107</v>
      </c>
      <c r="I738" t="s">
        <v>3880</v>
      </c>
      <c r="J738" t="s">
        <v>3034</v>
      </c>
      <c r="K738" s="1">
        <v>46030.885150462964</v>
      </c>
      <c r="L738">
        <v>1112.48</v>
      </c>
      <c r="M738">
        <v>32.56</v>
      </c>
      <c r="N738">
        <v>1079.92</v>
      </c>
      <c r="O738" t="s">
        <v>25</v>
      </c>
      <c r="P738" t="s">
        <v>3480</v>
      </c>
      <c r="Q738" t="s">
        <v>3036</v>
      </c>
      <c r="R738" t="s">
        <v>4977</v>
      </c>
      <c r="S738" t="s">
        <v>4992</v>
      </c>
      <c r="T738" t="s">
        <v>4992</v>
      </c>
    </row>
    <row r="739" spans="1:20" x14ac:dyDescent="0.25">
      <c r="A739" t="s">
        <v>2108</v>
      </c>
      <c r="B739" t="s">
        <v>2109</v>
      </c>
      <c r="C739" s="1">
        <v>46031.961458333331</v>
      </c>
      <c r="D739">
        <v>1255.19</v>
      </c>
      <c r="E739" t="s">
        <v>25</v>
      </c>
      <c r="F739" t="s">
        <v>20</v>
      </c>
      <c r="G739" t="s">
        <v>26</v>
      </c>
      <c r="H739" t="s">
        <v>2110</v>
      </c>
      <c r="I739" t="s">
        <v>3881</v>
      </c>
      <c r="J739" t="s">
        <v>3034</v>
      </c>
      <c r="K739" s="1">
        <v>46031.968402777777</v>
      </c>
      <c r="L739">
        <v>1255.19</v>
      </c>
      <c r="M739">
        <v>36.700000000000003</v>
      </c>
      <c r="N739">
        <v>1218.49</v>
      </c>
      <c r="O739" t="s">
        <v>25</v>
      </c>
      <c r="P739" t="s">
        <v>3482</v>
      </c>
      <c r="Q739" t="s">
        <v>3036</v>
      </c>
      <c r="R739" t="s">
        <v>4977</v>
      </c>
      <c r="S739" t="s">
        <v>4992</v>
      </c>
      <c r="T739" t="s">
        <v>4992</v>
      </c>
    </row>
    <row r="740" spans="1:20" x14ac:dyDescent="0.25">
      <c r="A740" t="s">
        <v>2111</v>
      </c>
      <c r="B740" t="s">
        <v>2112</v>
      </c>
      <c r="C740" s="1">
        <v>46033.050879629627</v>
      </c>
      <c r="D740">
        <v>1049.6099999999999</v>
      </c>
      <c r="E740" t="s">
        <v>25</v>
      </c>
      <c r="F740" t="s">
        <v>20</v>
      </c>
      <c r="G740" t="s">
        <v>30</v>
      </c>
      <c r="H740" t="s">
        <v>2113</v>
      </c>
      <c r="I740" t="s">
        <v>3882</v>
      </c>
      <c r="J740" t="s">
        <v>3034</v>
      </c>
      <c r="K740" s="1">
        <v>46033.057824074072</v>
      </c>
      <c r="L740">
        <v>1049.6099999999999</v>
      </c>
      <c r="M740">
        <v>30.74</v>
      </c>
      <c r="N740">
        <v>1018.87</v>
      </c>
      <c r="O740" t="s">
        <v>25</v>
      </c>
      <c r="P740" t="s">
        <v>3530</v>
      </c>
      <c r="Q740" t="s">
        <v>3036</v>
      </c>
      <c r="R740" t="s">
        <v>4977</v>
      </c>
      <c r="S740" t="s">
        <v>4992</v>
      </c>
      <c r="T740" t="s">
        <v>4992</v>
      </c>
    </row>
    <row r="741" spans="1:20" x14ac:dyDescent="0.25">
      <c r="A741" t="s">
        <v>2114</v>
      </c>
      <c r="B741" t="s">
        <v>2115</v>
      </c>
      <c r="C741" s="1">
        <v>46034.119664351849</v>
      </c>
      <c r="D741">
        <v>1013.91</v>
      </c>
      <c r="E741" t="s">
        <v>25</v>
      </c>
      <c r="F741" t="s">
        <v>20</v>
      </c>
      <c r="G741" t="s">
        <v>21</v>
      </c>
      <c r="H741" t="s">
        <v>2116</v>
      </c>
      <c r="I741" t="s">
        <v>3883</v>
      </c>
      <c r="J741" t="s">
        <v>3034</v>
      </c>
      <c r="K741" s="1">
        <v>46034.126608796294</v>
      </c>
      <c r="L741">
        <v>1013.91</v>
      </c>
      <c r="M741">
        <v>29.7</v>
      </c>
      <c r="N741">
        <v>984.21</v>
      </c>
      <c r="O741" t="s">
        <v>25</v>
      </c>
      <c r="P741" t="s">
        <v>3510</v>
      </c>
      <c r="Q741" t="s">
        <v>3036</v>
      </c>
      <c r="R741" t="s">
        <v>4977</v>
      </c>
      <c r="S741" t="s">
        <v>4992</v>
      </c>
      <c r="T741" t="s">
        <v>4992</v>
      </c>
    </row>
    <row r="742" spans="1:20" x14ac:dyDescent="0.25">
      <c r="A742" t="s">
        <v>2117</v>
      </c>
      <c r="B742" t="s">
        <v>2118</v>
      </c>
      <c r="C742" s="1">
        <v>46034.243101851855</v>
      </c>
      <c r="D742">
        <v>2418.23</v>
      </c>
      <c r="E742" t="s">
        <v>25</v>
      </c>
      <c r="F742" t="s">
        <v>20</v>
      </c>
      <c r="G742" t="s">
        <v>26</v>
      </c>
      <c r="H742" t="s">
        <v>2119</v>
      </c>
      <c r="I742" t="s">
        <v>3884</v>
      </c>
      <c r="J742" t="s">
        <v>3034</v>
      </c>
      <c r="K742" s="1">
        <v>46034.2500462963</v>
      </c>
      <c r="L742">
        <v>2418.23</v>
      </c>
      <c r="M742">
        <v>70.430000000000007</v>
      </c>
      <c r="N742">
        <v>2347.8000000000002</v>
      </c>
      <c r="O742" t="s">
        <v>25</v>
      </c>
      <c r="P742" t="s">
        <v>3553</v>
      </c>
      <c r="Q742" t="s">
        <v>3036</v>
      </c>
      <c r="R742" t="s">
        <v>4977</v>
      </c>
      <c r="S742" t="s">
        <v>4992</v>
      </c>
      <c r="T742" t="s">
        <v>4992</v>
      </c>
    </row>
    <row r="743" spans="1:20" x14ac:dyDescent="0.25">
      <c r="A743" t="s">
        <v>2120</v>
      </c>
      <c r="B743" t="s">
        <v>2121</v>
      </c>
      <c r="C743" s="1">
        <v>46035.318136574075</v>
      </c>
      <c r="D743">
        <v>865.91</v>
      </c>
      <c r="E743" t="s">
        <v>25</v>
      </c>
      <c r="F743" t="s">
        <v>20</v>
      </c>
      <c r="G743" t="s">
        <v>30</v>
      </c>
      <c r="H743" t="s">
        <v>2122</v>
      </c>
      <c r="I743" t="s">
        <v>3885</v>
      </c>
      <c r="J743" t="s">
        <v>3034</v>
      </c>
      <c r="K743" s="1">
        <v>46035.32508101852</v>
      </c>
      <c r="L743">
        <v>865.91</v>
      </c>
      <c r="M743">
        <v>25.41</v>
      </c>
      <c r="N743">
        <v>840.5</v>
      </c>
      <c r="O743" t="s">
        <v>25</v>
      </c>
      <c r="P743" t="s">
        <v>3490</v>
      </c>
      <c r="Q743" t="s">
        <v>3036</v>
      </c>
      <c r="R743" t="s">
        <v>4977</v>
      </c>
      <c r="S743" t="s">
        <v>4992</v>
      </c>
      <c r="T743" t="s">
        <v>4992</v>
      </c>
    </row>
    <row r="744" spans="1:20" x14ac:dyDescent="0.25">
      <c r="A744" t="s">
        <v>2123</v>
      </c>
      <c r="B744" t="s">
        <v>2124</v>
      </c>
      <c r="C744" s="1">
        <v>46036.391064814816</v>
      </c>
      <c r="D744">
        <v>925.49</v>
      </c>
      <c r="E744" t="s">
        <v>52</v>
      </c>
      <c r="F744" t="s">
        <v>20</v>
      </c>
      <c r="G744" t="s">
        <v>21</v>
      </c>
      <c r="H744" t="s">
        <v>2125</v>
      </c>
      <c r="I744" t="s">
        <v>3886</v>
      </c>
      <c r="J744" t="s">
        <v>3034</v>
      </c>
      <c r="K744" s="1">
        <v>46036.398009259261</v>
      </c>
      <c r="L744">
        <v>925.49</v>
      </c>
      <c r="M744">
        <v>27.14</v>
      </c>
      <c r="N744">
        <v>898.35</v>
      </c>
      <c r="O744" t="s">
        <v>52</v>
      </c>
      <c r="P744" t="s">
        <v>3576</v>
      </c>
      <c r="Q744" t="s">
        <v>3036</v>
      </c>
      <c r="R744" t="s">
        <v>4977</v>
      </c>
      <c r="S744" t="s">
        <v>4992</v>
      </c>
      <c r="T744" t="s">
        <v>4992</v>
      </c>
    </row>
    <row r="745" spans="1:20" x14ac:dyDescent="0.25">
      <c r="A745" t="s">
        <v>2126</v>
      </c>
      <c r="B745" t="s">
        <v>2127</v>
      </c>
      <c r="C745" s="1">
        <v>46023.490983796299</v>
      </c>
      <c r="D745">
        <v>760.58</v>
      </c>
      <c r="E745" t="s">
        <v>19</v>
      </c>
      <c r="F745" t="s">
        <v>20</v>
      </c>
      <c r="G745" t="s">
        <v>26</v>
      </c>
      <c r="H745" t="s">
        <v>2128</v>
      </c>
      <c r="I745" t="s">
        <v>3887</v>
      </c>
      <c r="J745" t="s">
        <v>3034</v>
      </c>
      <c r="K745" s="1">
        <v>46023.497928240744</v>
      </c>
      <c r="L745">
        <v>760.58</v>
      </c>
      <c r="M745">
        <v>22.36</v>
      </c>
      <c r="N745">
        <v>738.22</v>
      </c>
      <c r="O745" t="s">
        <v>19</v>
      </c>
      <c r="P745" t="s">
        <v>3888</v>
      </c>
      <c r="Q745" t="s">
        <v>3036</v>
      </c>
      <c r="R745" t="s">
        <v>4977</v>
      </c>
      <c r="S745" t="s">
        <v>4992</v>
      </c>
      <c r="T745" t="s">
        <v>4992</v>
      </c>
    </row>
    <row r="746" spans="1:20" x14ac:dyDescent="0.25">
      <c r="A746" t="s">
        <v>2129</v>
      </c>
      <c r="B746" t="s">
        <v>2130</v>
      </c>
      <c r="C746" s="1">
        <v>46024.577893518515</v>
      </c>
      <c r="D746">
        <v>2117.7600000000002</v>
      </c>
      <c r="E746" t="s">
        <v>25</v>
      </c>
      <c r="F746" t="s">
        <v>92</v>
      </c>
      <c r="G746" t="s">
        <v>30</v>
      </c>
      <c r="H746" t="s">
        <v>2131</v>
      </c>
      <c r="I746" t="s">
        <v>3889</v>
      </c>
      <c r="J746" t="s">
        <v>3034</v>
      </c>
      <c r="K746" s="1">
        <v>46024.584837962961</v>
      </c>
      <c r="L746">
        <v>2117.7600000000002</v>
      </c>
      <c r="M746">
        <v>61.72</v>
      </c>
      <c r="N746">
        <v>2056.04</v>
      </c>
      <c r="O746" t="s">
        <v>25</v>
      </c>
      <c r="P746" t="s">
        <v>3890</v>
      </c>
      <c r="Q746" t="s">
        <v>3036</v>
      </c>
      <c r="R746" t="s">
        <v>4977</v>
      </c>
      <c r="S746" t="s">
        <v>4992</v>
      </c>
      <c r="T746" t="s">
        <v>4992</v>
      </c>
    </row>
    <row r="747" spans="1:20" x14ac:dyDescent="0.25">
      <c r="A747" t="s">
        <v>2129</v>
      </c>
      <c r="B747" t="s">
        <v>2130</v>
      </c>
      <c r="C747" s="1">
        <v>46024.577893518515</v>
      </c>
      <c r="D747">
        <v>2117.7600000000002</v>
      </c>
      <c r="E747" t="s">
        <v>25</v>
      </c>
      <c r="F747" t="s">
        <v>92</v>
      </c>
      <c r="G747" t="s">
        <v>30</v>
      </c>
      <c r="H747" t="s">
        <v>2131</v>
      </c>
      <c r="I747" t="s">
        <v>3891</v>
      </c>
      <c r="J747" t="s">
        <v>3076</v>
      </c>
      <c r="K747" s="1">
        <v>46025.577893518515</v>
      </c>
      <c r="L747">
        <v>-1058.8800000000001</v>
      </c>
      <c r="M747">
        <v>0</v>
      </c>
      <c r="N747">
        <v>-1058.8800000000001</v>
      </c>
      <c r="O747" t="s">
        <v>25</v>
      </c>
      <c r="P747" t="s">
        <v>3892</v>
      </c>
      <c r="Q747" t="s">
        <v>3036</v>
      </c>
      <c r="R747" t="s">
        <v>4977</v>
      </c>
      <c r="S747" t="s">
        <v>4991</v>
      </c>
      <c r="T747" t="s">
        <v>4992</v>
      </c>
    </row>
    <row r="748" spans="1:20" x14ac:dyDescent="0.25">
      <c r="A748" t="s">
        <v>2132</v>
      </c>
      <c r="B748" t="s">
        <v>2133</v>
      </c>
      <c r="C748" s="1">
        <v>46025.675856481481</v>
      </c>
      <c r="D748">
        <v>2115.19</v>
      </c>
      <c r="E748" t="s">
        <v>25</v>
      </c>
      <c r="F748" t="s">
        <v>20</v>
      </c>
      <c r="G748" t="s">
        <v>21</v>
      </c>
      <c r="H748" t="s">
        <v>2134</v>
      </c>
      <c r="I748" t="s">
        <v>3893</v>
      </c>
      <c r="J748" t="s">
        <v>3034</v>
      </c>
      <c r="K748" s="1">
        <v>46025.682800925926</v>
      </c>
      <c r="L748">
        <v>2115.19</v>
      </c>
      <c r="M748">
        <v>61.64</v>
      </c>
      <c r="N748">
        <v>2053.5500000000002</v>
      </c>
      <c r="O748" t="s">
        <v>25</v>
      </c>
      <c r="P748" t="s">
        <v>3894</v>
      </c>
      <c r="Q748" t="s">
        <v>3036</v>
      </c>
      <c r="R748" t="s">
        <v>4977</v>
      </c>
      <c r="S748" t="s">
        <v>4992</v>
      </c>
      <c r="T748" t="s">
        <v>4992</v>
      </c>
    </row>
    <row r="749" spans="1:20" x14ac:dyDescent="0.25">
      <c r="A749" t="s">
        <v>2135</v>
      </c>
      <c r="B749" t="s">
        <v>2136</v>
      </c>
      <c r="C749" s="1">
        <v>46026.783599537041</v>
      </c>
      <c r="D749">
        <v>1313.01</v>
      </c>
      <c r="E749" t="s">
        <v>25</v>
      </c>
      <c r="F749" t="s">
        <v>20</v>
      </c>
      <c r="G749" t="s">
        <v>26</v>
      </c>
      <c r="H749" t="s">
        <v>2137</v>
      </c>
      <c r="I749" t="s">
        <v>3895</v>
      </c>
      <c r="J749" t="s">
        <v>3034</v>
      </c>
      <c r="K749" s="1">
        <v>46026.790543981479</v>
      </c>
      <c r="L749">
        <v>1313.01</v>
      </c>
      <c r="M749">
        <v>38.380000000000003</v>
      </c>
      <c r="N749">
        <v>1274.6300000000001</v>
      </c>
      <c r="O749" t="s">
        <v>25</v>
      </c>
      <c r="P749" t="s">
        <v>3896</v>
      </c>
      <c r="Q749" t="s">
        <v>3036</v>
      </c>
      <c r="R749" t="s">
        <v>4977</v>
      </c>
      <c r="S749" t="s">
        <v>4992</v>
      </c>
      <c r="T749" t="s">
        <v>4992</v>
      </c>
    </row>
    <row r="750" spans="1:20" x14ac:dyDescent="0.25">
      <c r="A750" t="s">
        <v>2138</v>
      </c>
      <c r="B750" t="s">
        <v>2139</v>
      </c>
      <c r="C750" s="1">
        <v>46027.86859953704</v>
      </c>
      <c r="D750">
        <v>2243.4699999999998</v>
      </c>
      <c r="E750" t="s">
        <v>25</v>
      </c>
      <c r="F750" t="s">
        <v>20</v>
      </c>
      <c r="G750" t="s">
        <v>30</v>
      </c>
      <c r="H750" t="s">
        <v>2140</v>
      </c>
      <c r="I750" t="s">
        <v>3897</v>
      </c>
      <c r="J750" t="s">
        <v>3034</v>
      </c>
      <c r="K750" s="1">
        <v>46027.875543981485</v>
      </c>
      <c r="L750">
        <v>2243.4699999999998</v>
      </c>
      <c r="M750">
        <v>65.36</v>
      </c>
      <c r="N750">
        <v>2178.11</v>
      </c>
      <c r="O750" t="s">
        <v>52</v>
      </c>
      <c r="P750" t="s">
        <v>3898</v>
      </c>
      <c r="Q750" t="s">
        <v>3036</v>
      </c>
      <c r="R750" t="s">
        <v>4977</v>
      </c>
      <c r="S750" t="s">
        <v>4992</v>
      </c>
      <c r="T750" t="s">
        <v>4993</v>
      </c>
    </row>
    <row r="751" spans="1:20" x14ac:dyDescent="0.25">
      <c r="A751" t="s">
        <v>2141</v>
      </c>
      <c r="B751" t="s">
        <v>2142</v>
      </c>
      <c r="C751" s="1">
        <v>46028.977222222224</v>
      </c>
      <c r="D751">
        <v>1137.75</v>
      </c>
      <c r="E751" t="s">
        <v>25</v>
      </c>
      <c r="F751" t="s">
        <v>20</v>
      </c>
      <c r="G751" t="s">
        <v>21</v>
      </c>
      <c r="H751" t="s">
        <v>2143</v>
      </c>
      <c r="I751" t="s">
        <v>3899</v>
      </c>
      <c r="J751" t="s">
        <v>3034</v>
      </c>
      <c r="K751" s="1">
        <v>46028.984166666669</v>
      </c>
      <c r="L751">
        <v>1137.75</v>
      </c>
      <c r="M751">
        <v>33.29</v>
      </c>
      <c r="N751">
        <v>1104.46</v>
      </c>
      <c r="O751" t="s">
        <v>25</v>
      </c>
      <c r="P751" t="s">
        <v>3900</v>
      </c>
      <c r="Q751" t="s">
        <v>3036</v>
      </c>
      <c r="R751" t="s">
        <v>4977</v>
      </c>
      <c r="S751" t="s">
        <v>4992</v>
      </c>
      <c r="T751" t="s">
        <v>4992</v>
      </c>
    </row>
    <row r="752" spans="1:20" x14ac:dyDescent="0.25">
      <c r="A752" t="s">
        <v>2144</v>
      </c>
      <c r="B752" t="s">
        <v>2145</v>
      </c>
      <c r="C752" s="1">
        <v>46030.04724537037</v>
      </c>
      <c r="D752">
        <v>1027.43</v>
      </c>
      <c r="E752" t="s">
        <v>25</v>
      </c>
      <c r="F752" t="s">
        <v>20</v>
      </c>
      <c r="G752" t="s">
        <v>26</v>
      </c>
      <c r="H752" t="s">
        <v>2146</v>
      </c>
      <c r="I752" t="s">
        <v>3901</v>
      </c>
      <c r="J752" t="s">
        <v>3034</v>
      </c>
      <c r="K752" s="1">
        <v>46030.054189814815</v>
      </c>
      <c r="L752">
        <v>1027.43</v>
      </c>
      <c r="M752">
        <v>30.1</v>
      </c>
      <c r="N752">
        <v>997.33</v>
      </c>
      <c r="O752" t="s">
        <v>25</v>
      </c>
      <c r="P752" t="s">
        <v>3902</v>
      </c>
      <c r="Q752" t="s">
        <v>3036</v>
      </c>
      <c r="R752" t="s">
        <v>4977</v>
      </c>
      <c r="S752" t="s">
        <v>4992</v>
      </c>
      <c r="T752" t="s">
        <v>4992</v>
      </c>
    </row>
    <row r="753" spans="1:20" x14ac:dyDescent="0.25">
      <c r="A753" t="s">
        <v>2147</v>
      </c>
      <c r="B753" t="s">
        <v>2148</v>
      </c>
      <c r="C753" s="1">
        <v>46031.142118055555</v>
      </c>
      <c r="D753">
        <v>2099.73</v>
      </c>
      <c r="E753" t="s">
        <v>25</v>
      </c>
      <c r="F753" t="s">
        <v>20</v>
      </c>
      <c r="G753" t="s">
        <v>30</v>
      </c>
      <c r="H753" t="s">
        <v>2149</v>
      </c>
      <c r="I753" t="s">
        <v>3903</v>
      </c>
      <c r="J753" t="s">
        <v>3034</v>
      </c>
      <c r="K753" s="1">
        <v>46031.149062500001</v>
      </c>
      <c r="L753">
        <v>2099.73</v>
      </c>
      <c r="M753">
        <v>61.19</v>
      </c>
      <c r="N753">
        <v>2038.54</v>
      </c>
      <c r="O753" t="s">
        <v>25</v>
      </c>
      <c r="P753" t="s">
        <v>3904</v>
      </c>
      <c r="Q753" t="s">
        <v>3036</v>
      </c>
      <c r="R753" t="s">
        <v>4977</v>
      </c>
      <c r="S753" t="s">
        <v>4992</v>
      </c>
      <c r="T753" t="s">
        <v>4992</v>
      </c>
    </row>
    <row r="754" spans="1:20" x14ac:dyDescent="0.25">
      <c r="A754" t="s">
        <v>2150</v>
      </c>
      <c r="B754" t="s">
        <v>2151</v>
      </c>
      <c r="C754" s="1">
        <v>46031.253611111111</v>
      </c>
      <c r="D754">
        <v>330.75</v>
      </c>
      <c r="E754" t="s">
        <v>25</v>
      </c>
      <c r="F754" t="s">
        <v>20</v>
      </c>
      <c r="G754" t="s">
        <v>21</v>
      </c>
      <c r="H754" t="s">
        <v>2152</v>
      </c>
      <c r="I754" t="s">
        <v>3905</v>
      </c>
      <c r="J754" t="s">
        <v>3034</v>
      </c>
      <c r="K754" s="1">
        <v>46031.260555555556</v>
      </c>
      <c r="L754">
        <v>330.75</v>
      </c>
      <c r="M754">
        <v>9.89</v>
      </c>
      <c r="N754">
        <v>320.86</v>
      </c>
      <c r="O754" t="s">
        <v>25</v>
      </c>
      <c r="P754" t="s">
        <v>3906</v>
      </c>
      <c r="Q754" t="s">
        <v>3036</v>
      </c>
      <c r="R754" t="s">
        <v>4977</v>
      </c>
      <c r="S754" t="s">
        <v>4992</v>
      </c>
      <c r="T754" t="s">
        <v>4992</v>
      </c>
    </row>
    <row r="755" spans="1:20" x14ac:dyDescent="0.25">
      <c r="A755" t="s">
        <v>2153</v>
      </c>
      <c r="B755" t="s">
        <v>2154</v>
      </c>
      <c r="C755" s="1">
        <v>46032.306423611109</v>
      </c>
      <c r="D755">
        <v>1380.06</v>
      </c>
      <c r="E755" t="s">
        <v>52</v>
      </c>
      <c r="F755" t="s">
        <v>20</v>
      </c>
      <c r="G755" t="s">
        <v>26</v>
      </c>
      <c r="H755" t="s">
        <v>2155</v>
      </c>
      <c r="I755" t="s">
        <v>3907</v>
      </c>
      <c r="J755" t="s">
        <v>3034</v>
      </c>
      <c r="K755" s="1">
        <v>46032.313368055555</v>
      </c>
      <c r="L755">
        <v>1380.06</v>
      </c>
      <c r="M755">
        <v>40.32</v>
      </c>
      <c r="N755">
        <v>1339.74</v>
      </c>
      <c r="O755" t="s">
        <v>52</v>
      </c>
      <c r="P755" t="s">
        <v>3908</v>
      </c>
      <c r="Q755" t="s">
        <v>3036</v>
      </c>
      <c r="R755" t="s">
        <v>4977</v>
      </c>
      <c r="S755" t="s">
        <v>4992</v>
      </c>
      <c r="T755" t="s">
        <v>4992</v>
      </c>
    </row>
    <row r="756" spans="1:20" x14ac:dyDescent="0.25">
      <c r="A756" t="s">
        <v>2156</v>
      </c>
      <c r="B756" t="s">
        <v>2157</v>
      </c>
      <c r="C756" s="1">
        <v>46033.434293981481</v>
      </c>
      <c r="D756">
        <v>90.09</v>
      </c>
      <c r="E756" t="s">
        <v>19</v>
      </c>
      <c r="F756" t="s">
        <v>20</v>
      </c>
      <c r="G756" t="s">
        <v>30</v>
      </c>
      <c r="H756" t="s">
        <v>2158</v>
      </c>
      <c r="I756" t="s">
        <v>3909</v>
      </c>
      <c r="J756" t="s">
        <v>3034</v>
      </c>
      <c r="K756" s="1">
        <v>46033.441238425927</v>
      </c>
      <c r="L756">
        <v>90.09</v>
      </c>
      <c r="M756">
        <v>2.91</v>
      </c>
      <c r="N756">
        <v>87.18</v>
      </c>
      <c r="O756" t="s">
        <v>19</v>
      </c>
      <c r="P756" t="s">
        <v>3910</v>
      </c>
      <c r="Q756" t="s">
        <v>3036</v>
      </c>
      <c r="R756" t="s">
        <v>4977</v>
      </c>
      <c r="S756" t="s">
        <v>4992</v>
      </c>
      <c r="T756" t="s">
        <v>4992</v>
      </c>
    </row>
    <row r="757" spans="1:20" x14ac:dyDescent="0.25">
      <c r="A757" t="s">
        <v>2159</v>
      </c>
      <c r="B757" t="s">
        <v>2160</v>
      </c>
      <c r="C757" s="1">
        <v>46034.492789351854</v>
      </c>
      <c r="D757">
        <v>1446.39</v>
      </c>
      <c r="E757" t="s">
        <v>25</v>
      </c>
      <c r="F757" t="s">
        <v>20</v>
      </c>
      <c r="G757" t="s">
        <v>21</v>
      </c>
      <c r="H757" t="s">
        <v>2161</v>
      </c>
      <c r="I757" t="s">
        <v>3911</v>
      </c>
      <c r="J757" t="s">
        <v>3034</v>
      </c>
      <c r="K757" s="1">
        <v>46034.4997337963</v>
      </c>
      <c r="L757">
        <v>1446.39</v>
      </c>
      <c r="M757">
        <v>42.25</v>
      </c>
      <c r="N757">
        <v>1404.14</v>
      </c>
      <c r="O757" t="s">
        <v>25</v>
      </c>
      <c r="P757" t="s">
        <v>3912</v>
      </c>
      <c r="Q757" t="s">
        <v>3036</v>
      </c>
      <c r="R757" t="s">
        <v>4977</v>
      </c>
      <c r="S757" t="s">
        <v>4992</v>
      </c>
      <c r="T757" t="s">
        <v>4992</v>
      </c>
    </row>
    <row r="758" spans="1:20" x14ac:dyDescent="0.25">
      <c r="A758" t="s">
        <v>2162</v>
      </c>
      <c r="B758" t="s">
        <v>2163</v>
      </c>
      <c r="C758" s="1">
        <v>46035.59715277778</v>
      </c>
      <c r="D758">
        <v>1226.19</v>
      </c>
      <c r="E758" t="s">
        <v>25</v>
      </c>
      <c r="F758" t="s">
        <v>20</v>
      </c>
      <c r="G758" t="s">
        <v>26</v>
      </c>
      <c r="H758" t="s">
        <v>2164</v>
      </c>
      <c r="I758" t="s">
        <v>3913</v>
      </c>
      <c r="J758" t="s">
        <v>3034</v>
      </c>
      <c r="K758" s="1">
        <v>46035.604097222225</v>
      </c>
      <c r="L758">
        <v>1226.19</v>
      </c>
      <c r="M758">
        <v>35.86</v>
      </c>
      <c r="N758">
        <v>1190.33</v>
      </c>
      <c r="O758" t="s">
        <v>25</v>
      </c>
      <c r="P758" t="s">
        <v>3914</v>
      </c>
      <c r="Q758" t="s">
        <v>3036</v>
      </c>
      <c r="R758" t="s">
        <v>4977</v>
      </c>
      <c r="S758" t="s">
        <v>4992</v>
      </c>
      <c r="T758" t="s">
        <v>4992</v>
      </c>
    </row>
    <row r="759" spans="1:20" x14ac:dyDescent="0.25">
      <c r="A759" t="s">
        <v>2165</v>
      </c>
      <c r="B759" t="s">
        <v>2166</v>
      </c>
      <c r="C759" s="1">
        <v>46036.684837962966</v>
      </c>
      <c r="D759">
        <v>1190.67</v>
      </c>
      <c r="E759" t="s">
        <v>25</v>
      </c>
      <c r="F759" t="s">
        <v>20</v>
      </c>
      <c r="G759" t="s">
        <v>30</v>
      </c>
      <c r="H759" t="s">
        <v>2167</v>
      </c>
      <c r="I759" t="s">
        <v>3915</v>
      </c>
      <c r="J759" t="s">
        <v>3034</v>
      </c>
      <c r="K759" s="1">
        <v>46036.691782407404</v>
      </c>
      <c r="L759">
        <v>1190.67</v>
      </c>
      <c r="M759">
        <v>34.83</v>
      </c>
      <c r="N759">
        <v>1155.8399999999999</v>
      </c>
      <c r="O759" t="s">
        <v>25</v>
      </c>
      <c r="P759" t="s">
        <v>3916</v>
      </c>
      <c r="Q759" t="s">
        <v>3036</v>
      </c>
      <c r="R759" t="s">
        <v>4977</v>
      </c>
      <c r="S759" t="s">
        <v>4992</v>
      </c>
      <c r="T759" t="s">
        <v>4992</v>
      </c>
    </row>
    <row r="760" spans="1:20" x14ac:dyDescent="0.25">
      <c r="A760" t="s">
        <v>2168</v>
      </c>
      <c r="B760" t="s">
        <v>2169</v>
      </c>
      <c r="C760" s="1">
        <v>46023.797812500001</v>
      </c>
      <c r="D760">
        <v>1897.98</v>
      </c>
      <c r="E760" t="s">
        <v>25</v>
      </c>
      <c r="F760" t="s">
        <v>20</v>
      </c>
      <c r="G760" t="s">
        <v>21</v>
      </c>
      <c r="H760" t="s">
        <v>2170</v>
      </c>
      <c r="I760" t="s">
        <v>3917</v>
      </c>
      <c r="J760" t="s">
        <v>3034</v>
      </c>
      <c r="K760" s="1">
        <v>46023.804756944446</v>
      </c>
      <c r="L760">
        <v>1897.98</v>
      </c>
      <c r="M760">
        <v>55.34</v>
      </c>
      <c r="N760">
        <v>1842.64</v>
      </c>
      <c r="O760" t="s">
        <v>25</v>
      </c>
      <c r="P760" t="s">
        <v>3918</v>
      </c>
      <c r="Q760" t="s">
        <v>3036</v>
      </c>
      <c r="R760" t="s">
        <v>4977</v>
      </c>
      <c r="S760" t="s">
        <v>4992</v>
      </c>
      <c r="T760" t="s">
        <v>4992</v>
      </c>
    </row>
    <row r="761" spans="1:20" x14ac:dyDescent="0.25">
      <c r="A761" t="s">
        <v>2171</v>
      </c>
      <c r="B761" t="s">
        <v>2172</v>
      </c>
      <c r="C761" s="1">
        <v>46024.856226851851</v>
      </c>
      <c r="D761">
        <v>1386.77</v>
      </c>
      <c r="E761" t="s">
        <v>25</v>
      </c>
      <c r="F761" t="s">
        <v>20</v>
      </c>
      <c r="G761" t="s">
        <v>26</v>
      </c>
      <c r="H761" t="s">
        <v>2173</v>
      </c>
      <c r="I761" t="s">
        <v>3919</v>
      </c>
      <c r="J761" t="s">
        <v>3034</v>
      </c>
      <c r="K761" s="1">
        <v>46024.863171296296</v>
      </c>
      <c r="L761">
        <v>1386.77</v>
      </c>
      <c r="M761">
        <v>40.520000000000003</v>
      </c>
      <c r="N761">
        <v>1346.25</v>
      </c>
      <c r="O761" t="s">
        <v>25</v>
      </c>
      <c r="P761" t="s">
        <v>3890</v>
      </c>
      <c r="Q761" t="s">
        <v>3036</v>
      </c>
      <c r="R761" t="s">
        <v>4977</v>
      </c>
      <c r="S761" t="s">
        <v>4992</v>
      </c>
      <c r="T761" t="s">
        <v>4992</v>
      </c>
    </row>
    <row r="762" spans="1:20" x14ac:dyDescent="0.25">
      <c r="A762" t="s">
        <v>2174</v>
      </c>
      <c r="B762" t="s">
        <v>2175</v>
      </c>
      <c r="C762" s="1">
        <v>46025.975798611114</v>
      </c>
      <c r="D762">
        <v>1070.52</v>
      </c>
      <c r="E762" t="s">
        <v>25</v>
      </c>
      <c r="F762" t="s">
        <v>20</v>
      </c>
      <c r="G762" t="s">
        <v>30</v>
      </c>
      <c r="H762" t="s">
        <v>2176</v>
      </c>
      <c r="I762" t="s">
        <v>3920</v>
      </c>
      <c r="J762" t="s">
        <v>3034</v>
      </c>
      <c r="K762" s="1">
        <v>46025.982743055552</v>
      </c>
      <c r="L762">
        <v>1070.52</v>
      </c>
      <c r="M762">
        <v>31.35</v>
      </c>
      <c r="N762">
        <v>1039.17</v>
      </c>
      <c r="O762" t="s">
        <v>25</v>
      </c>
      <c r="P762" t="s">
        <v>3894</v>
      </c>
      <c r="Q762" t="s">
        <v>3036</v>
      </c>
      <c r="R762" t="s">
        <v>4977</v>
      </c>
      <c r="S762" t="s">
        <v>4992</v>
      </c>
      <c r="T762" t="s">
        <v>4992</v>
      </c>
    </row>
    <row r="763" spans="1:20" x14ac:dyDescent="0.25">
      <c r="A763" t="s">
        <v>2177</v>
      </c>
      <c r="B763" t="s">
        <v>2178</v>
      </c>
      <c r="C763" s="1">
        <v>46027.072615740741</v>
      </c>
      <c r="D763">
        <v>2367.4299999999998</v>
      </c>
      <c r="E763" t="s">
        <v>25</v>
      </c>
      <c r="F763" t="s">
        <v>20</v>
      </c>
      <c r="G763" t="s">
        <v>21</v>
      </c>
      <c r="H763" t="s">
        <v>2179</v>
      </c>
      <c r="I763" t="s">
        <v>3921</v>
      </c>
      <c r="J763" t="s">
        <v>3034</v>
      </c>
      <c r="K763" s="1">
        <v>46027.079560185186</v>
      </c>
      <c r="L763">
        <v>2367.4299999999998</v>
      </c>
      <c r="M763">
        <v>68.959999999999994</v>
      </c>
      <c r="N763">
        <v>2298.4699999999998</v>
      </c>
      <c r="O763" t="s">
        <v>25</v>
      </c>
      <c r="P763" t="s">
        <v>3896</v>
      </c>
      <c r="Q763" t="s">
        <v>3036</v>
      </c>
      <c r="R763" t="s">
        <v>4977</v>
      </c>
      <c r="S763" t="s">
        <v>4992</v>
      </c>
      <c r="T763" t="s">
        <v>4992</v>
      </c>
    </row>
    <row r="764" spans="1:20" x14ac:dyDescent="0.25">
      <c r="A764" t="s">
        <v>2180</v>
      </c>
      <c r="B764" t="s">
        <v>2181</v>
      </c>
      <c r="C764" s="1">
        <v>46028.163634259261</v>
      </c>
      <c r="D764">
        <v>330.37</v>
      </c>
      <c r="E764" t="s">
        <v>25</v>
      </c>
      <c r="F764" t="s">
        <v>20</v>
      </c>
      <c r="G764" t="s">
        <v>26</v>
      </c>
      <c r="H764" t="s">
        <v>2182</v>
      </c>
      <c r="I764" t="s">
        <v>3922</v>
      </c>
      <c r="J764" t="s">
        <v>3034</v>
      </c>
      <c r="K764" s="1">
        <v>46028.170578703706</v>
      </c>
      <c r="L764">
        <v>330.37</v>
      </c>
      <c r="M764">
        <v>9.8800000000000008</v>
      </c>
      <c r="N764">
        <v>320.49</v>
      </c>
      <c r="O764" t="s">
        <v>25</v>
      </c>
      <c r="P764" t="s">
        <v>3923</v>
      </c>
      <c r="Q764" t="s">
        <v>3036</v>
      </c>
      <c r="R764" t="s">
        <v>4977</v>
      </c>
      <c r="S764" t="s">
        <v>4992</v>
      </c>
      <c r="T764" t="s">
        <v>4992</v>
      </c>
    </row>
    <row r="765" spans="1:20" x14ac:dyDescent="0.25">
      <c r="A765" t="s">
        <v>2183</v>
      </c>
      <c r="B765" t="s">
        <v>2184</v>
      </c>
      <c r="C765" s="1">
        <v>46028.250231481485</v>
      </c>
      <c r="D765">
        <v>2422.17</v>
      </c>
      <c r="E765" t="s">
        <v>52</v>
      </c>
      <c r="F765" t="s">
        <v>20</v>
      </c>
      <c r="G765" t="s">
        <v>30</v>
      </c>
      <c r="H765" t="s">
        <v>2185</v>
      </c>
      <c r="I765" t="s">
        <v>3924</v>
      </c>
      <c r="J765" t="s">
        <v>3034</v>
      </c>
      <c r="K765" s="1">
        <v>46028.257175925923</v>
      </c>
      <c r="L765">
        <v>2422.17</v>
      </c>
      <c r="M765">
        <v>70.540000000000006</v>
      </c>
      <c r="N765">
        <v>2351.63</v>
      </c>
      <c r="O765" t="s">
        <v>52</v>
      </c>
      <c r="P765" t="s">
        <v>3925</v>
      </c>
      <c r="Q765" t="s">
        <v>3036</v>
      </c>
      <c r="R765" t="s">
        <v>4977</v>
      </c>
      <c r="S765" t="s">
        <v>4992</v>
      </c>
      <c r="T765" t="s">
        <v>4992</v>
      </c>
    </row>
    <row r="766" spans="1:20" x14ac:dyDescent="0.25">
      <c r="A766" t="s">
        <v>2186</v>
      </c>
      <c r="B766" t="s">
        <v>2187</v>
      </c>
      <c r="C766" s="1">
        <v>46029.322326388887</v>
      </c>
      <c r="D766">
        <v>426.47</v>
      </c>
      <c r="E766" t="s">
        <v>19</v>
      </c>
      <c r="F766" t="s">
        <v>20</v>
      </c>
      <c r="G766" t="s">
        <v>21</v>
      </c>
      <c r="H766" t="s">
        <v>2188</v>
      </c>
      <c r="I766" t="s">
        <v>3926</v>
      </c>
      <c r="J766" t="s">
        <v>3034</v>
      </c>
      <c r="K766" s="1">
        <v>46029.329270833332</v>
      </c>
      <c r="L766">
        <v>426.47</v>
      </c>
      <c r="M766">
        <v>12.67</v>
      </c>
      <c r="N766">
        <v>413.8</v>
      </c>
      <c r="O766" t="s">
        <v>19</v>
      </c>
      <c r="P766" t="s">
        <v>3927</v>
      </c>
      <c r="Q766" t="s">
        <v>3036</v>
      </c>
      <c r="R766" t="s">
        <v>4977</v>
      </c>
      <c r="S766" t="s">
        <v>4992</v>
      </c>
      <c r="T766" t="s">
        <v>4992</v>
      </c>
    </row>
    <row r="767" spans="1:20" x14ac:dyDescent="0.25">
      <c r="A767" t="s">
        <v>2186</v>
      </c>
      <c r="B767" t="s">
        <v>2187</v>
      </c>
      <c r="C767" s="1">
        <v>46029.322326388887</v>
      </c>
      <c r="D767">
        <v>426.47</v>
      </c>
      <c r="E767" t="s">
        <v>19</v>
      </c>
      <c r="F767" t="s">
        <v>20</v>
      </c>
      <c r="G767" t="s">
        <v>21</v>
      </c>
      <c r="H767" t="s">
        <v>2188</v>
      </c>
      <c r="I767" t="s">
        <v>3926</v>
      </c>
      <c r="J767" t="s">
        <v>3034</v>
      </c>
      <c r="K767" s="1">
        <v>46029.329270833332</v>
      </c>
      <c r="L767">
        <v>426.47</v>
      </c>
      <c r="M767">
        <v>12.67</v>
      </c>
      <c r="N767">
        <v>413.8</v>
      </c>
      <c r="O767" t="s">
        <v>19</v>
      </c>
      <c r="P767" t="s">
        <v>3927</v>
      </c>
      <c r="Q767" t="s">
        <v>3036</v>
      </c>
      <c r="R767" t="s">
        <v>4977</v>
      </c>
      <c r="S767" t="s">
        <v>4992</v>
      </c>
      <c r="T767" t="s">
        <v>4992</v>
      </c>
    </row>
    <row r="768" spans="1:20" x14ac:dyDescent="0.25">
      <c r="A768" t="s">
        <v>2189</v>
      </c>
      <c r="B768" t="s">
        <v>2190</v>
      </c>
      <c r="C768" s="1">
        <v>46030.417488425926</v>
      </c>
      <c r="D768">
        <v>1675.32</v>
      </c>
      <c r="E768" t="s">
        <v>25</v>
      </c>
      <c r="F768" t="s">
        <v>20</v>
      </c>
      <c r="G768" t="s">
        <v>26</v>
      </c>
      <c r="H768" t="s">
        <v>2191</v>
      </c>
      <c r="I768" t="s">
        <v>3928</v>
      </c>
      <c r="J768" t="s">
        <v>3034</v>
      </c>
      <c r="K768" s="1">
        <v>46030.424432870372</v>
      </c>
      <c r="L768">
        <v>1675.32</v>
      </c>
      <c r="M768">
        <v>48.88</v>
      </c>
      <c r="N768">
        <v>1626.44</v>
      </c>
      <c r="O768" t="s">
        <v>25</v>
      </c>
      <c r="P768" t="s">
        <v>3904</v>
      </c>
      <c r="Q768" t="s">
        <v>3036</v>
      </c>
      <c r="R768" t="s">
        <v>4977</v>
      </c>
      <c r="S768" t="s">
        <v>4992</v>
      </c>
      <c r="T768" t="s">
        <v>4992</v>
      </c>
    </row>
    <row r="769" spans="1:20" x14ac:dyDescent="0.25">
      <c r="A769" t="s">
        <v>2192</v>
      </c>
      <c r="B769" t="s">
        <v>2193</v>
      </c>
      <c r="C769" s="1">
        <v>46031.527719907404</v>
      </c>
      <c r="D769">
        <v>1727.71</v>
      </c>
      <c r="E769" t="s">
        <v>25</v>
      </c>
      <c r="F769" t="s">
        <v>20</v>
      </c>
      <c r="G769" t="s">
        <v>30</v>
      </c>
      <c r="H769" t="s">
        <v>2194</v>
      </c>
      <c r="I769" t="s">
        <v>3929</v>
      </c>
      <c r="J769" t="s">
        <v>3034</v>
      </c>
      <c r="K769" s="1">
        <v>46031.53466435185</v>
      </c>
      <c r="L769">
        <v>1727.71</v>
      </c>
      <c r="M769">
        <v>50.4</v>
      </c>
      <c r="N769">
        <v>1677.31</v>
      </c>
      <c r="O769" t="s">
        <v>25</v>
      </c>
      <c r="P769" t="s">
        <v>3930</v>
      </c>
      <c r="Q769" t="s">
        <v>3036</v>
      </c>
      <c r="R769" t="s">
        <v>4977</v>
      </c>
      <c r="S769" t="s">
        <v>4992</v>
      </c>
      <c r="T769" t="s">
        <v>4992</v>
      </c>
    </row>
    <row r="770" spans="1:20" x14ac:dyDescent="0.25">
      <c r="A770" t="s">
        <v>2195</v>
      </c>
      <c r="B770" t="s">
        <v>2196</v>
      </c>
      <c r="C770" s="1">
        <v>46032.614999999998</v>
      </c>
      <c r="D770">
        <v>1419.42</v>
      </c>
      <c r="E770" t="s">
        <v>25</v>
      </c>
      <c r="F770" t="s">
        <v>20</v>
      </c>
      <c r="G770" t="s">
        <v>21</v>
      </c>
      <c r="H770" t="s">
        <v>2197</v>
      </c>
      <c r="I770" t="s">
        <v>3931</v>
      </c>
      <c r="J770" t="s">
        <v>3034</v>
      </c>
      <c r="K770" s="1">
        <v>46032.621944444443</v>
      </c>
      <c r="L770">
        <v>1419.42</v>
      </c>
      <c r="M770">
        <v>41.46</v>
      </c>
      <c r="N770">
        <v>1377.96</v>
      </c>
      <c r="O770" t="s">
        <v>25</v>
      </c>
      <c r="P770" t="s">
        <v>3932</v>
      </c>
      <c r="Q770" t="s">
        <v>3036</v>
      </c>
      <c r="R770" t="s">
        <v>4977</v>
      </c>
      <c r="S770" t="s">
        <v>4992</v>
      </c>
      <c r="T770" t="s">
        <v>4992</v>
      </c>
    </row>
    <row r="771" spans="1:20" x14ac:dyDescent="0.25">
      <c r="A771" t="s">
        <v>2198</v>
      </c>
      <c r="B771" t="s">
        <v>2199</v>
      </c>
      <c r="C771" s="1">
        <v>46033.684305555558</v>
      </c>
      <c r="D771">
        <v>831.32</v>
      </c>
      <c r="E771" t="s">
        <v>25</v>
      </c>
      <c r="F771" t="s">
        <v>20</v>
      </c>
      <c r="G771" t="s">
        <v>26</v>
      </c>
      <c r="H771" t="s">
        <v>2200</v>
      </c>
      <c r="I771" t="s">
        <v>3933</v>
      </c>
      <c r="J771" t="s">
        <v>3034</v>
      </c>
      <c r="K771" s="1">
        <v>46033.691250000003</v>
      </c>
      <c r="L771">
        <v>831.32</v>
      </c>
      <c r="M771">
        <v>24.41</v>
      </c>
      <c r="N771">
        <v>806.91</v>
      </c>
      <c r="O771" t="s">
        <v>25</v>
      </c>
      <c r="P771" t="s">
        <v>3934</v>
      </c>
      <c r="Q771" t="s">
        <v>3036</v>
      </c>
      <c r="R771" t="s">
        <v>4977</v>
      </c>
      <c r="S771" t="s">
        <v>4992</v>
      </c>
      <c r="T771" t="s">
        <v>4992</v>
      </c>
    </row>
    <row r="772" spans="1:20" x14ac:dyDescent="0.25">
      <c r="A772" t="s">
        <v>2201</v>
      </c>
      <c r="B772" t="s">
        <v>2202</v>
      </c>
      <c r="C772" s="1">
        <v>46034.799421296295</v>
      </c>
      <c r="D772">
        <v>1585.31</v>
      </c>
      <c r="E772" t="s">
        <v>25</v>
      </c>
      <c r="F772" t="s">
        <v>20</v>
      </c>
      <c r="G772" t="s">
        <v>30</v>
      </c>
      <c r="H772" t="s">
        <v>2203</v>
      </c>
      <c r="I772" t="s">
        <v>3935</v>
      </c>
      <c r="J772" t="s">
        <v>3034</v>
      </c>
      <c r="K772" s="1">
        <v>46034.80636574074</v>
      </c>
      <c r="L772">
        <v>1585.31</v>
      </c>
      <c r="M772">
        <v>46.27</v>
      </c>
      <c r="N772">
        <v>1539.04</v>
      </c>
      <c r="O772" t="s">
        <v>25</v>
      </c>
      <c r="P772" t="s">
        <v>3912</v>
      </c>
      <c r="Q772" t="s">
        <v>3036</v>
      </c>
      <c r="R772" t="s">
        <v>4977</v>
      </c>
      <c r="S772" t="s">
        <v>4992</v>
      </c>
      <c r="T772" t="s">
        <v>4992</v>
      </c>
    </row>
    <row r="773" spans="1:20" x14ac:dyDescent="0.25">
      <c r="A773" t="s">
        <v>2204</v>
      </c>
      <c r="B773" t="s">
        <v>2205</v>
      </c>
      <c r="C773" s="1">
        <v>46035.873287037037</v>
      </c>
      <c r="D773">
        <v>2236.9299999999998</v>
      </c>
      <c r="E773" t="s">
        <v>25</v>
      </c>
      <c r="F773" t="s">
        <v>20</v>
      </c>
      <c r="G773" t="s">
        <v>21</v>
      </c>
      <c r="H773" t="s">
        <v>2206</v>
      </c>
      <c r="I773" t="s">
        <v>3936</v>
      </c>
      <c r="J773" t="s">
        <v>3034</v>
      </c>
      <c r="K773" s="1">
        <v>46035.880231481482</v>
      </c>
      <c r="L773">
        <v>2236.9299999999998</v>
      </c>
      <c r="M773">
        <v>65.17</v>
      </c>
      <c r="N773">
        <v>2171.7600000000002</v>
      </c>
      <c r="O773" t="s">
        <v>25</v>
      </c>
      <c r="P773" t="s">
        <v>3914</v>
      </c>
      <c r="Q773" t="s">
        <v>3036</v>
      </c>
      <c r="R773" t="s">
        <v>4977</v>
      </c>
      <c r="S773" t="s">
        <v>4992</v>
      </c>
      <c r="T773" t="s">
        <v>4992</v>
      </c>
    </row>
    <row r="774" spans="1:20" x14ac:dyDescent="0.25">
      <c r="A774" t="s">
        <v>2207</v>
      </c>
      <c r="B774" t="s">
        <v>2208</v>
      </c>
      <c r="C774" s="1">
        <v>46036.982685185183</v>
      </c>
      <c r="D774">
        <v>372.63</v>
      </c>
      <c r="E774" t="s">
        <v>25</v>
      </c>
      <c r="F774" t="s">
        <v>20</v>
      </c>
      <c r="G774" t="s">
        <v>26</v>
      </c>
      <c r="H774" t="s">
        <v>2209</v>
      </c>
      <c r="I774" t="s">
        <v>3937</v>
      </c>
      <c r="J774" t="s">
        <v>3034</v>
      </c>
      <c r="K774" s="1">
        <v>46036.989629629628</v>
      </c>
      <c r="L774">
        <v>372.63</v>
      </c>
      <c r="M774">
        <v>11.11</v>
      </c>
      <c r="N774">
        <v>361.52</v>
      </c>
      <c r="O774" t="s">
        <v>25</v>
      </c>
      <c r="P774" t="s">
        <v>3916</v>
      </c>
      <c r="Q774" t="s">
        <v>3036</v>
      </c>
      <c r="R774" t="s">
        <v>4977</v>
      </c>
      <c r="S774" t="s">
        <v>4992</v>
      </c>
      <c r="T774" t="s">
        <v>4992</v>
      </c>
    </row>
    <row r="775" spans="1:20" x14ac:dyDescent="0.25">
      <c r="A775" t="s">
        <v>2210</v>
      </c>
      <c r="B775" t="s">
        <v>2211</v>
      </c>
      <c r="C775" s="1">
        <v>46024.066805555558</v>
      </c>
      <c r="D775">
        <v>2263.9499999999998</v>
      </c>
      <c r="E775" t="s">
        <v>25</v>
      </c>
      <c r="F775" t="s">
        <v>20</v>
      </c>
      <c r="G775" t="s">
        <v>30</v>
      </c>
      <c r="H775" t="s">
        <v>2212</v>
      </c>
      <c r="I775" t="s">
        <v>3938</v>
      </c>
      <c r="J775" t="s">
        <v>3034</v>
      </c>
      <c r="K775" s="1">
        <v>46024.073750000003</v>
      </c>
      <c r="L775">
        <v>2263.9499999999998</v>
      </c>
      <c r="M775">
        <v>65.95</v>
      </c>
      <c r="N775">
        <v>2198</v>
      </c>
      <c r="O775" t="s">
        <v>25</v>
      </c>
      <c r="P775" t="s">
        <v>3939</v>
      </c>
      <c r="Q775" t="s">
        <v>3036</v>
      </c>
      <c r="R775" t="s">
        <v>4977</v>
      </c>
      <c r="S775" t="s">
        <v>4992</v>
      </c>
      <c r="T775" t="s">
        <v>4992</v>
      </c>
    </row>
    <row r="776" spans="1:20" x14ac:dyDescent="0.25">
      <c r="A776" t="s">
        <v>2213</v>
      </c>
      <c r="B776" t="s">
        <v>2214</v>
      </c>
      <c r="C776" s="1">
        <v>46025.139988425923</v>
      </c>
      <c r="D776">
        <v>950.01</v>
      </c>
      <c r="E776" t="s">
        <v>52</v>
      </c>
      <c r="F776" t="s">
        <v>20</v>
      </c>
      <c r="G776" t="s">
        <v>21</v>
      </c>
      <c r="H776" t="s">
        <v>2215</v>
      </c>
      <c r="I776" t="s">
        <v>3940</v>
      </c>
      <c r="J776" t="s">
        <v>3034</v>
      </c>
      <c r="K776" s="1">
        <v>46025.146932870368</v>
      </c>
      <c r="L776">
        <v>950.01</v>
      </c>
      <c r="M776">
        <v>27.85</v>
      </c>
      <c r="N776">
        <v>922.16</v>
      </c>
      <c r="O776" t="s">
        <v>52</v>
      </c>
      <c r="P776" t="s">
        <v>3941</v>
      </c>
      <c r="Q776" t="s">
        <v>3036</v>
      </c>
      <c r="R776" t="s">
        <v>4977</v>
      </c>
      <c r="S776" t="s">
        <v>4992</v>
      </c>
      <c r="T776" t="s">
        <v>4992</v>
      </c>
    </row>
    <row r="777" spans="1:20" x14ac:dyDescent="0.25">
      <c r="A777" t="s">
        <v>2216</v>
      </c>
      <c r="B777" t="s">
        <v>2217</v>
      </c>
      <c r="C777" s="1">
        <v>46025.234652777777</v>
      </c>
      <c r="D777">
        <v>831.77</v>
      </c>
      <c r="E777" t="s">
        <v>19</v>
      </c>
      <c r="F777" t="s">
        <v>20</v>
      </c>
      <c r="G777" t="s">
        <v>26</v>
      </c>
      <c r="H777" t="s">
        <v>2218</v>
      </c>
      <c r="I777" t="s">
        <v>3942</v>
      </c>
      <c r="J777" t="s">
        <v>3034</v>
      </c>
      <c r="K777" s="1">
        <v>46025.241597222222</v>
      </c>
      <c r="L777">
        <v>831.77</v>
      </c>
      <c r="M777">
        <v>24.42</v>
      </c>
      <c r="N777">
        <v>807.35</v>
      </c>
      <c r="O777" t="s">
        <v>19</v>
      </c>
      <c r="P777" t="s">
        <v>3943</v>
      </c>
      <c r="Q777" t="s">
        <v>3036</v>
      </c>
      <c r="R777" t="s">
        <v>4977</v>
      </c>
      <c r="S777" t="s">
        <v>4992</v>
      </c>
      <c r="T777" t="s">
        <v>4992</v>
      </c>
    </row>
    <row r="778" spans="1:20" x14ac:dyDescent="0.25">
      <c r="A778" t="s">
        <v>2219</v>
      </c>
      <c r="B778" t="s">
        <v>2220</v>
      </c>
      <c r="C778" s="1">
        <v>46026.341828703706</v>
      </c>
      <c r="D778">
        <v>1085.8</v>
      </c>
      <c r="E778" t="s">
        <v>25</v>
      </c>
      <c r="F778" t="s">
        <v>20</v>
      </c>
      <c r="G778" t="s">
        <v>30</v>
      </c>
      <c r="H778" t="s">
        <v>2221</v>
      </c>
      <c r="I778" t="s">
        <v>3944</v>
      </c>
      <c r="J778" t="s">
        <v>3034</v>
      </c>
      <c r="K778" s="1">
        <v>46026.348773148151</v>
      </c>
      <c r="L778">
        <v>1085.8</v>
      </c>
      <c r="M778">
        <v>31.79</v>
      </c>
      <c r="N778">
        <v>1054.01</v>
      </c>
      <c r="O778" t="s">
        <v>25</v>
      </c>
      <c r="P778" t="s">
        <v>3896</v>
      </c>
      <c r="Q778" t="s">
        <v>3036</v>
      </c>
      <c r="R778" t="s">
        <v>4977</v>
      </c>
      <c r="S778" t="s">
        <v>4992</v>
      </c>
      <c r="T778" t="s">
        <v>4992</v>
      </c>
    </row>
    <row r="779" spans="1:20" x14ac:dyDescent="0.25">
      <c r="A779" t="s">
        <v>2222</v>
      </c>
      <c r="B779" t="s">
        <v>2223</v>
      </c>
      <c r="C779" s="1">
        <v>46027.424328703702</v>
      </c>
      <c r="D779">
        <v>767.13</v>
      </c>
      <c r="E779" t="s">
        <v>25</v>
      </c>
      <c r="F779" t="s">
        <v>20</v>
      </c>
      <c r="G779" t="s">
        <v>21</v>
      </c>
      <c r="H779" t="s">
        <v>2224</v>
      </c>
      <c r="I779" t="s">
        <v>3945</v>
      </c>
      <c r="J779" t="s">
        <v>3034</v>
      </c>
      <c r="K779" s="1">
        <v>46027.431273148148</v>
      </c>
      <c r="L779">
        <v>767.13</v>
      </c>
      <c r="M779">
        <v>22.55</v>
      </c>
      <c r="N779">
        <v>744.58</v>
      </c>
      <c r="O779" t="s">
        <v>25</v>
      </c>
      <c r="P779" t="s">
        <v>3923</v>
      </c>
      <c r="Q779" t="s">
        <v>3036</v>
      </c>
      <c r="R779" t="s">
        <v>4977</v>
      </c>
      <c r="S779" t="s">
        <v>4992</v>
      </c>
      <c r="T779" t="s">
        <v>4992</v>
      </c>
    </row>
    <row r="780" spans="1:20" x14ac:dyDescent="0.25">
      <c r="A780" t="s">
        <v>2225</v>
      </c>
      <c r="B780" t="s">
        <v>2226</v>
      </c>
      <c r="C780" s="1">
        <v>46028.514988425923</v>
      </c>
      <c r="D780">
        <v>1903.02</v>
      </c>
      <c r="E780" t="s">
        <v>25</v>
      </c>
      <c r="F780" t="s">
        <v>20</v>
      </c>
      <c r="G780" t="s">
        <v>26</v>
      </c>
      <c r="H780" t="s">
        <v>2227</v>
      </c>
      <c r="I780" t="s">
        <v>3946</v>
      </c>
      <c r="J780" t="s">
        <v>3034</v>
      </c>
      <c r="K780" s="1">
        <v>46028.521932870368</v>
      </c>
      <c r="L780">
        <v>1903.02</v>
      </c>
      <c r="M780">
        <v>55.49</v>
      </c>
      <c r="N780">
        <v>1847.53</v>
      </c>
      <c r="O780" t="s">
        <v>25</v>
      </c>
      <c r="P780" t="s">
        <v>3900</v>
      </c>
      <c r="Q780" t="s">
        <v>3036</v>
      </c>
      <c r="R780" t="s">
        <v>4977</v>
      </c>
      <c r="S780" t="s">
        <v>4992</v>
      </c>
      <c r="T780" t="s">
        <v>4992</v>
      </c>
    </row>
    <row r="781" spans="1:20" x14ac:dyDescent="0.25">
      <c r="A781" t="s">
        <v>2228</v>
      </c>
      <c r="B781" t="s">
        <v>2229</v>
      </c>
      <c r="C781" s="1">
        <v>46029.611273148148</v>
      </c>
      <c r="D781">
        <v>1893.86</v>
      </c>
      <c r="E781" t="s">
        <v>25</v>
      </c>
      <c r="F781" t="s">
        <v>20</v>
      </c>
      <c r="G781" t="s">
        <v>30</v>
      </c>
      <c r="H781" t="s">
        <v>2230</v>
      </c>
      <c r="I781" t="s">
        <v>3947</v>
      </c>
      <c r="J781" t="s">
        <v>3034</v>
      </c>
      <c r="K781" s="1">
        <v>46029.618217592593</v>
      </c>
      <c r="L781">
        <v>1894.97</v>
      </c>
      <c r="M781">
        <v>55.25</v>
      </c>
      <c r="N781">
        <v>1839.72</v>
      </c>
      <c r="O781" t="s">
        <v>25</v>
      </c>
      <c r="P781" t="s">
        <v>3902</v>
      </c>
      <c r="Q781" t="s">
        <v>3036</v>
      </c>
      <c r="R781" t="s">
        <v>4977</v>
      </c>
      <c r="S781" t="s">
        <v>4991</v>
      </c>
      <c r="T781" t="s">
        <v>4992</v>
      </c>
    </row>
    <row r="782" spans="1:20" x14ac:dyDescent="0.25">
      <c r="A782" t="s">
        <v>2231</v>
      </c>
      <c r="B782" t="s">
        <v>2232</v>
      </c>
      <c r="C782" s="1">
        <v>46030.692152777781</v>
      </c>
      <c r="D782">
        <v>2118.54</v>
      </c>
      <c r="E782" t="s">
        <v>25</v>
      </c>
      <c r="F782" t="s">
        <v>20</v>
      </c>
      <c r="G782" t="s">
        <v>21</v>
      </c>
      <c r="H782" t="s">
        <v>2233</v>
      </c>
      <c r="I782" t="s">
        <v>3948</v>
      </c>
      <c r="J782" t="s">
        <v>3034</v>
      </c>
      <c r="K782" s="1">
        <v>46030.699097222219</v>
      </c>
      <c r="L782">
        <v>2118.54</v>
      </c>
      <c r="M782">
        <v>61.74</v>
      </c>
      <c r="N782">
        <v>2056.8000000000002</v>
      </c>
      <c r="O782" t="s">
        <v>25</v>
      </c>
      <c r="P782" t="s">
        <v>3904</v>
      </c>
      <c r="Q782" t="s">
        <v>3036</v>
      </c>
      <c r="R782" t="s">
        <v>4977</v>
      </c>
      <c r="S782" t="s">
        <v>4992</v>
      </c>
      <c r="T782" t="s">
        <v>4992</v>
      </c>
    </row>
    <row r="783" spans="1:20" x14ac:dyDescent="0.25">
      <c r="A783" t="s">
        <v>2234</v>
      </c>
      <c r="B783" t="s">
        <v>2235</v>
      </c>
      <c r="C783" s="1">
        <v>46031.81318287037</v>
      </c>
      <c r="D783">
        <v>934.22</v>
      </c>
      <c r="E783" t="s">
        <v>25</v>
      </c>
      <c r="F783" t="s">
        <v>20</v>
      </c>
      <c r="G783" t="s">
        <v>26</v>
      </c>
      <c r="H783" t="s">
        <v>2236</v>
      </c>
      <c r="I783" t="s">
        <v>3949</v>
      </c>
      <c r="J783" t="s">
        <v>3034</v>
      </c>
      <c r="K783" s="1">
        <v>46031.820127314815</v>
      </c>
      <c r="L783">
        <v>934.22</v>
      </c>
      <c r="M783">
        <v>27.39</v>
      </c>
      <c r="N783">
        <v>906.83</v>
      </c>
      <c r="O783" t="s">
        <v>25</v>
      </c>
      <c r="P783" t="s">
        <v>3930</v>
      </c>
      <c r="Q783" t="s">
        <v>3036</v>
      </c>
      <c r="R783" t="s">
        <v>4977</v>
      </c>
      <c r="S783" t="s">
        <v>4992</v>
      </c>
      <c r="T783" t="s">
        <v>4992</v>
      </c>
    </row>
    <row r="784" spans="1:20" x14ac:dyDescent="0.25">
      <c r="A784" t="s">
        <v>2237</v>
      </c>
      <c r="B784" t="s">
        <v>2238</v>
      </c>
      <c r="C784" s="1">
        <v>46032.875868055555</v>
      </c>
      <c r="D784">
        <v>621.07000000000005</v>
      </c>
      <c r="E784" t="s">
        <v>25</v>
      </c>
      <c r="F784" t="s">
        <v>20</v>
      </c>
      <c r="G784" t="s">
        <v>30</v>
      </c>
      <c r="H784" t="s">
        <v>2239</v>
      </c>
      <c r="I784" t="s">
        <v>3950</v>
      </c>
      <c r="J784" t="s">
        <v>3034</v>
      </c>
      <c r="K784" s="1">
        <v>46032.8828125</v>
      </c>
      <c r="L784">
        <v>621.07000000000005</v>
      </c>
      <c r="M784">
        <v>18.309999999999999</v>
      </c>
      <c r="N784">
        <v>602.76</v>
      </c>
      <c r="O784" t="s">
        <v>25</v>
      </c>
      <c r="P784" t="s">
        <v>3932</v>
      </c>
      <c r="Q784" t="s">
        <v>3036</v>
      </c>
      <c r="R784" t="s">
        <v>4977</v>
      </c>
      <c r="S784" t="s">
        <v>4992</v>
      </c>
      <c r="T784" t="s">
        <v>4992</v>
      </c>
    </row>
    <row r="785" spans="1:20" x14ac:dyDescent="0.25">
      <c r="A785" t="s">
        <v>2240</v>
      </c>
      <c r="B785" t="s">
        <v>2241</v>
      </c>
      <c r="C785" s="1">
        <v>46033.993900462963</v>
      </c>
      <c r="D785">
        <v>1733</v>
      </c>
      <c r="E785" t="s">
        <v>25</v>
      </c>
      <c r="F785" t="s">
        <v>20</v>
      </c>
      <c r="G785" t="s">
        <v>21</v>
      </c>
      <c r="H785" t="s">
        <v>2242</v>
      </c>
      <c r="I785" t="s">
        <v>3951</v>
      </c>
      <c r="J785" t="s">
        <v>3034</v>
      </c>
      <c r="K785" s="1">
        <v>46034.000844907408</v>
      </c>
      <c r="L785">
        <v>1733</v>
      </c>
      <c r="M785">
        <v>50.56</v>
      </c>
      <c r="N785">
        <v>1682.44</v>
      </c>
      <c r="O785" t="s">
        <v>25</v>
      </c>
      <c r="P785" t="s">
        <v>3952</v>
      </c>
      <c r="Q785" t="s">
        <v>3036</v>
      </c>
      <c r="R785" t="s">
        <v>4977</v>
      </c>
      <c r="S785" t="s">
        <v>4992</v>
      </c>
      <c r="T785" t="s">
        <v>4992</v>
      </c>
    </row>
    <row r="786" spans="1:20" x14ac:dyDescent="0.25">
      <c r="A786" t="s">
        <v>2243</v>
      </c>
      <c r="B786" t="s">
        <v>2244</v>
      </c>
      <c r="C786" s="1">
        <v>46035.091643518521</v>
      </c>
      <c r="D786">
        <v>455.6</v>
      </c>
      <c r="E786" t="s">
        <v>52</v>
      </c>
      <c r="F786" t="s">
        <v>20</v>
      </c>
      <c r="G786" t="s">
        <v>26</v>
      </c>
      <c r="H786" t="s">
        <v>2245</v>
      </c>
      <c r="I786" t="s">
        <v>3953</v>
      </c>
      <c r="J786" t="s">
        <v>3034</v>
      </c>
      <c r="K786" s="1">
        <v>46035.098587962966</v>
      </c>
      <c r="L786">
        <v>455.6</v>
      </c>
      <c r="M786">
        <v>13.51</v>
      </c>
      <c r="N786">
        <v>442.09</v>
      </c>
      <c r="O786" t="s">
        <v>52</v>
      </c>
      <c r="P786" t="s">
        <v>3954</v>
      </c>
      <c r="Q786" t="s">
        <v>3036</v>
      </c>
      <c r="R786" t="s">
        <v>4977</v>
      </c>
      <c r="S786" t="s">
        <v>4992</v>
      </c>
      <c r="T786" t="s">
        <v>4992</v>
      </c>
    </row>
    <row r="787" spans="1:20" x14ac:dyDescent="0.25">
      <c r="A787" t="s">
        <v>2246</v>
      </c>
      <c r="B787" t="s">
        <v>2247</v>
      </c>
      <c r="C787" s="1">
        <v>46036.156805555554</v>
      </c>
      <c r="D787">
        <v>1922.81</v>
      </c>
      <c r="E787" t="s">
        <v>19</v>
      </c>
      <c r="F787" t="s">
        <v>20</v>
      </c>
      <c r="G787" t="s">
        <v>30</v>
      </c>
      <c r="H787" t="s">
        <v>2248</v>
      </c>
      <c r="I787" t="s">
        <v>3955</v>
      </c>
      <c r="J787" t="s">
        <v>3034</v>
      </c>
      <c r="K787" s="1">
        <v>46036.16375</v>
      </c>
      <c r="L787">
        <v>1922.81</v>
      </c>
      <c r="M787">
        <v>56.06</v>
      </c>
      <c r="N787">
        <v>1866.75</v>
      </c>
      <c r="O787" t="s">
        <v>19</v>
      </c>
      <c r="P787" t="s">
        <v>3956</v>
      </c>
      <c r="Q787" t="s">
        <v>3036</v>
      </c>
      <c r="R787" t="s">
        <v>4977</v>
      </c>
      <c r="S787" t="s">
        <v>4992</v>
      </c>
      <c r="T787" t="s">
        <v>4992</v>
      </c>
    </row>
    <row r="788" spans="1:20" x14ac:dyDescent="0.25">
      <c r="A788" t="s">
        <v>2249</v>
      </c>
      <c r="B788" t="s">
        <v>2250</v>
      </c>
      <c r="C788" s="1">
        <v>46036.251921296294</v>
      </c>
      <c r="D788">
        <v>2144.38</v>
      </c>
      <c r="E788" t="s">
        <v>25</v>
      </c>
      <c r="F788" t="s">
        <v>20</v>
      </c>
      <c r="G788" t="s">
        <v>21</v>
      </c>
      <c r="H788" t="s">
        <v>2251</v>
      </c>
      <c r="I788" t="s">
        <v>3957</v>
      </c>
      <c r="J788" t="s">
        <v>3034</v>
      </c>
      <c r="K788" s="1">
        <v>46036.25886574074</v>
      </c>
      <c r="L788">
        <v>2144.38</v>
      </c>
      <c r="M788">
        <v>62.49</v>
      </c>
      <c r="N788">
        <v>2081.89</v>
      </c>
      <c r="O788" t="s">
        <v>25</v>
      </c>
      <c r="P788" t="s">
        <v>3916</v>
      </c>
      <c r="Q788" t="s">
        <v>3036</v>
      </c>
      <c r="R788" t="s">
        <v>4977</v>
      </c>
      <c r="S788" t="s">
        <v>4992</v>
      </c>
      <c r="T788" t="s">
        <v>4992</v>
      </c>
    </row>
    <row r="789" spans="1:20" x14ac:dyDescent="0.25">
      <c r="A789" t="s">
        <v>2252</v>
      </c>
      <c r="B789" t="s">
        <v>2253</v>
      </c>
      <c r="C789" s="1">
        <v>46023.339479166665</v>
      </c>
      <c r="D789">
        <v>242.59</v>
      </c>
      <c r="E789" t="s">
        <v>25</v>
      </c>
      <c r="F789" t="s">
        <v>20</v>
      </c>
      <c r="G789" t="s">
        <v>26</v>
      </c>
      <c r="H789" t="s">
        <v>2254</v>
      </c>
      <c r="I789" t="s">
        <v>3958</v>
      </c>
      <c r="J789" t="s">
        <v>3034</v>
      </c>
      <c r="K789" s="1">
        <v>46023.34642361111</v>
      </c>
      <c r="L789">
        <v>242.59</v>
      </c>
      <c r="M789">
        <v>7.34</v>
      </c>
      <c r="N789">
        <v>235.25</v>
      </c>
      <c r="O789" t="s">
        <v>25</v>
      </c>
      <c r="P789" t="s">
        <v>3918</v>
      </c>
      <c r="Q789" t="s">
        <v>3036</v>
      </c>
      <c r="R789" t="s">
        <v>4977</v>
      </c>
      <c r="S789" t="s">
        <v>4992</v>
      </c>
      <c r="T789" t="s">
        <v>4992</v>
      </c>
    </row>
    <row r="790" spans="1:20" x14ac:dyDescent="0.25">
      <c r="A790" t="s">
        <v>2255</v>
      </c>
      <c r="B790" t="s">
        <v>2256</v>
      </c>
      <c r="C790" s="1">
        <v>46024.451157407406</v>
      </c>
      <c r="D790">
        <v>1040.1099999999999</v>
      </c>
      <c r="E790" t="s">
        <v>25</v>
      </c>
      <c r="F790" t="s">
        <v>20</v>
      </c>
      <c r="G790" t="s">
        <v>30</v>
      </c>
      <c r="H790" t="s">
        <v>2257</v>
      </c>
      <c r="I790" t="s">
        <v>3959</v>
      </c>
      <c r="J790" t="s">
        <v>3034</v>
      </c>
      <c r="K790" s="1">
        <v>46024.458101851851</v>
      </c>
      <c r="L790">
        <v>1040.1099999999999</v>
      </c>
      <c r="M790">
        <v>30.46</v>
      </c>
      <c r="N790">
        <v>1009.65</v>
      </c>
      <c r="O790" t="s">
        <v>25</v>
      </c>
      <c r="P790" t="s">
        <v>3890</v>
      </c>
      <c r="Q790" t="s">
        <v>3036</v>
      </c>
      <c r="R790" t="s">
        <v>4977</v>
      </c>
      <c r="S790" t="s">
        <v>4992</v>
      </c>
      <c r="T790" t="s">
        <v>4992</v>
      </c>
    </row>
    <row r="791" spans="1:20" x14ac:dyDescent="0.25">
      <c r="A791" t="s">
        <v>2258</v>
      </c>
      <c r="B791" t="s">
        <v>2259</v>
      </c>
      <c r="C791" s="1">
        <v>46025.515659722223</v>
      </c>
      <c r="D791">
        <v>815.25</v>
      </c>
      <c r="E791" t="s">
        <v>25</v>
      </c>
      <c r="F791" t="s">
        <v>20</v>
      </c>
      <c r="G791" t="s">
        <v>21</v>
      </c>
      <c r="H791" t="s">
        <v>2260</v>
      </c>
      <c r="I791" t="s">
        <v>3960</v>
      </c>
      <c r="J791" t="s">
        <v>3034</v>
      </c>
      <c r="K791" s="1">
        <v>46025.522604166668</v>
      </c>
      <c r="L791">
        <v>815.25</v>
      </c>
      <c r="M791">
        <v>23.94</v>
      </c>
      <c r="N791">
        <v>791.31</v>
      </c>
      <c r="O791" t="s">
        <v>25</v>
      </c>
      <c r="P791" t="s">
        <v>3894</v>
      </c>
      <c r="Q791" t="s">
        <v>3036</v>
      </c>
      <c r="R791" t="s">
        <v>4977</v>
      </c>
      <c r="S791" t="s">
        <v>4992</v>
      </c>
      <c r="T791" t="s">
        <v>4992</v>
      </c>
    </row>
    <row r="792" spans="1:20" x14ac:dyDescent="0.25">
      <c r="A792" t="s">
        <v>2261</v>
      </c>
      <c r="B792" t="s">
        <v>2262</v>
      </c>
      <c r="C792" s="1">
        <v>46026.628495370373</v>
      </c>
      <c r="D792">
        <v>764.09</v>
      </c>
      <c r="E792" t="s">
        <v>25</v>
      </c>
      <c r="F792" t="s">
        <v>429</v>
      </c>
      <c r="G792" t="s">
        <v>26</v>
      </c>
      <c r="H792" t="s">
        <v>2263</v>
      </c>
      <c r="I792" t="s">
        <v>3961</v>
      </c>
      <c r="J792" t="s">
        <v>3034</v>
      </c>
      <c r="K792" s="1">
        <v>46026.635439814818</v>
      </c>
      <c r="L792">
        <v>764.09</v>
      </c>
      <c r="M792">
        <v>22.46</v>
      </c>
      <c r="N792">
        <v>741.63</v>
      </c>
      <c r="O792" t="s">
        <v>25</v>
      </c>
      <c r="P792" t="s">
        <v>3896</v>
      </c>
      <c r="Q792" t="s">
        <v>3036</v>
      </c>
      <c r="R792" t="s">
        <v>4977</v>
      </c>
      <c r="S792" t="s">
        <v>4992</v>
      </c>
      <c r="T792" t="s">
        <v>4992</v>
      </c>
    </row>
    <row r="793" spans="1:20" x14ac:dyDescent="0.25">
      <c r="A793" t="s">
        <v>2261</v>
      </c>
      <c r="B793" t="s">
        <v>2262</v>
      </c>
      <c r="C793" s="1">
        <v>46026.628495370373</v>
      </c>
      <c r="D793">
        <v>764.09</v>
      </c>
      <c r="E793" t="s">
        <v>25</v>
      </c>
      <c r="F793" t="s">
        <v>429</v>
      </c>
      <c r="G793" t="s">
        <v>26</v>
      </c>
      <c r="H793" t="s">
        <v>2263</v>
      </c>
      <c r="I793" t="s">
        <v>3962</v>
      </c>
      <c r="J793" t="s">
        <v>3076</v>
      </c>
      <c r="K793" s="1">
        <v>46027.628495370373</v>
      </c>
      <c r="L793">
        <v>-764.09</v>
      </c>
      <c r="M793">
        <v>0</v>
      </c>
      <c r="N793">
        <v>-764.09</v>
      </c>
      <c r="O793" t="s">
        <v>25</v>
      </c>
      <c r="P793" t="s">
        <v>3963</v>
      </c>
      <c r="Q793" t="s">
        <v>3036</v>
      </c>
      <c r="R793" t="s">
        <v>4977</v>
      </c>
      <c r="S793" t="s">
        <v>4991</v>
      </c>
      <c r="T793" t="s">
        <v>4992</v>
      </c>
    </row>
    <row r="794" spans="1:20" x14ac:dyDescent="0.25">
      <c r="A794" t="s">
        <v>2264</v>
      </c>
      <c r="B794" t="s">
        <v>2265</v>
      </c>
      <c r="C794" s="1">
        <v>46027.726817129631</v>
      </c>
      <c r="D794">
        <v>994.4</v>
      </c>
      <c r="E794" t="s">
        <v>25</v>
      </c>
      <c r="F794" t="s">
        <v>20</v>
      </c>
      <c r="G794" t="s">
        <v>30</v>
      </c>
      <c r="H794" t="s">
        <v>2266</v>
      </c>
      <c r="I794" t="s">
        <v>3964</v>
      </c>
      <c r="J794" t="s">
        <v>3034</v>
      </c>
      <c r="K794" s="1">
        <v>46027.733761574076</v>
      </c>
      <c r="L794">
        <v>994.4</v>
      </c>
      <c r="M794">
        <v>29.14</v>
      </c>
      <c r="N794">
        <v>965.26</v>
      </c>
      <c r="O794" t="s">
        <v>25</v>
      </c>
      <c r="P794" t="s">
        <v>3923</v>
      </c>
      <c r="Q794" t="s">
        <v>3036</v>
      </c>
      <c r="R794" t="s">
        <v>4977</v>
      </c>
      <c r="S794" t="s">
        <v>4992</v>
      </c>
      <c r="T794" t="s">
        <v>4992</v>
      </c>
    </row>
    <row r="795" spans="1:20" x14ac:dyDescent="0.25">
      <c r="A795" t="s">
        <v>2267</v>
      </c>
      <c r="B795" t="s">
        <v>2268</v>
      </c>
      <c r="C795" s="1">
        <v>46028.793009259258</v>
      </c>
      <c r="D795">
        <v>1499.32</v>
      </c>
      <c r="E795" t="s">
        <v>25</v>
      </c>
      <c r="F795" t="s">
        <v>20</v>
      </c>
      <c r="G795" t="s">
        <v>21</v>
      </c>
      <c r="H795" t="s">
        <v>2269</v>
      </c>
      <c r="I795" t="s">
        <v>3965</v>
      </c>
      <c r="J795" t="s">
        <v>3034</v>
      </c>
      <c r="K795" s="1">
        <v>46028.799953703703</v>
      </c>
      <c r="L795">
        <v>1499.32</v>
      </c>
      <c r="M795">
        <v>43.78</v>
      </c>
      <c r="N795">
        <v>1455.54</v>
      </c>
      <c r="O795" t="s">
        <v>25</v>
      </c>
      <c r="P795" t="s">
        <v>3900</v>
      </c>
      <c r="Q795" t="s">
        <v>3036</v>
      </c>
      <c r="R795" t="s">
        <v>4977</v>
      </c>
      <c r="S795" t="s">
        <v>4992</v>
      </c>
      <c r="T795" t="s">
        <v>4992</v>
      </c>
    </row>
    <row r="796" spans="1:20" x14ac:dyDescent="0.25">
      <c r="A796" t="s">
        <v>2270</v>
      </c>
      <c r="B796" t="s">
        <v>2271</v>
      </c>
      <c r="C796" s="1">
        <v>46029.908668981479</v>
      </c>
      <c r="D796">
        <v>760.04</v>
      </c>
      <c r="E796" t="s">
        <v>25</v>
      </c>
      <c r="F796" t="s">
        <v>20</v>
      </c>
      <c r="G796" t="s">
        <v>26</v>
      </c>
      <c r="H796" t="s">
        <v>2272</v>
      </c>
      <c r="I796" t="s">
        <v>3966</v>
      </c>
      <c r="J796" t="s">
        <v>3034</v>
      </c>
      <c r="K796" s="1">
        <v>46029.915613425925</v>
      </c>
      <c r="L796">
        <v>760.04</v>
      </c>
      <c r="M796">
        <v>22.34</v>
      </c>
      <c r="N796">
        <v>737.7</v>
      </c>
      <c r="O796" t="s">
        <v>25</v>
      </c>
      <c r="P796" t="s">
        <v>3902</v>
      </c>
      <c r="Q796" t="s">
        <v>3036</v>
      </c>
      <c r="R796" t="s">
        <v>4977</v>
      </c>
      <c r="S796" t="s">
        <v>4992</v>
      </c>
      <c r="T796" t="s">
        <v>4992</v>
      </c>
    </row>
    <row r="797" spans="1:20" x14ac:dyDescent="0.25">
      <c r="A797" t="s">
        <v>2273</v>
      </c>
      <c r="B797" t="s">
        <v>2274</v>
      </c>
      <c r="C797" s="1">
        <v>46030.992164351854</v>
      </c>
      <c r="D797">
        <v>153.87</v>
      </c>
      <c r="E797" t="s">
        <v>52</v>
      </c>
      <c r="F797" t="s">
        <v>20</v>
      </c>
      <c r="G797" t="s">
        <v>30</v>
      </c>
      <c r="H797" t="s">
        <v>2275</v>
      </c>
      <c r="I797" t="s">
        <v>3967</v>
      </c>
      <c r="J797" t="s">
        <v>3034</v>
      </c>
      <c r="K797" s="1">
        <v>46030.999108796299</v>
      </c>
      <c r="L797">
        <v>153.87</v>
      </c>
      <c r="M797">
        <v>4.76</v>
      </c>
      <c r="N797">
        <v>149.11000000000001</v>
      </c>
      <c r="O797" t="s">
        <v>52</v>
      </c>
      <c r="P797" t="s">
        <v>3968</v>
      </c>
      <c r="Q797" t="s">
        <v>3036</v>
      </c>
      <c r="R797" t="s">
        <v>4977</v>
      </c>
      <c r="S797" t="s">
        <v>4992</v>
      </c>
      <c r="T797" t="s">
        <v>4992</v>
      </c>
    </row>
    <row r="798" spans="1:20" x14ac:dyDescent="0.25">
      <c r="A798" t="s">
        <v>2276</v>
      </c>
      <c r="B798" t="s">
        <v>2277</v>
      </c>
      <c r="C798" s="1">
        <v>46032.073761574073</v>
      </c>
      <c r="D798">
        <v>1070.48</v>
      </c>
      <c r="E798" t="s">
        <v>19</v>
      </c>
      <c r="F798" t="s">
        <v>429</v>
      </c>
      <c r="G798" t="s">
        <v>21</v>
      </c>
      <c r="H798" t="s">
        <v>2278</v>
      </c>
      <c r="I798" t="s">
        <v>3969</v>
      </c>
      <c r="J798" t="s">
        <v>3034</v>
      </c>
      <c r="K798" s="1">
        <v>46032.080706018518</v>
      </c>
      <c r="L798">
        <v>1070.48</v>
      </c>
      <c r="M798">
        <v>31.34</v>
      </c>
      <c r="N798">
        <v>1039.1400000000001</v>
      </c>
      <c r="O798" t="s">
        <v>19</v>
      </c>
      <c r="P798" t="s">
        <v>3970</v>
      </c>
      <c r="Q798" t="s">
        <v>3036</v>
      </c>
      <c r="R798" t="s">
        <v>4977</v>
      </c>
      <c r="S798" t="s">
        <v>4992</v>
      </c>
      <c r="T798" t="s">
        <v>4992</v>
      </c>
    </row>
    <row r="799" spans="1:20" x14ac:dyDescent="0.25">
      <c r="A799" t="s">
        <v>2276</v>
      </c>
      <c r="B799" t="s">
        <v>2277</v>
      </c>
      <c r="C799" s="1">
        <v>46032.073761574073</v>
      </c>
      <c r="D799">
        <v>1070.48</v>
      </c>
      <c r="E799" t="s">
        <v>19</v>
      </c>
      <c r="F799" t="s">
        <v>429</v>
      </c>
      <c r="G799" t="s">
        <v>21</v>
      </c>
      <c r="H799" t="s">
        <v>2278</v>
      </c>
      <c r="I799" t="s">
        <v>3971</v>
      </c>
      <c r="J799" t="s">
        <v>3076</v>
      </c>
      <c r="K799" s="1">
        <v>46033.073761574073</v>
      </c>
      <c r="L799">
        <v>-1070.48</v>
      </c>
      <c r="M799">
        <v>0</v>
      </c>
      <c r="N799">
        <v>-1070.48</v>
      </c>
      <c r="O799" t="s">
        <v>19</v>
      </c>
      <c r="P799" t="s">
        <v>3972</v>
      </c>
      <c r="Q799" t="s">
        <v>3036</v>
      </c>
      <c r="R799" t="s">
        <v>4977</v>
      </c>
      <c r="S799" t="s">
        <v>4991</v>
      </c>
      <c r="T799" t="s">
        <v>4992</v>
      </c>
    </row>
    <row r="800" spans="1:20" x14ac:dyDescent="0.25">
      <c r="A800" t="s">
        <v>2279</v>
      </c>
      <c r="B800" t="s">
        <v>2280</v>
      </c>
      <c r="C800" s="1">
        <v>46033.180219907408</v>
      </c>
      <c r="D800">
        <v>693.13</v>
      </c>
      <c r="E800" t="s">
        <v>25</v>
      </c>
      <c r="F800" t="s">
        <v>20</v>
      </c>
      <c r="G800" t="s">
        <v>26</v>
      </c>
      <c r="H800" t="s">
        <v>2281</v>
      </c>
      <c r="I800" t="s">
        <v>3973</v>
      </c>
      <c r="J800" t="s">
        <v>3034</v>
      </c>
      <c r="K800" s="1">
        <v>46033.187164351853</v>
      </c>
      <c r="L800">
        <v>693.13</v>
      </c>
      <c r="M800">
        <v>20.399999999999999</v>
      </c>
      <c r="N800">
        <v>672.73</v>
      </c>
      <c r="O800" t="s">
        <v>25</v>
      </c>
      <c r="P800" t="s">
        <v>3974</v>
      </c>
      <c r="Q800" t="s">
        <v>3036</v>
      </c>
      <c r="R800" t="s">
        <v>4977</v>
      </c>
      <c r="S800" t="s">
        <v>4992</v>
      </c>
      <c r="T800" t="s">
        <v>4992</v>
      </c>
    </row>
    <row r="801" spans="1:20" x14ac:dyDescent="0.25">
      <c r="A801" t="s">
        <v>2282</v>
      </c>
      <c r="B801" t="s">
        <v>2283</v>
      </c>
      <c r="C801" s="1">
        <v>46033.272499999999</v>
      </c>
      <c r="D801">
        <v>83.36</v>
      </c>
      <c r="E801" t="s">
        <v>25</v>
      </c>
      <c r="F801" t="s">
        <v>20</v>
      </c>
      <c r="G801" t="s">
        <v>30</v>
      </c>
      <c r="H801" t="s">
        <v>2284</v>
      </c>
      <c r="I801" t="s">
        <v>3975</v>
      </c>
      <c r="J801" t="s">
        <v>3034</v>
      </c>
      <c r="K801" s="1">
        <v>46033.279444444444</v>
      </c>
      <c r="L801">
        <v>83.36</v>
      </c>
      <c r="M801">
        <v>2.72</v>
      </c>
      <c r="N801">
        <v>80.64</v>
      </c>
      <c r="O801" t="s">
        <v>25</v>
      </c>
      <c r="P801" t="s">
        <v>3934</v>
      </c>
      <c r="Q801" t="s">
        <v>3036</v>
      </c>
      <c r="R801" t="s">
        <v>4977</v>
      </c>
      <c r="S801" t="s">
        <v>4992</v>
      </c>
      <c r="T801" t="s">
        <v>4992</v>
      </c>
    </row>
    <row r="802" spans="1:20" x14ac:dyDescent="0.25">
      <c r="A802" t="s">
        <v>2285</v>
      </c>
      <c r="B802" t="s">
        <v>2286</v>
      </c>
      <c r="C802" s="1">
        <v>46034.348217592589</v>
      </c>
      <c r="D802">
        <v>1081.3900000000001</v>
      </c>
      <c r="E802" t="s">
        <v>25</v>
      </c>
      <c r="F802" t="s">
        <v>20</v>
      </c>
      <c r="G802" t="s">
        <v>21</v>
      </c>
      <c r="H802" t="s">
        <v>2287</v>
      </c>
      <c r="I802" t="s">
        <v>3976</v>
      </c>
      <c r="J802" t="s">
        <v>3034</v>
      </c>
      <c r="K802" s="1">
        <v>46034.355162037034</v>
      </c>
      <c r="L802">
        <v>1081.3900000000001</v>
      </c>
      <c r="M802">
        <v>31.66</v>
      </c>
      <c r="N802">
        <v>1049.73</v>
      </c>
      <c r="O802" t="s">
        <v>25</v>
      </c>
      <c r="P802" t="s">
        <v>3912</v>
      </c>
      <c r="Q802" t="s">
        <v>3036</v>
      </c>
      <c r="R802" t="s">
        <v>4977</v>
      </c>
      <c r="S802" t="s">
        <v>4992</v>
      </c>
      <c r="T802" t="s">
        <v>4992</v>
      </c>
    </row>
    <row r="803" spans="1:20" x14ac:dyDescent="0.25">
      <c r="A803" t="s">
        <v>2288</v>
      </c>
      <c r="B803" t="s">
        <v>2289</v>
      </c>
      <c r="C803" s="1">
        <v>46035.455590277779</v>
      </c>
      <c r="D803">
        <v>1712.52</v>
      </c>
      <c r="E803" t="s">
        <v>25</v>
      </c>
      <c r="F803" t="s">
        <v>20</v>
      </c>
      <c r="G803" t="s">
        <v>26</v>
      </c>
      <c r="H803" t="s">
        <v>2290</v>
      </c>
      <c r="I803" t="s">
        <v>3977</v>
      </c>
      <c r="J803" t="s">
        <v>3034</v>
      </c>
      <c r="K803" s="1">
        <v>46035.462534722225</v>
      </c>
      <c r="L803">
        <v>1712.52</v>
      </c>
      <c r="M803">
        <v>49.96</v>
      </c>
      <c r="N803">
        <v>1662.56</v>
      </c>
      <c r="O803" t="s">
        <v>25</v>
      </c>
      <c r="P803" t="s">
        <v>3914</v>
      </c>
      <c r="Q803" t="s">
        <v>3036</v>
      </c>
      <c r="R803" t="s">
        <v>4977</v>
      </c>
      <c r="S803" t="s">
        <v>4992</v>
      </c>
      <c r="T803" t="s">
        <v>4992</v>
      </c>
    </row>
    <row r="804" spans="1:20" x14ac:dyDescent="0.25">
      <c r="A804" t="s">
        <v>2291</v>
      </c>
      <c r="B804" t="s">
        <v>2292</v>
      </c>
      <c r="C804" s="1">
        <v>46036.524837962963</v>
      </c>
      <c r="D804">
        <v>1273.19</v>
      </c>
      <c r="E804" t="s">
        <v>25</v>
      </c>
      <c r="F804" t="s">
        <v>20</v>
      </c>
      <c r="G804" t="s">
        <v>30</v>
      </c>
      <c r="H804" t="s">
        <v>2293</v>
      </c>
      <c r="I804" t="s">
        <v>3978</v>
      </c>
      <c r="J804" t="s">
        <v>3034</v>
      </c>
      <c r="K804" s="1">
        <v>46036.531782407408</v>
      </c>
      <c r="L804">
        <v>1273.19</v>
      </c>
      <c r="M804">
        <v>37.22</v>
      </c>
      <c r="N804">
        <v>1235.97</v>
      </c>
      <c r="O804" t="s">
        <v>25</v>
      </c>
      <c r="P804" t="s">
        <v>3916</v>
      </c>
      <c r="Q804" t="s">
        <v>3036</v>
      </c>
      <c r="R804" t="s">
        <v>4977</v>
      </c>
      <c r="S804" t="s">
        <v>4992</v>
      </c>
      <c r="T804" t="s">
        <v>4992</v>
      </c>
    </row>
    <row r="805" spans="1:20" x14ac:dyDescent="0.25">
      <c r="A805" t="s">
        <v>2294</v>
      </c>
      <c r="B805" t="s">
        <v>2295</v>
      </c>
      <c r="C805" s="1">
        <v>46023.634039351855</v>
      </c>
      <c r="D805">
        <v>311.19</v>
      </c>
      <c r="E805" t="s">
        <v>25</v>
      </c>
      <c r="F805" t="s">
        <v>20</v>
      </c>
      <c r="G805" t="s">
        <v>21</v>
      </c>
      <c r="H805" t="s">
        <v>2296</v>
      </c>
      <c r="I805" t="s">
        <v>3979</v>
      </c>
      <c r="J805" t="s">
        <v>3034</v>
      </c>
      <c r="K805" s="1">
        <v>46023.640983796293</v>
      </c>
      <c r="L805">
        <v>311.19</v>
      </c>
      <c r="M805">
        <v>9.32</v>
      </c>
      <c r="N805">
        <v>301.87</v>
      </c>
      <c r="O805" t="s">
        <v>25</v>
      </c>
      <c r="P805" t="s">
        <v>3918</v>
      </c>
      <c r="Q805" t="s">
        <v>3036</v>
      </c>
      <c r="R805" t="s">
        <v>4977</v>
      </c>
      <c r="S805" t="s">
        <v>4992</v>
      </c>
      <c r="T805" t="s">
        <v>4992</v>
      </c>
    </row>
    <row r="806" spans="1:20" x14ac:dyDescent="0.25">
      <c r="A806" t="s">
        <v>2297</v>
      </c>
      <c r="B806" t="s">
        <v>2298</v>
      </c>
      <c r="C806" s="1">
        <v>46024.704710648148</v>
      </c>
      <c r="D806">
        <v>993.75</v>
      </c>
      <c r="E806" t="s">
        <v>25</v>
      </c>
      <c r="F806" t="s">
        <v>20</v>
      </c>
      <c r="G806" t="s">
        <v>26</v>
      </c>
      <c r="H806" t="s">
        <v>2299</v>
      </c>
      <c r="I806" t="s">
        <v>3980</v>
      </c>
      <c r="J806" t="s">
        <v>3034</v>
      </c>
      <c r="K806" s="1">
        <v>46024.711655092593</v>
      </c>
      <c r="L806">
        <v>993.75</v>
      </c>
      <c r="M806">
        <v>29.12</v>
      </c>
      <c r="N806">
        <v>964.63</v>
      </c>
      <c r="O806" t="s">
        <v>25</v>
      </c>
      <c r="P806" t="s">
        <v>3981</v>
      </c>
      <c r="Q806" t="s">
        <v>3036</v>
      </c>
      <c r="R806" t="s">
        <v>4977</v>
      </c>
      <c r="S806" t="s">
        <v>4992</v>
      </c>
      <c r="T806" t="s">
        <v>4992</v>
      </c>
    </row>
    <row r="807" spans="1:20" x14ac:dyDescent="0.25">
      <c r="A807" t="s">
        <v>2300</v>
      </c>
      <c r="B807" t="s">
        <v>2301</v>
      </c>
      <c r="C807" s="1">
        <v>46025.818668981483</v>
      </c>
      <c r="D807">
        <v>1958.41</v>
      </c>
      <c r="E807" t="s">
        <v>25</v>
      </c>
      <c r="F807" t="s">
        <v>20</v>
      </c>
      <c r="G807" t="s">
        <v>30</v>
      </c>
      <c r="H807" t="s">
        <v>2302</v>
      </c>
      <c r="I807" t="s">
        <v>3982</v>
      </c>
      <c r="J807" t="s">
        <v>3034</v>
      </c>
      <c r="K807" s="1">
        <v>46025.825613425928</v>
      </c>
      <c r="L807">
        <v>1958.41</v>
      </c>
      <c r="M807">
        <v>57.09</v>
      </c>
      <c r="N807">
        <v>1901.32</v>
      </c>
      <c r="O807" t="s">
        <v>25</v>
      </c>
      <c r="P807" t="s">
        <v>3894</v>
      </c>
      <c r="Q807" t="s">
        <v>3036</v>
      </c>
      <c r="R807" t="s">
        <v>4977</v>
      </c>
      <c r="S807" t="s">
        <v>4992</v>
      </c>
      <c r="T807" t="s">
        <v>4992</v>
      </c>
    </row>
    <row r="808" spans="1:20" x14ac:dyDescent="0.25">
      <c r="A808" t="s">
        <v>2303</v>
      </c>
      <c r="B808" t="s">
        <v>2304</v>
      </c>
      <c r="C808" s="1">
        <v>46026.900081018517</v>
      </c>
      <c r="D808">
        <v>82.57</v>
      </c>
      <c r="E808" t="s">
        <v>52</v>
      </c>
      <c r="F808" t="s">
        <v>20</v>
      </c>
      <c r="G808" t="s">
        <v>21</v>
      </c>
      <c r="H808" t="s">
        <v>2305</v>
      </c>
      <c r="I808" t="s">
        <v>3983</v>
      </c>
      <c r="J808" t="s">
        <v>3034</v>
      </c>
      <c r="K808" s="1">
        <v>46026.907025462962</v>
      </c>
      <c r="L808">
        <v>82.57</v>
      </c>
      <c r="M808">
        <v>2.69</v>
      </c>
      <c r="N808">
        <v>79.88</v>
      </c>
      <c r="O808" t="s">
        <v>52</v>
      </c>
      <c r="P808" t="s">
        <v>3984</v>
      </c>
      <c r="Q808" t="s">
        <v>3036</v>
      </c>
      <c r="R808" t="s">
        <v>4977</v>
      </c>
      <c r="S808" t="s">
        <v>4992</v>
      </c>
      <c r="T808" t="s">
        <v>4992</v>
      </c>
    </row>
    <row r="809" spans="1:20" x14ac:dyDescent="0.25">
      <c r="A809" t="s">
        <v>2306</v>
      </c>
      <c r="B809" t="s">
        <v>2307</v>
      </c>
      <c r="C809" s="1">
        <v>46027.987928240742</v>
      </c>
      <c r="D809">
        <v>2322.2600000000002</v>
      </c>
      <c r="E809" t="s">
        <v>19</v>
      </c>
      <c r="F809" t="s">
        <v>20</v>
      </c>
      <c r="G809" t="s">
        <v>26</v>
      </c>
      <c r="H809" t="s">
        <v>2308</v>
      </c>
      <c r="I809" t="s">
        <v>3985</v>
      </c>
      <c r="J809" t="s">
        <v>3034</v>
      </c>
      <c r="K809" s="1">
        <v>46027.994872685187</v>
      </c>
      <c r="L809">
        <v>2322.2600000000002</v>
      </c>
      <c r="M809">
        <v>67.650000000000006</v>
      </c>
      <c r="N809">
        <v>2254.61</v>
      </c>
      <c r="O809" t="s">
        <v>19</v>
      </c>
      <c r="P809" t="s">
        <v>3986</v>
      </c>
      <c r="Q809" t="s">
        <v>3036</v>
      </c>
      <c r="R809" t="s">
        <v>4977</v>
      </c>
      <c r="S809" t="s">
        <v>4992</v>
      </c>
      <c r="T809" t="s">
        <v>4992</v>
      </c>
    </row>
    <row r="810" spans="1:20" x14ac:dyDescent="0.25">
      <c r="A810" t="s">
        <v>2309</v>
      </c>
      <c r="B810" t="s">
        <v>2310</v>
      </c>
      <c r="C810" s="1">
        <v>46029.095370370371</v>
      </c>
      <c r="D810">
        <v>1351.59</v>
      </c>
      <c r="E810" t="s">
        <v>25</v>
      </c>
      <c r="F810" t="s">
        <v>20</v>
      </c>
      <c r="G810" t="s">
        <v>30</v>
      </c>
      <c r="H810" t="s">
        <v>2311</v>
      </c>
      <c r="I810" t="s">
        <v>3987</v>
      </c>
      <c r="J810" t="s">
        <v>3034</v>
      </c>
      <c r="K810" s="1">
        <v>46029.102314814816</v>
      </c>
      <c r="L810">
        <v>1351.59</v>
      </c>
      <c r="M810">
        <v>39.5</v>
      </c>
      <c r="N810">
        <v>1312.09</v>
      </c>
      <c r="O810" t="s">
        <v>25</v>
      </c>
      <c r="P810" t="s">
        <v>3900</v>
      </c>
      <c r="Q810" t="s">
        <v>3036</v>
      </c>
      <c r="R810" t="s">
        <v>4977</v>
      </c>
      <c r="S810" t="s">
        <v>4992</v>
      </c>
      <c r="T810" t="s">
        <v>4992</v>
      </c>
    </row>
    <row r="811" spans="1:20" x14ac:dyDescent="0.25">
      <c r="A811" t="s">
        <v>2312</v>
      </c>
      <c r="B811" t="s">
        <v>2313</v>
      </c>
      <c r="C811" s="1">
        <v>46030.191168981481</v>
      </c>
      <c r="D811">
        <v>51.36</v>
      </c>
      <c r="E811" t="s">
        <v>25</v>
      </c>
      <c r="F811" t="s">
        <v>20</v>
      </c>
      <c r="G811" t="s">
        <v>21</v>
      </c>
      <c r="H811" t="s">
        <v>2314</v>
      </c>
      <c r="I811" t="s">
        <v>3988</v>
      </c>
      <c r="J811" t="s">
        <v>3034</v>
      </c>
      <c r="K811" s="1">
        <v>46030.198113425926</v>
      </c>
      <c r="L811">
        <v>51.36</v>
      </c>
      <c r="M811">
        <v>1.79</v>
      </c>
      <c r="N811">
        <v>49.57</v>
      </c>
      <c r="O811" t="s">
        <v>25</v>
      </c>
      <c r="P811" t="s">
        <v>3902</v>
      </c>
      <c r="Q811" t="s">
        <v>3036</v>
      </c>
      <c r="R811" t="s">
        <v>4977</v>
      </c>
      <c r="S811" t="s">
        <v>4992</v>
      </c>
      <c r="T811" t="s">
        <v>4992</v>
      </c>
    </row>
    <row r="812" spans="1:20" x14ac:dyDescent="0.25">
      <c r="A812" t="s">
        <v>2315</v>
      </c>
      <c r="B812" t="s">
        <v>2316</v>
      </c>
      <c r="C812" s="1">
        <v>46030.287870370368</v>
      </c>
      <c r="D812">
        <v>1484.46</v>
      </c>
      <c r="E812" t="s">
        <v>25</v>
      </c>
      <c r="F812" t="s">
        <v>20</v>
      </c>
      <c r="G812" t="s">
        <v>26</v>
      </c>
      <c r="H812" t="s">
        <v>2317</v>
      </c>
      <c r="I812" t="s">
        <v>3989</v>
      </c>
      <c r="J812" t="s">
        <v>3034</v>
      </c>
      <c r="K812" s="1">
        <v>46030.294814814813</v>
      </c>
      <c r="L812">
        <v>1484.46</v>
      </c>
      <c r="M812">
        <v>43.35</v>
      </c>
      <c r="N812">
        <v>1441.11</v>
      </c>
      <c r="O812" t="s">
        <v>25</v>
      </c>
      <c r="P812" t="s">
        <v>3990</v>
      </c>
      <c r="Q812" t="s">
        <v>3036</v>
      </c>
      <c r="R812" t="s">
        <v>4977</v>
      </c>
      <c r="S812" t="s">
        <v>4992</v>
      </c>
      <c r="T812" t="s">
        <v>4992</v>
      </c>
    </row>
    <row r="813" spans="1:20" x14ac:dyDescent="0.25">
      <c r="A813" t="s">
        <v>2318</v>
      </c>
      <c r="B813" t="s">
        <v>2319</v>
      </c>
      <c r="C813" s="1">
        <v>46031.356863425928</v>
      </c>
      <c r="D813">
        <v>1933.98</v>
      </c>
      <c r="E813" t="s">
        <v>25</v>
      </c>
      <c r="F813" t="s">
        <v>20</v>
      </c>
      <c r="G813" t="s">
        <v>30</v>
      </c>
      <c r="H813" t="s">
        <v>2320</v>
      </c>
      <c r="I813" t="s">
        <v>3991</v>
      </c>
      <c r="J813" t="s">
        <v>3034</v>
      </c>
      <c r="K813" s="1">
        <v>46031.363807870373</v>
      </c>
      <c r="L813">
        <v>1933.98</v>
      </c>
      <c r="M813">
        <v>56.39</v>
      </c>
      <c r="N813">
        <v>1877.59</v>
      </c>
      <c r="O813" t="s">
        <v>52</v>
      </c>
      <c r="P813" t="s">
        <v>3992</v>
      </c>
      <c r="Q813" t="s">
        <v>3036</v>
      </c>
      <c r="R813" t="s">
        <v>4977</v>
      </c>
      <c r="S813" t="s">
        <v>4992</v>
      </c>
      <c r="T813" t="s">
        <v>4993</v>
      </c>
    </row>
    <row r="814" spans="1:20" x14ac:dyDescent="0.25">
      <c r="A814" t="s">
        <v>2321</v>
      </c>
      <c r="B814" t="s">
        <v>2322</v>
      </c>
      <c r="C814" s="1">
        <v>46032.477754629632</v>
      </c>
      <c r="D814">
        <v>1989.9</v>
      </c>
      <c r="E814" t="s">
        <v>25</v>
      </c>
      <c r="F814" t="s">
        <v>20</v>
      </c>
      <c r="G814" t="s">
        <v>21</v>
      </c>
      <c r="H814" t="s">
        <v>2323</v>
      </c>
      <c r="I814" t="s">
        <v>3993</v>
      </c>
      <c r="J814" t="s">
        <v>3034</v>
      </c>
      <c r="K814" s="1">
        <v>46032.484699074077</v>
      </c>
      <c r="L814">
        <v>1989.9</v>
      </c>
      <c r="M814">
        <v>58.01</v>
      </c>
      <c r="N814">
        <v>1931.89</v>
      </c>
      <c r="O814" t="s">
        <v>25</v>
      </c>
      <c r="P814" t="s">
        <v>3932</v>
      </c>
      <c r="Q814" t="s">
        <v>3036</v>
      </c>
      <c r="R814" t="s">
        <v>4977</v>
      </c>
      <c r="S814" t="s">
        <v>4992</v>
      </c>
      <c r="T814" t="s">
        <v>4992</v>
      </c>
    </row>
    <row r="815" spans="1:20" x14ac:dyDescent="0.25">
      <c r="A815" t="s">
        <v>2324</v>
      </c>
      <c r="B815" t="s">
        <v>2325</v>
      </c>
      <c r="C815" s="1">
        <v>46033.551087962966</v>
      </c>
      <c r="D815">
        <v>191.22</v>
      </c>
      <c r="E815" t="s">
        <v>25</v>
      </c>
      <c r="F815" t="s">
        <v>20</v>
      </c>
      <c r="G815" t="s">
        <v>26</v>
      </c>
      <c r="H815" t="s">
        <v>2326</v>
      </c>
      <c r="I815" t="s">
        <v>3994</v>
      </c>
      <c r="J815" t="s">
        <v>3034</v>
      </c>
      <c r="K815" s="1">
        <v>46033.558032407411</v>
      </c>
      <c r="L815">
        <v>191.22</v>
      </c>
      <c r="M815">
        <v>5.85</v>
      </c>
      <c r="N815">
        <v>185.37</v>
      </c>
      <c r="O815" t="s">
        <v>25</v>
      </c>
      <c r="P815" t="s">
        <v>3934</v>
      </c>
      <c r="Q815" t="s">
        <v>3036</v>
      </c>
      <c r="R815" t="s">
        <v>4977</v>
      </c>
      <c r="S815" t="s">
        <v>4992</v>
      </c>
      <c r="T815" t="s">
        <v>4992</v>
      </c>
    </row>
    <row r="816" spans="1:20" x14ac:dyDescent="0.25">
      <c r="A816" t="s">
        <v>2327</v>
      </c>
      <c r="B816" t="s">
        <v>2328</v>
      </c>
      <c r="C816" s="1">
        <v>46034.659826388888</v>
      </c>
      <c r="D816">
        <v>1271.51</v>
      </c>
      <c r="E816" t="s">
        <v>25</v>
      </c>
      <c r="F816" t="s">
        <v>20</v>
      </c>
      <c r="G816" t="s">
        <v>30</v>
      </c>
      <c r="H816" t="s">
        <v>2329</v>
      </c>
      <c r="I816" t="s">
        <v>3995</v>
      </c>
      <c r="J816" t="s">
        <v>3034</v>
      </c>
      <c r="K816" s="1">
        <v>46034.666770833333</v>
      </c>
      <c r="L816">
        <v>1271.51</v>
      </c>
      <c r="M816">
        <v>37.17</v>
      </c>
      <c r="N816">
        <v>1234.3399999999999</v>
      </c>
      <c r="O816" t="s">
        <v>25</v>
      </c>
      <c r="P816" t="s">
        <v>3912</v>
      </c>
      <c r="Q816" t="s">
        <v>3036</v>
      </c>
      <c r="R816" t="s">
        <v>4977</v>
      </c>
      <c r="S816" t="s">
        <v>4992</v>
      </c>
      <c r="T816" t="s">
        <v>4992</v>
      </c>
    </row>
    <row r="817" spans="1:20" x14ac:dyDescent="0.25">
      <c r="A817" t="s">
        <v>2330</v>
      </c>
      <c r="B817" t="s">
        <v>2331</v>
      </c>
      <c r="C817" s="1">
        <v>46035.743807870371</v>
      </c>
      <c r="D817">
        <v>2241.6</v>
      </c>
      <c r="E817" t="s">
        <v>25</v>
      </c>
      <c r="F817" t="s">
        <v>20</v>
      </c>
      <c r="G817" t="s">
        <v>21</v>
      </c>
      <c r="H817" t="s">
        <v>2332</v>
      </c>
      <c r="I817" t="s">
        <v>3996</v>
      </c>
      <c r="J817" t="s">
        <v>3034</v>
      </c>
      <c r="K817" s="1">
        <v>46035.750752314816</v>
      </c>
      <c r="L817">
        <v>2242.71</v>
      </c>
      <c r="M817">
        <v>65.34</v>
      </c>
      <c r="N817">
        <v>2177.37</v>
      </c>
      <c r="O817" t="s">
        <v>25</v>
      </c>
      <c r="P817" t="s">
        <v>3914</v>
      </c>
      <c r="Q817" t="s">
        <v>3036</v>
      </c>
      <c r="R817" t="s">
        <v>4977</v>
      </c>
      <c r="S817" t="s">
        <v>4991</v>
      </c>
      <c r="T817" t="s">
        <v>4992</v>
      </c>
    </row>
    <row r="818" spans="1:20" x14ac:dyDescent="0.25">
      <c r="A818" t="s">
        <v>2333</v>
      </c>
      <c r="B818" t="s">
        <v>2334</v>
      </c>
      <c r="C818" s="1">
        <v>46036.826620370368</v>
      </c>
      <c r="D818">
        <v>1258.02</v>
      </c>
      <c r="E818" t="s">
        <v>52</v>
      </c>
      <c r="F818" t="s">
        <v>20</v>
      </c>
      <c r="G818" t="s">
        <v>26</v>
      </c>
      <c r="H818" t="s">
        <v>2335</v>
      </c>
      <c r="I818" t="s">
        <v>3997</v>
      </c>
      <c r="J818" t="s">
        <v>3034</v>
      </c>
      <c r="K818" s="1">
        <v>46036.833564814813</v>
      </c>
      <c r="L818">
        <v>1258.02</v>
      </c>
      <c r="M818">
        <v>36.78</v>
      </c>
      <c r="N818">
        <v>1221.24</v>
      </c>
      <c r="O818" t="s">
        <v>52</v>
      </c>
      <c r="P818" t="s">
        <v>3998</v>
      </c>
      <c r="Q818" t="s">
        <v>3036</v>
      </c>
      <c r="R818" t="s">
        <v>4977</v>
      </c>
      <c r="S818" t="s">
        <v>4992</v>
      </c>
      <c r="T818" t="s">
        <v>4992</v>
      </c>
    </row>
    <row r="819" spans="1:20" x14ac:dyDescent="0.25">
      <c r="A819" t="s">
        <v>2336</v>
      </c>
      <c r="B819" t="s">
        <v>2337</v>
      </c>
      <c r="C819" s="1">
        <v>46023.902812499997</v>
      </c>
      <c r="D819">
        <v>2393.19</v>
      </c>
      <c r="E819" t="s">
        <v>19</v>
      </c>
      <c r="F819" t="s">
        <v>20</v>
      </c>
      <c r="G819" t="s">
        <v>30</v>
      </c>
      <c r="H819" t="s">
        <v>2338</v>
      </c>
      <c r="I819" t="s">
        <v>3999</v>
      </c>
      <c r="J819" t="s">
        <v>3034</v>
      </c>
      <c r="K819" s="1">
        <v>46023.909756944442</v>
      </c>
      <c r="L819">
        <v>2393.19</v>
      </c>
      <c r="M819">
        <v>69.7</v>
      </c>
      <c r="N819">
        <v>2323.4899999999998</v>
      </c>
      <c r="O819" t="s">
        <v>19</v>
      </c>
      <c r="P819" t="s">
        <v>3888</v>
      </c>
      <c r="Q819" t="s">
        <v>3036</v>
      </c>
      <c r="R819" t="s">
        <v>4977</v>
      </c>
      <c r="S819" t="s">
        <v>4992</v>
      </c>
      <c r="T819" t="s">
        <v>4992</v>
      </c>
    </row>
    <row r="820" spans="1:20" x14ac:dyDescent="0.25">
      <c r="A820" t="s">
        <v>2339</v>
      </c>
      <c r="B820" t="s">
        <v>2340</v>
      </c>
      <c r="C820" s="1">
        <v>46024.994814814818</v>
      </c>
      <c r="D820">
        <v>198.13</v>
      </c>
      <c r="E820" t="s">
        <v>25</v>
      </c>
      <c r="F820" t="s">
        <v>20</v>
      </c>
      <c r="G820" t="s">
        <v>21</v>
      </c>
      <c r="H820" t="s">
        <v>2341</v>
      </c>
      <c r="I820" t="s">
        <v>4000</v>
      </c>
      <c r="J820" t="s">
        <v>3034</v>
      </c>
      <c r="K820" s="1">
        <v>46025.001759259256</v>
      </c>
      <c r="L820">
        <v>198.13</v>
      </c>
      <c r="M820">
        <v>6.05</v>
      </c>
      <c r="N820">
        <v>192.08</v>
      </c>
      <c r="O820" t="s">
        <v>25</v>
      </c>
      <c r="P820" t="s">
        <v>3890</v>
      </c>
      <c r="Q820" t="s">
        <v>3036</v>
      </c>
      <c r="R820" t="s">
        <v>4977</v>
      </c>
      <c r="S820" t="s">
        <v>4992</v>
      </c>
      <c r="T820" t="s">
        <v>4992</v>
      </c>
    </row>
    <row r="821" spans="1:20" x14ac:dyDescent="0.25">
      <c r="A821" t="s">
        <v>2342</v>
      </c>
      <c r="B821" t="s">
        <v>2343</v>
      </c>
      <c r="C821" s="1">
        <v>46026.111585648148</v>
      </c>
      <c r="D821">
        <v>838.92</v>
      </c>
      <c r="E821" t="s">
        <v>25</v>
      </c>
      <c r="F821" t="s">
        <v>20</v>
      </c>
      <c r="G821" t="s">
        <v>26</v>
      </c>
      <c r="H821" t="s">
        <v>2344</v>
      </c>
      <c r="I821" t="s">
        <v>4001</v>
      </c>
      <c r="J821" t="s">
        <v>3034</v>
      </c>
      <c r="K821" s="1">
        <v>46026.118530092594</v>
      </c>
      <c r="L821">
        <v>838.92</v>
      </c>
      <c r="M821">
        <v>24.63</v>
      </c>
      <c r="N821">
        <v>814.29</v>
      </c>
      <c r="O821" t="s">
        <v>25</v>
      </c>
      <c r="P821" t="s">
        <v>3894</v>
      </c>
      <c r="Q821" t="s">
        <v>3036</v>
      </c>
      <c r="R821" t="s">
        <v>4977</v>
      </c>
      <c r="S821" t="s">
        <v>4992</v>
      </c>
      <c r="T821" t="s">
        <v>4992</v>
      </c>
    </row>
    <row r="822" spans="1:20" x14ac:dyDescent="0.25">
      <c r="A822" t="s">
        <v>2345</v>
      </c>
      <c r="B822" t="s">
        <v>2346</v>
      </c>
      <c r="C822" s="1">
        <v>46027.192939814813</v>
      </c>
      <c r="D822">
        <v>226.38</v>
      </c>
      <c r="E822" t="s">
        <v>25</v>
      </c>
      <c r="F822" t="s">
        <v>20</v>
      </c>
      <c r="G822" t="s">
        <v>30</v>
      </c>
      <c r="H822" t="s">
        <v>2347</v>
      </c>
      <c r="I822" t="s">
        <v>4002</v>
      </c>
      <c r="J822" t="s">
        <v>3034</v>
      </c>
      <c r="K822" s="1">
        <v>46027.199884259258</v>
      </c>
      <c r="L822">
        <v>226.38</v>
      </c>
      <c r="M822">
        <v>6.87</v>
      </c>
      <c r="N822">
        <v>219.51</v>
      </c>
      <c r="O822" t="s">
        <v>25</v>
      </c>
      <c r="P822" t="s">
        <v>3896</v>
      </c>
      <c r="Q822" t="s">
        <v>3036</v>
      </c>
      <c r="R822" t="s">
        <v>4977</v>
      </c>
      <c r="S822" t="s">
        <v>4992</v>
      </c>
      <c r="T822" t="s">
        <v>4992</v>
      </c>
    </row>
    <row r="823" spans="1:20" x14ac:dyDescent="0.25">
      <c r="A823" t="s">
        <v>2348</v>
      </c>
      <c r="B823" t="s">
        <v>2349</v>
      </c>
      <c r="C823" s="1">
        <v>46027.290625000001</v>
      </c>
      <c r="D823">
        <v>1911.75</v>
      </c>
      <c r="E823" t="s">
        <v>25</v>
      </c>
      <c r="F823" t="s">
        <v>20</v>
      </c>
      <c r="G823" t="s">
        <v>21</v>
      </c>
      <c r="H823" t="s">
        <v>2350</v>
      </c>
      <c r="I823" t="s">
        <v>4003</v>
      </c>
      <c r="J823" t="s">
        <v>3034</v>
      </c>
      <c r="K823" s="1">
        <v>46027.297569444447</v>
      </c>
      <c r="L823">
        <v>1912.86</v>
      </c>
      <c r="M823">
        <v>55.77</v>
      </c>
      <c r="N823">
        <v>1857.09</v>
      </c>
      <c r="O823" t="s">
        <v>25</v>
      </c>
      <c r="P823" t="s">
        <v>3923</v>
      </c>
      <c r="Q823" t="s">
        <v>3036</v>
      </c>
      <c r="R823" t="s">
        <v>4977</v>
      </c>
      <c r="S823" t="s">
        <v>4991</v>
      </c>
      <c r="T823" t="s">
        <v>4992</v>
      </c>
    </row>
    <row r="824" spans="1:20" x14ac:dyDescent="0.25">
      <c r="A824" t="s">
        <v>2351</v>
      </c>
      <c r="B824" t="s">
        <v>2352</v>
      </c>
      <c r="C824" s="1">
        <v>46028.376018518517</v>
      </c>
      <c r="D824">
        <v>953.64</v>
      </c>
      <c r="E824" t="s">
        <v>25</v>
      </c>
      <c r="F824" t="s">
        <v>20</v>
      </c>
      <c r="G824" t="s">
        <v>26</v>
      </c>
      <c r="H824" t="s">
        <v>2353</v>
      </c>
      <c r="I824" t="s">
        <v>4004</v>
      </c>
      <c r="J824" t="s">
        <v>3034</v>
      </c>
      <c r="K824" s="1">
        <v>46028.382962962962</v>
      </c>
      <c r="L824">
        <v>953.64</v>
      </c>
      <c r="M824">
        <v>27.96</v>
      </c>
      <c r="N824">
        <v>925.68</v>
      </c>
      <c r="O824" t="s">
        <v>25</v>
      </c>
      <c r="P824" t="s">
        <v>3900</v>
      </c>
      <c r="Q824" t="s">
        <v>3036</v>
      </c>
      <c r="R824" t="s">
        <v>4977</v>
      </c>
      <c r="S824" t="s">
        <v>4992</v>
      </c>
      <c r="T824" t="s">
        <v>4992</v>
      </c>
    </row>
    <row r="825" spans="1:20" x14ac:dyDescent="0.25">
      <c r="A825" t="s">
        <v>2354</v>
      </c>
      <c r="B825" t="s">
        <v>2355</v>
      </c>
      <c r="C825" s="1">
        <v>46029.478298611109</v>
      </c>
      <c r="D825">
        <v>1436.31</v>
      </c>
      <c r="E825" t="s">
        <v>25</v>
      </c>
      <c r="F825" t="s">
        <v>20</v>
      </c>
      <c r="G825" t="s">
        <v>30</v>
      </c>
      <c r="H825" t="s">
        <v>2356</v>
      </c>
      <c r="I825" t="s">
        <v>4005</v>
      </c>
      <c r="J825" t="s">
        <v>3034</v>
      </c>
      <c r="K825" s="1">
        <v>46029.485243055555</v>
      </c>
      <c r="L825">
        <v>1436.31</v>
      </c>
      <c r="M825">
        <v>41.95</v>
      </c>
      <c r="N825">
        <v>1394.36</v>
      </c>
      <c r="O825" t="s">
        <v>25</v>
      </c>
      <c r="P825" t="s">
        <v>3902</v>
      </c>
      <c r="Q825" t="s">
        <v>3036</v>
      </c>
      <c r="R825" t="s">
        <v>4977</v>
      </c>
      <c r="S825" t="s">
        <v>4992</v>
      </c>
      <c r="T825" t="s">
        <v>4992</v>
      </c>
    </row>
    <row r="826" spans="1:20" x14ac:dyDescent="0.25">
      <c r="A826" t="s">
        <v>2357</v>
      </c>
      <c r="B826" t="s">
        <v>2358</v>
      </c>
      <c r="C826" s="1">
        <v>46030.555879629632</v>
      </c>
      <c r="D826">
        <v>83.03</v>
      </c>
      <c r="E826" t="s">
        <v>25</v>
      </c>
      <c r="F826" t="s">
        <v>20</v>
      </c>
      <c r="G826" t="s">
        <v>21</v>
      </c>
      <c r="H826" t="s">
        <v>2359</v>
      </c>
      <c r="I826" t="s">
        <v>4006</v>
      </c>
      <c r="J826" t="s">
        <v>3034</v>
      </c>
      <c r="K826" s="1">
        <v>46030.562824074077</v>
      </c>
      <c r="L826">
        <v>83.03</v>
      </c>
      <c r="M826">
        <v>2.71</v>
      </c>
      <c r="N826">
        <v>80.319999999999993</v>
      </c>
      <c r="O826" t="s">
        <v>25</v>
      </c>
      <c r="P826" t="s">
        <v>3904</v>
      </c>
      <c r="Q826" t="s">
        <v>3036</v>
      </c>
      <c r="R826" t="s">
        <v>4977</v>
      </c>
      <c r="S826" t="s">
        <v>4992</v>
      </c>
      <c r="T826" t="s">
        <v>4992</v>
      </c>
    </row>
    <row r="827" spans="1:20" x14ac:dyDescent="0.25">
      <c r="A827" t="s">
        <v>2360</v>
      </c>
      <c r="B827" t="s">
        <v>2361</v>
      </c>
      <c r="C827" s="1">
        <v>46031.659305555557</v>
      </c>
      <c r="D827">
        <v>1865.8</v>
      </c>
      <c r="E827" t="s">
        <v>25</v>
      </c>
      <c r="F827" t="s">
        <v>20</v>
      </c>
      <c r="G827" t="s">
        <v>26</v>
      </c>
      <c r="H827" t="s">
        <v>2362</v>
      </c>
      <c r="I827" t="s">
        <v>4007</v>
      </c>
      <c r="J827" t="s">
        <v>3034</v>
      </c>
      <c r="K827" s="1">
        <v>46031.666250000002</v>
      </c>
      <c r="L827">
        <v>1865.8</v>
      </c>
      <c r="M827">
        <v>54.41</v>
      </c>
      <c r="N827">
        <v>1811.39</v>
      </c>
      <c r="O827" t="s">
        <v>25</v>
      </c>
      <c r="P827" t="s">
        <v>3930</v>
      </c>
      <c r="Q827" t="s">
        <v>3036</v>
      </c>
      <c r="R827" t="s">
        <v>4977</v>
      </c>
      <c r="S827" t="s">
        <v>4992</v>
      </c>
      <c r="T827" t="s">
        <v>4992</v>
      </c>
    </row>
    <row r="828" spans="1:20" x14ac:dyDescent="0.25">
      <c r="A828" t="s">
        <v>2363</v>
      </c>
      <c r="B828" t="s">
        <v>2364</v>
      </c>
      <c r="C828" s="1">
        <v>46032.720439814817</v>
      </c>
      <c r="D828">
        <v>980.17</v>
      </c>
      <c r="E828" t="s">
        <v>52</v>
      </c>
      <c r="F828" t="s">
        <v>20</v>
      </c>
      <c r="G828" t="s">
        <v>30</v>
      </c>
      <c r="H828" t="s">
        <v>2365</v>
      </c>
      <c r="I828" t="s">
        <v>4008</v>
      </c>
      <c r="J828" t="s">
        <v>3034</v>
      </c>
      <c r="K828" s="1">
        <v>46032.727384259262</v>
      </c>
      <c r="L828">
        <v>980.17</v>
      </c>
      <c r="M828">
        <v>28.72</v>
      </c>
      <c r="N828">
        <v>951.45</v>
      </c>
      <c r="O828" t="s">
        <v>52</v>
      </c>
      <c r="P828" t="s">
        <v>3908</v>
      </c>
      <c r="Q828" t="s">
        <v>3036</v>
      </c>
      <c r="R828" t="s">
        <v>4977</v>
      </c>
      <c r="S828" t="s">
        <v>4992</v>
      </c>
      <c r="T828" t="s">
        <v>4992</v>
      </c>
    </row>
    <row r="829" spans="1:20" x14ac:dyDescent="0.25">
      <c r="A829" t="s">
        <v>2366</v>
      </c>
      <c r="B829" t="s">
        <v>2367</v>
      </c>
      <c r="C829" s="1">
        <v>46033.833055555559</v>
      </c>
      <c r="D829">
        <v>914.15</v>
      </c>
      <c r="E829" t="s">
        <v>19</v>
      </c>
      <c r="F829" t="s">
        <v>20</v>
      </c>
      <c r="G829" t="s">
        <v>21</v>
      </c>
      <c r="H829" t="s">
        <v>2368</v>
      </c>
      <c r="I829" t="s">
        <v>4009</v>
      </c>
      <c r="J829" t="s">
        <v>3034</v>
      </c>
      <c r="K829" s="1">
        <v>46033.84</v>
      </c>
      <c r="L829">
        <v>914.15</v>
      </c>
      <c r="M829">
        <v>26.81</v>
      </c>
      <c r="N829">
        <v>887.34</v>
      </c>
      <c r="O829" t="s">
        <v>19</v>
      </c>
      <c r="P829" t="s">
        <v>3910</v>
      </c>
      <c r="Q829" t="s">
        <v>3036</v>
      </c>
      <c r="R829" t="s">
        <v>4977</v>
      </c>
      <c r="S829" t="s">
        <v>4992</v>
      </c>
      <c r="T829" t="s">
        <v>4992</v>
      </c>
    </row>
    <row r="830" spans="1:20" x14ac:dyDescent="0.25">
      <c r="A830" t="s">
        <v>2369</v>
      </c>
      <c r="B830" t="s">
        <v>2370</v>
      </c>
      <c r="C830" s="1">
        <v>46034.933622685188</v>
      </c>
      <c r="D830">
        <v>1652.33</v>
      </c>
      <c r="E830" t="s">
        <v>25</v>
      </c>
      <c r="F830" t="s">
        <v>20</v>
      </c>
      <c r="G830" t="s">
        <v>26</v>
      </c>
      <c r="H830" t="s">
        <v>2371</v>
      </c>
      <c r="I830" t="s">
        <v>4010</v>
      </c>
      <c r="J830" t="s">
        <v>3034</v>
      </c>
      <c r="K830" s="1">
        <v>46034.940567129626</v>
      </c>
      <c r="L830">
        <v>1652.33</v>
      </c>
      <c r="M830">
        <v>48.22</v>
      </c>
      <c r="N830">
        <v>1604.11</v>
      </c>
      <c r="O830" t="s">
        <v>25</v>
      </c>
      <c r="P830" t="s">
        <v>3912</v>
      </c>
      <c r="Q830" t="s">
        <v>3036</v>
      </c>
      <c r="R830" t="s">
        <v>4977</v>
      </c>
      <c r="S830" t="s">
        <v>4992</v>
      </c>
      <c r="T830" t="s">
        <v>4992</v>
      </c>
    </row>
    <row r="831" spans="1:20" x14ac:dyDescent="0.25">
      <c r="A831" t="s">
        <v>2372</v>
      </c>
      <c r="B831" t="s">
        <v>2373</v>
      </c>
      <c r="C831" s="1">
        <v>46036.034803240742</v>
      </c>
      <c r="D831">
        <v>1721.03</v>
      </c>
      <c r="E831" t="s">
        <v>25</v>
      </c>
      <c r="F831" t="s">
        <v>20</v>
      </c>
      <c r="G831" t="s">
        <v>30</v>
      </c>
      <c r="H831" t="s">
        <v>2374</v>
      </c>
      <c r="I831" t="s">
        <v>4011</v>
      </c>
      <c r="J831" t="s">
        <v>3034</v>
      </c>
      <c r="K831" s="1">
        <v>46036.041747685187</v>
      </c>
      <c r="L831">
        <v>1722.14</v>
      </c>
      <c r="M831">
        <v>50.24</v>
      </c>
      <c r="N831">
        <v>1671.9</v>
      </c>
      <c r="O831" t="s">
        <v>25</v>
      </c>
      <c r="P831" t="s">
        <v>3914</v>
      </c>
      <c r="Q831" t="s">
        <v>3036</v>
      </c>
      <c r="R831" t="s">
        <v>4977</v>
      </c>
      <c r="S831" t="s">
        <v>4991</v>
      </c>
      <c r="T831" t="s">
        <v>4992</v>
      </c>
    </row>
    <row r="832" spans="1:20" x14ac:dyDescent="0.25">
      <c r="A832" t="s">
        <v>2375</v>
      </c>
      <c r="B832" t="s">
        <v>2376</v>
      </c>
      <c r="C832" s="1">
        <v>46037.105624999997</v>
      </c>
      <c r="D832">
        <v>907.35</v>
      </c>
      <c r="E832" t="s">
        <v>25</v>
      </c>
      <c r="F832" t="s">
        <v>20</v>
      </c>
      <c r="G832" t="s">
        <v>21</v>
      </c>
      <c r="H832" t="s">
        <v>2377</v>
      </c>
      <c r="I832" t="s">
        <v>4012</v>
      </c>
      <c r="J832" t="s">
        <v>3034</v>
      </c>
      <c r="K832" s="1">
        <v>46037.112569444442</v>
      </c>
      <c r="L832">
        <v>907.35</v>
      </c>
      <c r="M832">
        <v>26.61</v>
      </c>
      <c r="N832">
        <v>880.74</v>
      </c>
      <c r="O832" t="s">
        <v>25</v>
      </c>
      <c r="P832" t="s">
        <v>3916</v>
      </c>
      <c r="Q832" t="s">
        <v>3036</v>
      </c>
      <c r="R832" t="s">
        <v>4977</v>
      </c>
      <c r="S832" t="s">
        <v>4992</v>
      </c>
      <c r="T832" t="s">
        <v>4992</v>
      </c>
    </row>
    <row r="833" spans="1:20" x14ac:dyDescent="0.25">
      <c r="A833" t="s">
        <v>2378</v>
      </c>
      <c r="B833" t="s">
        <v>2379</v>
      </c>
      <c r="C833" s="1">
        <v>46024.190289351849</v>
      </c>
      <c r="D833">
        <v>130.83000000000001</v>
      </c>
      <c r="E833" t="s">
        <v>25</v>
      </c>
      <c r="F833" t="s">
        <v>20</v>
      </c>
      <c r="G833" t="s">
        <v>26</v>
      </c>
      <c r="H833" t="s">
        <v>2380</v>
      </c>
      <c r="I833" t="s">
        <v>4013</v>
      </c>
      <c r="J833" t="s">
        <v>3034</v>
      </c>
      <c r="K833" s="1">
        <v>46024.197233796294</v>
      </c>
      <c r="L833">
        <v>130.83000000000001</v>
      </c>
      <c r="M833">
        <v>4.09</v>
      </c>
      <c r="N833">
        <v>126.74</v>
      </c>
      <c r="O833" t="s">
        <v>25</v>
      </c>
      <c r="P833" t="s">
        <v>3918</v>
      </c>
      <c r="Q833" t="s">
        <v>3036</v>
      </c>
      <c r="R833" t="s">
        <v>4977</v>
      </c>
      <c r="S833" t="s">
        <v>4992</v>
      </c>
      <c r="T833" t="s">
        <v>4992</v>
      </c>
    </row>
    <row r="834" spans="1:20" x14ac:dyDescent="0.25">
      <c r="A834" t="s">
        <v>2381</v>
      </c>
      <c r="B834" t="s">
        <v>2382</v>
      </c>
      <c r="C834" s="1">
        <v>46024.294699074075</v>
      </c>
      <c r="D834">
        <v>2061</v>
      </c>
      <c r="E834" t="s">
        <v>25</v>
      </c>
      <c r="F834" t="s">
        <v>20</v>
      </c>
      <c r="G834" t="s">
        <v>30</v>
      </c>
      <c r="H834" t="s">
        <v>2383</v>
      </c>
      <c r="I834" t="s">
        <v>4014</v>
      </c>
      <c r="J834" t="s">
        <v>3034</v>
      </c>
      <c r="K834" s="1">
        <v>46024.30164351852</v>
      </c>
      <c r="L834">
        <v>2061</v>
      </c>
      <c r="M834">
        <v>60.07</v>
      </c>
      <c r="N834">
        <v>2000.93</v>
      </c>
      <c r="O834" t="s">
        <v>25</v>
      </c>
      <c r="P834" t="s">
        <v>3890</v>
      </c>
      <c r="Q834" t="s">
        <v>3036</v>
      </c>
      <c r="R834" t="s">
        <v>4977</v>
      </c>
      <c r="S834" t="s">
        <v>4992</v>
      </c>
      <c r="T834" t="s">
        <v>4992</v>
      </c>
    </row>
    <row r="835" spans="1:20" x14ac:dyDescent="0.25">
      <c r="A835" t="s">
        <v>2384</v>
      </c>
      <c r="B835" t="s">
        <v>2385</v>
      </c>
      <c r="C835" s="1">
        <v>46025.364189814813</v>
      </c>
      <c r="D835">
        <v>1029.48</v>
      </c>
      <c r="E835" t="s">
        <v>25</v>
      </c>
      <c r="F835" t="s">
        <v>20</v>
      </c>
      <c r="G835" t="s">
        <v>21</v>
      </c>
      <c r="H835" t="s">
        <v>2386</v>
      </c>
      <c r="I835" t="s">
        <v>4015</v>
      </c>
      <c r="J835" t="s">
        <v>3034</v>
      </c>
      <c r="K835" s="1">
        <v>46025.371134259258</v>
      </c>
      <c r="L835">
        <v>1029.48</v>
      </c>
      <c r="M835">
        <v>30.15</v>
      </c>
      <c r="N835">
        <v>999.33</v>
      </c>
      <c r="O835" t="s">
        <v>25</v>
      </c>
      <c r="P835" t="s">
        <v>3894</v>
      </c>
      <c r="Q835" t="s">
        <v>3036</v>
      </c>
      <c r="R835" t="s">
        <v>4977</v>
      </c>
      <c r="S835" t="s">
        <v>4992</v>
      </c>
      <c r="T835" t="s">
        <v>4992</v>
      </c>
    </row>
    <row r="836" spans="1:20" x14ac:dyDescent="0.25">
      <c r="A836" t="s">
        <v>2387</v>
      </c>
      <c r="B836" t="s">
        <v>2388</v>
      </c>
      <c r="C836" s="1">
        <v>46026.462800925925</v>
      </c>
      <c r="D836">
        <v>1113.27</v>
      </c>
      <c r="E836" t="s">
        <v>25</v>
      </c>
      <c r="F836" t="s">
        <v>20</v>
      </c>
      <c r="G836" t="s">
        <v>26</v>
      </c>
      <c r="H836" t="s">
        <v>2389</v>
      </c>
      <c r="I836" t="s">
        <v>4016</v>
      </c>
      <c r="J836" t="s">
        <v>3034</v>
      </c>
      <c r="K836" s="1">
        <v>46026.46974537037</v>
      </c>
      <c r="L836">
        <v>1113.27</v>
      </c>
      <c r="M836">
        <v>32.58</v>
      </c>
      <c r="N836">
        <v>1080.69</v>
      </c>
      <c r="O836" t="s">
        <v>25</v>
      </c>
      <c r="P836" t="s">
        <v>3896</v>
      </c>
      <c r="Q836" t="s">
        <v>3036</v>
      </c>
      <c r="R836" t="s">
        <v>4977</v>
      </c>
      <c r="S836" t="s">
        <v>4992</v>
      </c>
      <c r="T836" t="s">
        <v>4992</v>
      </c>
    </row>
    <row r="837" spans="1:20" x14ac:dyDescent="0.25">
      <c r="A837" t="s">
        <v>2390</v>
      </c>
      <c r="B837" t="s">
        <v>2391</v>
      </c>
      <c r="C837" s="1">
        <v>46027.560648148145</v>
      </c>
      <c r="D837">
        <v>150.96</v>
      </c>
      <c r="E837" t="s">
        <v>25</v>
      </c>
      <c r="F837" t="s">
        <v>20</v>
      </c>
      <c r="G837" t="s">
        <v>30</v>
      </c>
      <c r="H837" t="s">
        <v>2392</v>
      </c>
      <c r="I837" t="s">
        <v>4017</v>
      </c>
      <c r="J837" t="s">
        <v>3034</v>
      </c>
      <c r="K837" s="1">
        <v>46027.56759259259</v>
      </c>
      <c r="L837">
        <v>150.96</v>
      </c>
      <c r="M837">
        <v>4.68</v>
      </c>
      <c r="N837">
        <v>146.28</v>
      </c>
      <c r="O837" t="s">
        <v>25</v>
      </c>
      <c r="P837" t="s">
        <v>3923</v>
      </c>
      <c r="Q837" t="s">
        <v>3036</v>
      </c>
      <c r="R837" t="s">
        <v>4977</v>
      </c>
      <c r="S837" t="s">
        <v>4992</v>
      </c>
      <c r="T837" t="s">
        <v>4992</v>
      </c>
    </row>
    <row r="838" spans="1:20" x14ac:dyDescent="0.25">
      <c r="A838" t="s">
        <v>2393</v>
      </c>
      <c r="B838" t="s">
        <v>2394</v>
      </c>
      <c r="C838" s="1">
        <v>46028.675000000003</v>
      </c>
      <c r="D838">
        <v>2271.13</v>
      </c>
      <c r="E838" t="s">
        <v>52</v>
      </c>
      <c r="F838" t="s">
        <v>20</v>
      </c>
      <c r="G838" t="s">
        <v>21</v>
      </c>
      <c r="H838" t="s">
        <v>2395</v>
      </c>
      <c r="I838" t="s">
        <v>4018</v>
      </c>
      <c r="J838" t="s">
        <v>3034</v>
      </c>
      <c r="K838" s="1">
        <v>46028.681944444441</v>
      </c>
      <c r="L838">
        <v>2271.13</v>
      </c>
      <c r="M838">
        <v>66.16</v>
      </c>
      <c r="N838">
        <v>2204.9699999999998</v>
      </c>
      <c r="O838" t="s">
        <v>52</v>
      </c>
      <c r="P838" t="s">
        <v>3925</v>
      </c>
      <c r="Q838" t="s">
        <v>3036</v>
      </c>
      <c r="R838" t="s">
        <v>4977</v>
      </c>
      <c r="S838" t="s">
        <v>4992</v>
      </c>
      <c r="T838" t="s">
        <v>4992</v>
      </c>
    </row>
    <row r="839" spans="1:20" x14ac:dyDescent="0.25">
      <c r="A839" t="s">
        <v>2396</v>
      </c>
      <c r="B839" t="s">
        <v>2397</v>
      </c>
      <c r="C839" s="1">
        <v>46029.747002314813</v>
      </c>
      <c r="D839">
        <v>1173</v>
      </c>
      <c r="E839" t="s">
        <v>19</v>
      </c>
      <c r="F839" t="s">
        <v>20</v>
      </c>
      <c r="G839" t="s">
        <v>26</v>
      </c>
      <c r="H839" t="s">
        <v>2398</v>
      </c>
      <c r="I839" t="s">
        <v>4019</v>
      </c>
      <c r="J839" t="s">
        <v>3034</v>
      </c>
      <c r="K839" s="1">
        <v>46029.753946759258</v>
      </c>
      <c r="L839">
        <v>1173</v>
      </c>
      <c r="M839">
        <v>34.32</v>
      </c>
      <c r="N839">
        <v>1138.68</v>
      </c>
      <c r="O839" t="s">
        <v>19</v>
      </c>
      <c r="P839" t="s">
        <v>3927</v>
      </c>
      <c r="Q839" t="s">
        <v>3036</v>
      </c>
      <c r="R839" t="s">
        <v>4977</v>
      </c>
      <c r="S839" t="s">
        <v>4992</v>
      </c>
      <c r="T839" t="s">
        <v>4992</v>
      </c>
    </row>
    <row r="840" spans="1:20" x14ac:dyDescent="0.25">
      <c r="A840" t="s">
        <v>2399</v>
      </c>
      <c r="B840" t="s">
        <v>2400</v>
      </c>
      <c r="C840" s="1">
        <v>46030.838923611111</v>
      </c>
      <c r="D840">
        <v>872.3</v>
      </c>
      <c r="E840" t="s">
        <v>25</v>
      </c>
      <c r="F840" t="s">
        <v>20</v>
      </c>
      <c r="G840" t="s">
        <v>30</v>
      </c>
      <c r="H840" t="s">
        <v>2401</v>
      </c>
      <c r="I840" t="s">
        <v>4020</v>
      </c>
      <c r="J840" t="s">
        <v>3034</v>
      </c>
      <c r="K840" s="1">
        <v>46030.845868055556</v>
      </c>
      <c r="L840">
        <v>872.3</v>
      </c>
      <c r="M840">
        <v>25.6</v>
      </c>
      <c r="N840">
        <v>846.7</v>
      </c>
      <c r="O840" t="s">
        <v>25</v>
      </c>
      <c r="P840" t="s">
        <v>3904</v>
      </c>
      <c r="Q840" t="s">
        <v>3036</v>
      </c>
      <c r="R840" t="s">
        <v>4977</v>
      </c>
      <c r="S840" t="s">
        <v>4992</v>
      </c>
      <c r="T840" t="s">
        <v>4992</v>
      </c>
    </row>
    <row r="841" spans="1:20" x14ac:dyDescent="0.25">
      <c r="A841" t="s">
        <v>2402</v>
      </c>
      <c r="B841" t="s">
        <v>2403</v>
      </c>
      <c r="C841" s="1">
        <v>46031.911712962959</v>
      </c>
      <c r="D841">
        <v>744.72</v>
      </c>
      <c r="E841" t="s">
        <v>25</v>
      </c>
      <c r="F841" t="s">
        <v>20</v>
      </c>
      <c r="G841" t="s">
        <v>21</v>
      </c>
      <c r="H841" t="s">
        <v>2404</v>
      </c>
      <c r="I841" t="s">
        <v>4021</v>
      </c>
      <c r="J841" t="s">
        <v>3034</v>
      </c>
      <c r="K841" s="1">
        <v>46031.918657407405</v>
      </c>
      <c r="L841">
        <v>744.72</v>
      </c>
      <c r="M841">
        <v>21.9</v>
      </c>
      <c r="N841">
        <v>722.82</v>
      </c>
      <c r="O841" t="s">
        <v>25</v>
      </c>
      <c r="P841" t="s">
        <v>4022</v>
      </c>
      <c r="Q841" t="s">
        <v>3036</v>
      </c>
      <c r="R841" t="s">
        <v>4977</v>
      </c>
      <c r="S841" t="s">
        <v>4992</v>
      </c>
      <c r="T841" t="s">
        <v>4992</v>
      </c>
    </row>
    <row r="842" spans="1:20" x14ac:dyDescent="0.25">
      <c r="A842" t="s">
        <v>2405</v>
      </c>
      <c r="B842" t="s">
        <v>2406</v>
      </c>
      <c r="C842" s="1">
        <v>46033.005173611113</v>
      </c>
      <c r="D842">
        <v>88.33</v>
      </c>
      <c r="E842" t="s">
        <v>25</v>
      </c>
      <c r="F842" t="s">
        <v>20</v>
      </c>
      <c r="G842" t="s">
        <v>26</v>
      </c>
      <c r="H842" t="s">
        <v>2407</v>
      </c>
      <c r="I842" t="s">
        <v>4023</v>
      </c>
      <c r="J842" t="s">
        <v>3034</v>
      </c>
      <c r="K842" s="1">
        <v>46033.012118055558</v>
      </c>
      <c r="L842">
        <v>88.33</v>
      </c>
      <c r="M842">
        <v>2.86</v>
      </c>
      <c r="N842">
        <v>85.47</v>
      </c>
      <c r="O842" t="s">
        <v>25</v>
      </c>
      <c r="P842" t="s">
        <v>3932</v>
      </c>
      <c r="Q842" t="s">
        <v>3036</v>
      </c>
      <c r="R842" t="s">
        <v>4977</v>
      </c>
      <c r="S842" t="s">
        <v>4992</v>
      </c>
      <c r="T842" t="s">
        <v>4992</v>
      </c>
    </row>
    <row r="843" spans="1:20" x14ac:dyDescent="0.25">
      <c r="A843" t="s">
        <v>2408</v>
      </c>
      <c r="B843" t="s">
        <v>2409</v>
      </c>
      <c r="C843" s="1">
        <v>46034.129212962966</v>
      </c>
      <c r="D843">
        <v>2092.8200000000002</v>
      </c>
      <c r="E843" t="s">
        <v>25</v>
      </c>
      <c r="F843" t="s">
        <v>429</v>
      </c>
      <c r="G843" t="s">
        <v>30</v>
      </c>
      <c r="H843" t="s">
        <v>2410</v>
      </c>
      <c r="I843" t="s">
        <v>4024</v>
      </c>
      <c r="J843" t="s">
        <v>3034</v>
      </c>
      <c r="K843" s="1">
        <v>46034.136157407411</v>
      </c>
      <c r="L843">
        <v>2092.8200000000002</v>
      </c>
      <c r="M843">
        <v>60.99</v>
      </c>
      <c r="N843">
        <v>2031.83</v>
      </c>
      <c r="O843" t="s">
        <v>25</v>
      </c>
      <c r="P843" t="s">
        <v>3934</v>
      </c>
      <c r="Q843" t="s">
        <v>3036</v>
      </c>
      <c r="R843" t="s">
        <v>4977</v>
      </c>
      <c r="S843" t="s">
        <v>4992</v>
      </c>
      <c r="T843" t="s">
        <v>4992</v>
      </c>
    </row>
    <row r="844" spans="1:20" x14ac:dyDescent="0.25">
      <c r="A844" t="s">
        <v>2408</v>
      </c>
      <c r="B844" t="s">
        <v>2409</v>
      </c>
      <c r="C844" s="1">
        <v>46034.129212962966</v>
      </c>
      <c r="D844">
        <v>2092.8200000000002</v>
      </c>
      <c r="E844" t="s">
        <v>25</v>
      </c>
      <c r="F844" t="s">
        <v>429</v>
      </c>
      <c r="G844" t="s">
        <v>30</v>
      </c>
      <c r="H844" t="s">
        <v>2410</v>
      </c>
      <c r="I844" t="s">
        <v>4025</v>
      </c>
      <c r="J844" t="s">
        <v>3076</v>
      </c>
      <c r="K844" s="1">
        <v>46035.129212962966</v>
      </c>
      <c r="L844">
        <v>-2092.8200000000002</v>
      </c>
      <c r="M844">
        <v>0</v>
      </c>
      <c r="N844">
        <v>-2092.8200000000002</v>
      </c>
      <c r="O844" t="s">
        <v>25</v>
      </c>
      <c r="P844" t="s">
        <v>4026</v>
      </c>
      <c r="Q844" t="s">
        <v>3036</v>
      </c>
      <c r="R844" t="s">
        <v>4977</v>
      </c>
      <c r="S844" t="s">
        <v>4991</v>
      </c>
      <c r="T844" t="s">
        <v>4992</v>
      </c>
    </row>
    <row r="845" spans="1:20" x14ac:dyDescent="0.25">
      <c r="A845" t="s">
        <v>2411</v>
      </c>
      <c r="B845" t="s">
        <v>2412</v>
      </c>
      <c r="C845" s="1">
        <v>46035.198923611111</v>
      </c>
      <c r="D845">
        <v>758.82</v>
      </c>
      <c r="E845" t="s">
        <v>25</v>
      </c>
      <c r="F845" t="s">
        <v>20</v>
      </c>
      <c r="G845" t="s">
        <v>21</v>
      </c>
      <c r="H845" t="s">
        <v>2413</v>
      </c>
      <c r="I845" t="s">
        <v>4027</v>
      </c>
      <c r="J845" t="s">
        <v>3034</v>
      </c>
      <c r="K845" s="1">
        <v>46035.205868055556</v>
      </c>
      <c r="L845">
        <v>758.82</v>
      </c>
      <c r="M845">
        <v>22.31</v>
      </c>
      <c r="N845">
        <v>736.51</v>
      </c>
      <c r="O845" t="s">
        <v>25</v>
      </c>
      <c r="P845" t="s">
        <v>3912</v>
      </c>
      <c r="Q845" t="s">
        <v>3036</v>
      </c>
      <c r="R845" t="s">
        <v>4977</v>
      </c>
      <c r="S845" t="s">
        <v>4992</v>
      </c>
      <c r="T845" t="s">
        <v>4992</v>
      </c>
    </row>
    <row r="846" spans="1:20" x14ac:dyDescent="0.25">
      <c r="A846" t="s">
        <v>2414</v>
      </c>
      <c r="B846" t="s">
        <v>2415</v>
      </c>
      <c r="C846" s="1">
        <v>46035.293124999997</v>
      </c>
      <c r="D846">
        <v>308.99</v>
      </c>
      <c r="E846" t="s">
        <v>25</v>
      </c>
      <c r="F846" t="s">
        <v>20</v>
      </c>
      <c r="G846" t="s">
        <v>26</v>
      </c>
      <c r="H846" t="s">
        <v>2416</v>
      </c>
      <c r="I846" t="s">
        <v>4028</v>
      </c>
      <c r="J846" t="s">
        <v>3034</v>
      </c>
      <c r="K846" s="1">
        <v>46035.300069444442</v>
      </c>
      <c r="L846">
        <v>308.99</v>
      </c>
      <c r="M846">
        <v>9.26</v>
      </c>
      <c r="N846">
        <v>299.73</v>
      </c>
      <c r="O846" t="s">
        <v>25</v>
      </c>
      <c r="P846" t="s">
        <v>3914</v>
      </c>
      <c r="Q846" t="s">
        <v>3036</v>
      </c>
      <c r="R846" t="s">
        <v>4977</v>
      </c>
      <c r="S846" t="s">
        <v>4992</v>
      </c>
      <c r="T846" t="s">
        <v>4992</v>
      </c>
    </row>
    <row r="847" spans="1:20" x14ac:dyDescent="0.25">
      <c r="A847" t="s">
        <v>2420</v>
      </c>
      <c r="B847" t="s">
        <v>2421</v>
      </c>
      <c r="C847" s="1">
        <v>46023.463368055556</v>
      </c>
      <c r="D847">
        <v>649.36</v>
      </c>
      <c r="E847" t="s">
        <v>25</v>
      </c>
      <c r="F847" t="s">
        <v>20</v>
      </c>
      <c r="G847" t="s">
        <v>21</v>
      </c>
      <c r="H847" t="s">
        <v>2422</v>
      </c>
      <c r="I847" t="s">
        <v>4029</v>
      </c>
      <c r="J847" t="s">
        <v>3034</v>
      </c>
      <c r="K847" s="1">
        <v>46023.470312500001</v>
      </c>
      <c r="L847">
        <v>649.36</v>
      </c>
      <c r="M847">
        <v>19.13</v>
      </c>
      <c r="N847">
        <v>630.23</v>
      </c>
      <c r="O847" t="s">
        <v>25</v>
      </c>
      <c r="P847" t="s">
        <v>3918</v>
      </c>
      <c r="Q847" t="s">
        <v>3036</v>
      </c>
      <c r="R847" t="s">
        <v>4977</v>
      </c>
      <c r="S847" t="s">
        <v>4992</v>
      </c>
      <c r="T847" t="s">
        <v>4992</v>
      </c>
    </row>
    <row r="848" spans="1:20" x14ac:dyDescent="0.25">
      <c r="A848" t="s">
        <v>2423</v>
      </c>
      <c r="B848" t="s">
        <v>2424</v>
      </c>
      <c r="C848" s="1">
        <v>46024.578703703701</v>
      </c>
      <c r="D848">
        <v>239.12</v>
      </c>
      <c r="E848" t="s">
        <v>52</v>
      </c>
      <c r="F848" t="s">
        <v>20</v>
      </c>
      <c r="G848" t="s">
        <v>26</v>
      </c>
      <c r="H848" t="s">
        <v>2425</v>
      </c>
      <c r="I848" t="s">
        <v>4030</v>
      </c>
      <c r="J848" t="s">
        <v>3034</v>
      </c>
      <c r="K848" s="1">
        <v>46024.585648148146</v>
      </c>
      <c r="L848">
        <v>239.12</v>
      </c>
      <c r="M848">
        <v>7.23</v>
      </c>
      <c r="N848">
        <v>231.89</v>
      </c>
      <c r="O848" t="s">
        <v>52</v>
      </c>
      <c r="P848" t="s">
        <v>3941</v>
      </c>
      <c r="Q848" t="s">
        <v>3036</v>
      </c>
      <c r="R848" t="s">
        <v>4977</v>
      </c>
      <c r="S848" t="s">
        <v>4992</v>
      </c>
      <c r="T848" t="s">
        <v>4992</v>
      </c>
    </row>
    <row r="849" spans="1:20" x14ac:dyDescent="0.25">
      <c r="A849" t="s">
        <v>2423</v>
      </c>
      <c r="B849" t="s">
        <v>2424</v>
      </c>
      <c r="C849" s="1">
        <v>46024.578703703701</v>
      </c>
      <c r="D849">
        <v>239.12</v>
      </c>
      <c r="E849" t="s">
        <v>52</v>
      </c>
      <c r="F849" t="s">
        <v>20</v>
      </c>
      <c r="G849" t="s">
        <v>26</v>
      </c>
      <c r="H849" t="s">
        <v>2425</v>
      </c>
      <c r="I849" t="s">
        <v>4031</v>
      </c>
      <c r="J849" t="s">
        <v>3034</v>
      </c>
      <c r="K849" s="1">
        <v>46024.586342592593</v>
      </c>
      <c r="L849">
        <v>239.12</v>
      </c>
      <c r="M849">
        <v>7.23</v>
      </c>
      <c r="N849">
        <v>231.89</v>
      </c>
      <c r="O849" t="s">
        <v>52</v>
      </c>
      <c r="P849" t="s">
        <v>3941</v>
      </c>
      <c r="Q849" t="s">
        <v>3036</v>
      </c>
      <c r="R849" t="s">
        <v>4977</v>
      </c>
      <c r="S849" t="s">
        <v>4992</v>
      </c>
      <c r="T849" t="s">
        <v>4992</v>
      </c>
    </row>
    <row r="850" spans="1:20" x14ac:dyDescent="0.25">
      <c r="A850" t="s">
        <v>2426</v>
      </c>
      <c r="B850" t="s">
        <v>2427</v>
      </c>
      <c r="C850" s="1">
        <v>46025.651388888888</v>
      </c>
      <c r="D850">
        <v>364.14</v>
      </c>
      <c r="E850" t="s">
        <v>19</v>
      </c>
      <c r="F850" t="s">
        <v>20</v>
      </c>
      <c r="G850" t="s">
        <v>30</v>
      </c>
      <c r="H850" t="s">
        <v>2428</v>
      </c>
      <c r="I850" t="s">
        <v>4032</v>
      </c>
      <c r="J850" t="s">
        <v>3034</v>
      </c>
      <c r="K850" s="1">
        <v>46025.658333333333</v>
      </c>
      <c r="L850">
        <v>364.14</v>
      </c>
      <c r="M850">
        <v>10.86</v>
      </c>
      <c r="N850">
        <v>353.28</v>
      </c>
      <c r="O850" t="s">
        <v>19</v>
      </c>
      <c r="P850" t="s">
        <v>3943</v>
      </c>
      <c r="Q850" t="s">
        <v>3036</v>
      </c>
      <c r="R850" t="s">
        <v>4977</v>
      </c>
      <c r="S850" t="s">
        <v>4992</v>
      </c>
      <c r="T850" t="s">
        <v>4992</v>
      </c>
    </row>
    <row r="851" spans="1:20" x14ac:dyDescent="0.25">
      <c r="A851" t="s">
        <v>2429</v>
      </c>
      <c r="B851" t="s">
        <v>2430</v>
      </c>
      <c r="C851" s="1">
        <v>46026.763379629629</v>
      </c>
      <c r="D851">
        <v>756.77</v>
      </c>
      <c r="E851" t="s">
        <v>25</v>
      </c>
      <c r="F851" t="s">
        <v>20</v>
      </c>
      <c r="G851" t="s">
        <v>21</v>
      </c>
      <c r="H851" t="s">
        <v>2431</v>
      </c>
      <c r="I851" t="s">
        <v>4033</v>
      </c>
      <c r="J851" t="s">
        <v>3034</v>
      </c>
      <c r="K851" s="1">
        <v>46026.770324074074</v>
      </c>
      <c r="L851">
        <v>756.77</v>
      </c>
      <c r="M851">
        <v>22.25</v>
      </c>
      <c r="N851">
        <v>734.52</v>
      </c>
      <c r="O851" t="s">
        <v>25</v>
      </c>
      <c r="P851" t="s">
        <v>3896</v>
      </c>
      <c r="Q851" t="s">
        <v>3036</v>
      </c>
      <c r="R851" t="s">
        <v>4977</v>
      </c>
      <c r="S851" t="s">
        <v>4992</v>
      </c>
      <c r="T851" t="s">
        <v>4992</v>
      </c>
    </row>
    <row r="852" spans="1:20" x14ac:dyDescent="0.25">
      <c r="A852" t="s">
        <v>2432</v>
      </c>
      <c r="B852" t="s">
        <v>2433</v>
      </c>
      <c r="C852" s="1">
        <v>46027.85423611111</v>
      </c>
      <c r="D852">
        <v>1726.11</v>
      </c>
      <c r="E852" t="s">
        <v>25</v>
      </c>
      <c r="F852" t="s">
        <v>20</v>
      </c>
      <c r="G852" t="s">
        <v>26</v>
      </c>
      <c r="H852" t="s">
        <v>2434</v>
      </c>
      <c r="I852" t="s">
        <v>4034</v>
      </c>
      <c r="J852" t="s">
        <v>3034</v>
      </c>
      <c r="K852" s="1">
        <v>46027.861180555556</v>
      </c>
      <c r="L852">
        <v>1726.11</v>
      </c>
      <c r="M852">
        <v>50.36</v>
      </c>
      <c r="N852">
        <v>1675.75</v>
      </c>
      <c r="O852" t="s">
        <v>25</v>
      </c>
      <c r="P852" t="s">
        <v>3923</v>
      </c>
      <c r="Q852" t="s">
        <v>3036</v>
      </c>
      <c r="R852" t="s">
        <v>4977</v>
      </c>
      <c r="S852" t="s">
        <v>4992</v>
      </c>
      <c r="T852" t="s">
        <v>4992</v>
      </c>
    </row>
    <row r="853" spans="1:20" x14ac:dyDescent="0.25">
      <c r="A853" t="s">
        <v>2435</v>
      </c>
      <c r="B853" t="s">
        <v>2436</v>
      </c>
      <c r="C853" s="1">
        <v>46028.925810185188</v>
      </c>
      <c r="D853">
        <v>1160.32</v>
      </c>
      <c r="E853" t="s">
        <v>25</v>
      </c>
      <c r="F853" t="s">
        <v>20</v>
      </c>
      <c r="G853" t="s">
        <v>30</v>
      </c>
      <c r="H853" t="s">
        <v>2437</v>
      </c>
      <c r="I853" t="s">
        <v>4035</v>
      </c>
      <c r="J853" t="s">
        <v>3034</v>
      </c>
      <c r="K853" s="1">
        <v>46028.932754629626</v>
      </c>
      <c r="L853">
        <v>1160.32</v>
      </c>
      <c r="M853">
        <v>33.950000000000003</v>
      </c>
      <c r="N853">
        <v>1126.3699999999999</v>
      </c>
      <c r="O853" t="s">
        <v>25</v>
      </c>
      <c r="P853" t="s">
        <v>3900</v>
      </c>
      <c r="Q853" t="s">
        <v>3036</v>
      </c>
      <c r="R853" t="s">
        <v>4977</v>
      </c>
      <c r="S853" t="s">
        <v>4992</v>
      </c>
      <c r="T853" t="s">
        <v>4992</v>
      </c>
    </row>
    <row r="854" spans="1:20" x14ac:dyDescent="0.25">
      <c r="A854" t="s">
        <v>2438</v>
      </c>
      <c r="B854" t="s">
        <v>2439</v>
      </c>
      <c r="C854" s="1">
        <v>46030.021504629629</v>
      </c>
      <c r="D854">
        <v>45.69</v>
      </c>
      <c r="E854" t="s">
        <v>25</v>
      </c>
      <c r="F854" t="s">
        <v>20</v>
      </c>
      <c r="G854" t="s">
        <v>21</v>
      </c>
      <c r="H854" t="s">
        <v>2440</v>
      </c>
      <c r="I854" t="s">
        <v>4036</v>
      </c>
      <c r="J854" t="s">
        <v>3034</v>
      </c>
      <c r="K854" s="1">
        <v>46030.028449074074</v>
      </c>
      <c r="L854">
        <v>45.69</v>
      </c>
      <c r="M854">
        <v>1.63</v>
      </c>
      <c r="N854">
        <v>44.06</v>
      </c>
      <c r="O854" t="s">
        <v>25</v>
      </c>
      <c r="P854" t="s">
        <v>4037</v>
      </c>
      <c r="Q854" t="s">
        <v>3036</v>
      </c>
      <c r="R854" t="s">
        <v>4977</v>
      </c>
      <c r="S854" t="s">
        <v>4992</v>
      </c>
      <c r="T854" t="s">
        <v>4992</v>
      </c>
    </row>
    <row r="855" spans="1:20" x14ac:dyDescent="0.25">
      <c r="A855" t="s">
        <v>2441</v>
      </c>
      <c r="B855" t="s">
        <v>2442</v>
      </c>
      <c r="C855" s="1">
        <v>46031.138912037037</v>
      </c>
      <c r="D855">
        <v>171.61</v>
      </c>
      <c r="E855" t="s">
        <v>25</v>
      </c>
      <c r="F855" t="s">
        <v>20</v>
      </c>
      <c r="G855" t="s">
        <v>26</v>
      </c>
      <c r="H855" t="s">
        <v>2443</v>
      </c>
      <c r="I855" t="s">
        <v>4038</v>
      </c>
      <c r="J855" t="s">
        <v>3034</v>
      </c>
      <c r="K855" s="1">
        <v>46031.145856481482</v>
      </c>
      <c r="L855">
        <v>171.61</v>
      </c>
      <c r="M855">
        <v>5.28</v>
      </c>
      <c r="N855">
        <v>166.33</v>
      </c>
      <c r="O855" t="s">
        <v>25</v>
      </c>
      <c r="P855" t="s">
        <v>3904</v>
      </c>
      <c r="Q855" t="s">
        <v>3036</v>
      </c>
      <c r="R855" t="s">
        <v>4977</v>
      </c>
      <c r="S855" t="s">
        <v>4992</v>
      </c>
      <c r="T855" t="s">
        <v>4992</v>
      </c>
    </row>
    <row r="856" spans="1:20" x14ac:dyDescent="0.25">
      <c r="A856" t="s">
        <v>2444</v>
      </c>
      <c r="B856" t="s">
        <v>2445</v>
      </c>
      <c r="C856" s="1">
        <v>46032.200914351852</v>
      </c>
      <c r="D856">
        <v>941.13</v>
      </c>
      <c r="E856" t="s">
        <v>25</v>
      </c>
      <c r="F856" t="s">
        <v>20</v>
      </c>
      <c r="G856" t="s">
        <v>30</v>
      </c>
      <c r="H856" t="s">
        <v>2446</v>
      </c>
      <c r="I856" t="s">
        <v>4039</v>
      </c>
      <c r="J856" t="s">
        <v>3034</v>
      </c>
      <c r="K856" s="1">
        <v>46032.207858796297</v>
      </c>
      <c r="L856">
        <v>941.13</v>
      </c>
      <c r="M856">
        <v>27.59</v>
      </c>
      <c r="N856">
        <v>913.54</v>
      </c>
      <c r="O856" t="s">
        <v>25</v>
      </c>
      <c r="P856" t="s">
        <v>3930</v>
      </c>
      <c r="Q856" t="s">
        <v>3036</v>
      </c>
      <c r="R856" t="s">
        <v>4977</v>
      </c>
      <c r="S856" t="s">
        <v>4992</v>
      </c>
      <c r="T856" t="s">
        <v>4992</v>
      </c>
    </row>
    <row r="857" spans="1:20" x14ac:dyDescent="0.25">
      <c r="A857" t="s">
        <v>2444</v>
      </c>
      <c r="B857" t="s">
        <v>2445</v>
      </c>
      <c r="C857" s="1">
        <v>46032.200914351852</v>
      </c>
      <c r="D857">
        <v>941.13</v>
      </c>
      <c r="E857" t="s">
        <v>25</v>
      </c>
      <c r="F857" t="s">
        <v>20</v>
      </c>
      <c r="G857" t="s">
        <v>30</v>
      </c>
      <c r="H857" t="s">
        <v>2446</v>
      </c>
      <c r="I857" t="s">
        <v>4040</v>
      </c>
      <c r="J857" t="s">
        <v>3034</v>
      </c>
      <c r="K857" s="1">
        <v>46032.208553240744</v>
      </c>
      <c r="L857">
        <v>941.13</v>
      </c>
      <c r="M857">
        <v>27.59</v>
      </c>
      <c r="N857">
        <v>913.54</v>
      </c>
      <c r="O857" t="s">
        <v>25</v>
      </c>
      <c r="P857" t="s">
        <v>3930</v>
      </c>
      <c r="Q857" t="s">
        <v>3036</v>
      </c>
      <c r="R857" t="s">
        <v>4977</v>
      </c>
      <c r="S857" t="s">
        <v>4992</v>
      </c>
      <c r="T857" t="s">
        <v>4992</v>
      </c>
    </row>
    <row r="858" spans="1:20" x14ac:dyDescent="0.25">
      <c r="A858" t="s">
        <v>2447</v>
      </c>
      <c r="B858" t="s">
        <v>2448</v>
      </c>
      <c r="C858" s="1">
        <v>46032.30940972222</v>
      </c>
      <c r="D858">
        <v>357.63</v>
      </c>
      <c r="E858" t="s">
        <v>25</v>
      </c>
      <c r="F858" t="s">
        <v>20</v>
      </c>
      <c r="G858" t="s">
        <v>21</v>
      </c>
      <c r="H858" t="s">
        <v>2449</v>
      </c>
      <c r="I858" t="s">
        <v>4041</v>
      </c>
      <c r="J858" t="s">
        <v>3034</v>
      </c>
      <c r="K858" s="1">
        <v>46032.316354166665</v>
      </c>
      <c r="L858">
        <v>357.63</v>
      </c>
      <c r="M858">
        <v>10.67</v>
      </c>
      <c r="N858">
        <v>346.96</v>
      </c>
      <c r="O858" t="s">
        <v>25</v>
      </c>
      <c r="P858" t="s">
        <v>3932</v>
      </c>
      <c r="Q858" t="s">
        <v>3036</v>
      </c>
      <c r="R858" t="s">
        <v>4977</v>
      </c>
      <c r="S858" t="s">
        <v>4992</v>
      </c>
      <c r="T858" t="s">
        <v>4992</v>
      </c>
    </row>
    <row r="859" spans="1:20" x14ac:dyDescent="0.25">
      <c r="A859" t="s">
        <v>2450</v>
      </c>
      <c r="B859" t="s">
        <v>2451</v>
      </c>
      <c r="C859" s="1">
        <v>46033.38071759259</v>
      </c>
      <c r="D859">
        <v>667.18</v>
      </c>
      <c r="E859" t="s">
        <v>25</v>
      </c>
      <c r="F859" t="s">
        <v>20</v>
      </c>
      <c r="G859" t="s">
        <v>26</v>
      </c>
      <c r="H859" t="s">
        <v>2452</v>
      </c>
      <c r="I859" t="s">
        <v>4042</v>
      </c>
      <c r="J859" t="s">
        <v>3034</v>
      </c>
      <c r="K859" s="1">
        <v>46033.387662037036</v>
      </c>
      <c r="L859">
        <v>667.18</v>
      </c>
      <c r="M859">
        <v>19.649999999999999</v>
      </c>
      <c r="N859">
        <v>647.53</v>
      </c>
      <c r="O859" t="s">
        <v>25</v>
      </c>
      <c r="P859" t="s">
        <v>3934</v>
      </c>
      <c r="Q859" t="s">
        <v>3036</v>
      </c>
      <c r="R859" t="s">
        <v>4977</v>
      </c>
      <c r="S859" t="s">
        <v>4992</v>
      </c>
      <c r="T859" t="s">
        <v>4992</v>
      </c>
    </row>
    <row r="860" spans="1:20" x14ac:dyDescent="0.25">
      <c r="A860" t="s">
        <v>2453</v>
      </c>
      <c r="B860" t="s">
        <v>2454</v>
      </c>
      <c r="C860" s="1">
        <v>46034.483599537038</v>
      </c>
      <c r="D860">
        <v>2252.71</v>
      </c>
      <c r="E860" t="s">
        <v>52</v>
      </c>
      <c r="F860" t="s">
        <v>20</v>
      </c>
      <c r="G860" t="s">
        <v>30</v>
      </c>
      <c r="H860" t="s">
        <v>2455</v>
      </c>
      <c r="I860" t="s">
        <v>4043</v>
      </c>
      <c r="J860" t="s">
        <v>3034</v>
      </c>
      <c r="K860" s="1">
        <v>46034.490543981483</v>
      </c>
      <c r="L860">
        <v>2252.71</v>
      </c>
      <c r="M860">
        <v>65.63</v>
      </c>
      <c r="N860">
        <v>2187.08</v>
      </c>
      <c r="O860" t="s">
        <v>52</v>
      </c>
      <c r="P860" t="s">
        <v>3954</v>
      </c>
      <c r="Q860" t="s">
        <v>3036</v>
      </c>
      <c r="R860" t="s">
        <v>4977</v>
      </c>
      <c r="S860" t="s">
        <v>4992</v>
      </c>
      <c r="T860" t="s">
        <v>4992</v>
      </c>
    </row>
    <row r="861" spans="1:20" x14ac:dyDescent="0.25">
      <c r="A861" t="s">
        <v>2456</v>
      </c>
      <c r="B861" t="s">
        <v>2457</v>
      </c>
      <c r="C861" s="1">
        <v>46035.593912037039</v>
      </c>
      <c r="D861">
        <v>1384.95</v>
      </c>
      <c r="E861" t="s">
        <v>19</v>
      </c>
      <c r="F861" t="s">
        <v>20</v>
      </c>
      <c r="G861" t="s">
        <v>21</v>
      </c>
      <c r="H861" t="s">
        <v>2458</v>
      </c>
      <c r="I861" t="s">
        <v>4044</v>
      </c>
      <c r="J861" t="s">
        <v>3034</v>
      </c>
      <c r="K861" s="1">
        <v>46035.600856481484</v>
      </c>
      <c r="L861">
        <v>1384.95</v>
      </c>
      <c r="M861">
        <v>40.46</v>
      </c>
      <c r="N861">
        <v>1344.49</v>
      </c>
      <c r="O861" t="s">
        <v>19</v>
      </c>
      <c r="P861" t="s">
        <v>4045</v>
      </c>
      <c r="Q861" t="s">
        <v>3036</v>
      </c>
      <c r="R861" t="s">
        <v>4977</v>
      </c>
      <c r="S861" t="s">
        <v>4992</v>
      </c>
      <c r="T861" t="s">
        <v>4992</v>
      </c>
    </row>
    <row r="862" spans="1:20" x14ac:dyDescent="0.25">
      <c r="A862" t="s">
        <v>2459</v>
      </c>
      <c r="B862" t="s">
        <v>2460</v>
      </c>
      <c r="C862" s="1">
        <v>46036.65519675926</v>
      </c>
      <c r="D862">
        <v>1222.06</v>
      </c>
      <c r="E862" t="s">
        <v>25</v>
      </c>
      <c r="F862" t="s">
        <v>20</v>
      </c>
      <c r="G862" t="s">
        <v>26</v>
      </c>
      <c r="H862" t="s">
        <v>2461</v>
      </c>
      <c r="I862" t="s">
        <v>4046</v>
      </c>
      <c r="J862" t="s">
        <v>3034</v>
      </c>
      <c r="K862" s="1">
        <v>46036.662141203706</v>
      </c>
      <c r="L862">
        <v>1222.06</v>
      </c>
      <c r="M862">
        <v>35.74</v>
      </c>
      <c r="N862">
        <v>1186.32</v>
      </c>
      <c r="O862" t="s">
        <v>25</v>
      </c>
      <c r="P862" t="s">
        <v>3916</v>
      </c>
      <c r="Q862" t="s">
        <v>3036</v>
      </c>
      <c r="R862" t="s">
        <v>4977</v>
      </c>
      <c r="S862" t="s">
        <v>4992</v>
      </c>
      <c r="T862" t="s">
        <v>4992</v>
      </c>
    </row>
    <row r="863" spans="1:20" x14ac:dyDescent="0.25">
      <c r="A863" t="s">
        <v>2462</v>
      </c>
      <c r="B863" t="s">
        <v>2463</v>
      </c>
      <c r="C863" s="1">
        <v>46023.784328703703</v>
      </c>
      <c r="D863">
        <v>451.64</v>
      </c>
      <c r="E863" t="s">
        <v>25</v>
      </c>
      <c r="F863" t="s">
        <v>20</v>
      </c>
      <c r="G863" t="s">
        <v>30</v>
      </c>
      <c r="H863" t="s">
        <v>2464</v>
      </c>
      <c r="I863" t="s">
        <v>4047</v>
      </c>
      <c r="J863" t="s">
        <v>3034</v>
      </c>
      <c r="K863" s="1">
        <v>46023.791273148148</v>
      </c>
      <c r="L863">
        <v>451.64</v>
      </c>
      <c r="M863">
        <v>13.4</v>
      </c>
      <c r="N863">
        <v>438.24</v>
      </c>
      <c r="O863" t="s">
        <v>25</v>
      </c>
      <c r="P863" t="s">
        <v>3918</v>
      </c>
      <c r="Q863" t="s">
        <v>3036</v>
      </c>
      <c r="R863" t="s">
        <v>4977</v>
      </c>
      <c r="S863" t="s">
        <v>4992</v>
      </c>
      <c r="T863" t="s">
        <v>4992</v>
      </c>
    </row>
    <row r="864" spans="1:20" x14ac:dyDescent="0.25">
      <c r="A864" t="s">
        <v>2465</v>
      </c>
      <c r="B864" t="s">
        <v>2466</v>
      </c>
      <c r="C864" s="1">
        <v>46024.856064814812</v>
      </c>
      <c r="D864">
        <v>2354.9</v>
      </c>
      <c r="E864" t="s">
        <v>25</v>
      </c>
      <c r="F864" t="s">
        <v>20</v>
      </c>
      <c r="G864" t="s">
        <v>21</v>
      </c>
      <c r="H864" t="s">
        <v>2467</v>
      </c>
      <c r="I864" t="s">
        <v>4048</v>
      </c>
      <c r="J864" t="s">
        <v>3034</v>
      </c>
      <c r="K864" s="1">
        <v>46024.863009259258</v>
      </c>
      <c r="L864">
        <v>2354.9</v>
      </c>
      <c r="M864">
        <v>68.59</v>
      </c>
      <c r="N864">
        <v>2286.31</v>
      </c>
      <c r="O864" t="s">
        <v>25</v>
      </c>
      <c r="P864" t="s">
        <v>3890</v>
      </c>
      <c r="Q864" t="s">
        <v>3036</v>
      </c>
      <c r="R864" t="s">
        <v>4977</v>
      </c>
      <c r="S864" t="s">
        <v>4992</v>
      </c>
      <c r="T864" t="s">
        <v>4992</v>
      </c>
    </row>
    <row r="865" spans="1:20" x14ac:dyDescent="0.25">
      <c r="A865" t="s">
        <v>2468</v>
      </c>
      <c r="B865" t="s">
        <v>2469</v>
      </c>
      <c r="C865" s="1">
        <v>46025.962222222224</v>
      </c>
      <c r="D865">
        <v>1816.49</v>
      </c>
      <c r="E865" t="s">
        <v>25</v>
      </c>
      <c r="F865" t="s">
        <v>20</v>
      </c>
      <c r="G865" t="s">
        <v>26</v>
      </c>
      <c r="H865" t="s">
        <v>2470</v>
      </c>
      <c r="I865" t="s">
        <v>4049</v>
      </c>
      <c r="J865" t="s">
        <v>3034</v>
      </c>
      <c r="K865" s="1">
        <v>46025.969166666669</v>
      </c>
      <c r="L865">
        <v>1816.49</v>
      </c>
      <c r="M865">
        <v>52.98</v>
      </c>
      <c r="N865">
        <v>1763.51</v>
      </c>
      <c r="O865" t="s">
        <v>25</v>
      </c>
      <c r="P865" t="s">
        <v>3894</v>
      </c>
      <c r="Q865" t="s">
        <v>3036</v>
      </c>
      <c r="R865" t="s">
        <v>4977</v>
      </c>
      <c r="S865" t="s">
        <v>4992</v>
      </c>
      <c r="T865" t="s">
        <v>4992</v>
      </c>
    </row>
    <row r="866" spans="1:20" x14ac:dyDescent="0.25">
      <c r="A866" t="s">
        <v>2471</v>
      </c>
      <c r="B866" t="s">
        <v>2472</v>
      </c>
      <c r="C866" s="1">
        <v>46027.049039351848</v>
      </c>
      <c r="D866">
        <v>1882.71</v>
      </c>
      <c r="E866" t="s">
        <v>25</v>
      </c>
      <c r="F866" t="s">
        <v>20</v>
      </c>
      <c r="G866" t="s">
        <v>30</v>
      </c>
      <c r="H866" t="s">
        <v>2473</v>
      </c>
      <c r="I866" t="s">
        <v>4050</v>
      </c>
      <c r="J866" t="s">
        <v>3034</v>
      </c>
      <c r="K866" s="1">
        <v>46027.055983796294</v>
      </c>
      <c r="L866">
        <v>1883.82</v>
      </c>
      <c r="M866">
        <v>54.93</v>
      </c>
      <c r="N866">
        <v>1828.89</v>
      </c>
      <c r="O866" t="s">
        <v>25</v>
      </c>
      <c r="P866" t="s">
        <v>3896</v>
      </c>
      <c r="Q866" t="s">
        <v>3036</v>
      </c>
      <c r="R866" t="s">
        <v>4977</v>
      </c>
      <c r="S866" t="s">
        <v>4991</v>
      </c>
      <c r="T866" t="s">
        <v>4992</v>
      </c>
    </row>
    <row r="867" spans="1:20" x14ac:dyDescent="0.25">
      <c r="A867" t="s">
        <v>2474</v>
      </c>
      <c r="B867" t="s">
        <v>2475</v>
      </c>
      <c r="C867" s="1">
        <v>46028.131782407407</v>
      </c>
      <c r="D867">
        <v>519.66999999999996</v>
      </c>
      <c r="E867" t="s">
        <v>25</v>
      </c>
      <c r="F867" t="s">
        <v>20</v>
      </c>
      <c r="G867" t="s">
        <v>21</v>
      </c>
      <c r="H867" t="s">
        <v>2476</v>
      </c>
      <c r="I867" t="s">
        <v>4051</v>
      </c>
      <c r="J867" t="s">
        <v>3034</v>
      </c>
      <c r="K867" s="1">
        <v>46028.138726851852</v>
      </c>
      <c r="L867">
        <v>519.66999999999996</v>
      </c>
      <c r="M867">
        <v>15.37</v>
      </c>
      <c r="N867">
        <v>504.3</v>
      </c>
      <c r="O867" t="s">
        <v>25</v>
      </c>
      <c r="P867" t="s">
        <v>3923</v>
      </c>
      <c r="Q867" t="s">
        <v>3036</v>
      </c>
      <c r="R867" t="s">
        <v>4977</v>
      </c>
      <c r="S867" t="s">
        <v>4992</v>
      </c>
      <c r="T867" t="s">
        <v>4992</v>
      </c>
    </row>
    <row r="868" spans="1:20" x14ac:dyDescent="0.25">
      <c r="A868" t="s">
        <v>2477</v>
      </c>
      <c r="B868" t="s">
        <v>2478</v>
      </c>
      <c r="C868" s="1">
        <v>46028.235601851855</v>
      </c>
      <c r="D868">
        <v>1520.71</v>
      </c>
      <c r="E868" t="s">
        <v>25</v>
      </c>
      <c r="F868" t="s">
        <v>20</v>
      </c>
      <c r="G868" t="s">
        <v>26</v>
      </c>
      <c r="H868" t="s">
        <v>2479</v>
      </c>
      <c r="I868" t="s">
        <v>4052</v>
      </c>
      <c r="J868" t="s">
        <v>3034</v>
      </c>
      <c r="K868" s="1">
        <v>46028.242546296293</v>
      </c>
      <c r="L868">
        <v>1520.71</v>
      </c>
      <c r="M868">
        <v>44.4</v>
      </c>
      <c r="N868">
        <v>1476.31</v>
      </c>
      <c r="O868" t="s">
        <v>25</v>
      </c>
      <c r="P868" t="s">
        <v>3900</v>
      </c>
      <c r="Q868" t="s">
        <v>3036</v>
      </c>
      <c r="R868" t="s">
        <v>4977</v>
      </c>
      <c r="S868" t="s">
        <v>4992</v>
      </c>
      <c r="T868" t="s">
        <v>4992</v>
      </c>
    </row>
    <row r="869" spans="1:20" x14ac:dyDescent="0.25">
      <c r="A869" t="s">
        <v>2480</v>
      </c>
      <c r="B869" t="s">
        <v>2481</v>
      </c>
      <c r="C869" s="1">
        <v>46029.303472222222</v>
      </c>
      <c r="D869">
        <v>440.96</v>
      </c>
      <c r="E869" t="s">
        <v>25</v>
      </c>
      <c r="F869" t="s">
        <v>20</v>
      </c>
      <c r="G869" t="s">
        <v>30</v>
      </c>
      <c r="H869" t="s">
        <v>2482</v>
      </c>
      <c r="I869" t="s">
        <v>4053</v>
      </c>
      <c r="J869" t="s">
        <v>3034</v>
      </c>
      <c r="K869" s="1">
        <v>46029.310416666667</v>
      </c>
      <c r="L869">
        <v>440.96</v>
      </c>
      <c r="M869">
        <v>13.09</v>
      </c>
      <c r="N869">
        <v>427.87</v>
      </c>
      <c r="O869" t="s">
        <v>25</v>
      </c>
      <c r="P869" t="s">
        <v>3902</v>
      </c>
      <c r="Q869" t="s">
        <v>3036</v>
      </c>
      <c r="R869" t="s">
        <v>4977</v>
      </c>
      <c r="S869" t="s">
        <v>4992</v>
      </c>
      <c r="T869" t="s">
        <v>4992</v>
      </c>
    </row>
    <row r="870" spans="1:20" x14ac:dyDescent="0.25">
      <c r="A870" t="s">
        <v>2483</v>
      </c>
      <c r="B870" t="s">
        <v>2484</v>
      </c>
      <c r="C870" s="1">
        <v>46030.401643518519</v>
      </c>
      <c r="D870">
        <v>119.92</v>
      </c>
      <c r="E870" t="s">
        <v>52</v>
      </c>
      <c r="F870" t="s">
        <v>20</v>
      </c>
      <c r="G870" t="s">
        <v>21</v>
      </c>
      <c r="H870" t="s">
        <v>2485</v>
      </c>
      <c r="I870" t="s">
        <v>4054</v>
      </c>
      <c r="J870" t="s">
        <v>3034</v>
      </c>
      <c r="K870" s="1">
        <v>46030.408587962964</v>
      </c>
      <c r="L870">
        <v>119.92</v>
      </c>
      <c r="M870">
        <v>3.78</v>
      </c>
      <c r="N870">
        <v>116.14</v>
      </c>
      <c r="O870" t="s">
        <v>52</v>
      </c>
      <c r="P870" t="s">
        <v>3968</v>
      </c>
      <c r="Q870" t="s">
        <v>3036</v>
      </c>
      <c r="R870" t="s">
        <v>4977</v>
      </c>
      <c r="S870" t="s">
        <v>4992</v>
      </c>
      <c r="T870" t="s">
        <v>4992</v>
      </c>
    </row>
    <row r="871" spans="1:20" x14ac:dyDescent="0.25">
      <c r="A871" t="s">
        <v>2486</v>
      </c>
      <c r="B871" t="s">
        <v>2487</v>
      </c>
      <c r="C871" s="1">
        <v>46031.480231481481</v>
      </c>
      <c r="D871">
        <v>1112.6400000000001</v>
      </c>
      <c r="E871" t="s">
        <v>19</v>
      </c>
      <c r="F871" t="s">
        <v>20</v>
      </c>
      <c r="G871" t="s">
        <v>26</v>
      </c>
      <c r="H871" t="s">
        <v>2488</v>
      </c>
      <c r="I871" t="s">
        <v>4055</v>
      </c>
      <c r="J871" t="s">
        <v>3034</v>
      </c>
      <c r="K871" s="1">
        <v>46031.487175925926</v>
      </c>
      <c r="L871">
        <v>1112.6400000000001</v>
      </c>
      <c r="M871">
        <v>32.57</v>
      </c>
      <c r="N871">
        <v>1080.07</v>
      </c>
      <c r="O871" t="s">
        <v>19</v>
      </c>
      <c r="P871" t="s">
        <v>3970</v>
      </c>
      <c r="Q871" t="s">
        <v>3036</v>
      </c>
      <c r="R871" t="s">
        <v>4977</v>
      </c>
      <c r="S871" t="s">
        <v>4992</v>
      </c>
      <c r="T871" t="s">
        <v>4992</v>
      </c>
    </row>
    <row r="872" spans="1:20" x14ac:dyDescent="0.25">
      <c r="A872" t="s">
        <v>2486</v>
      </c>
      <c r="B872" t="s">
        <v>2487</v>
      </c>
      <c r="C872" s="1">
        <v>46031.480231481481</v>
      </c>
      <c r="D872">
        <v>1112.6400000000001</v>
      </c>
      <c r="E872" t="s">
        <v>19</v>
      </c>
      <c r="F872" t="s">
        <v>20</v>
      </c>
      <c r="G872" t="s">
        <v>26</v>
      </c>
      <c r="H872" t="s">
        <v>2488</v>
      </c>
      <c r="I872" t="s">
        <v>4055</v>
      </c>
      <c r="J872" t="s">
        <v>3034</v>
      </c>
      <c r="K872" s="1">
        <v>46031.487175925926</v>
      </c>
      <c r="L872">
        <v>1112.6400000000001</v>
      </c>
      <c r="M872">
        <v>32.57</v>
      </c>
      <c r="N872">
        <v>1080.07</v>
      </c>
      <c r="O872" t="s">
        <v>19</v>
      </c>
      <c r="P872" t="s">
        <v>3970</v>
      </c>
      <c r="Q872" t="s">
        <v>3036</v>
      </c>
      <c r="R872" t="s">
        <v>4977</v>
      </c>
      <c r="S872" t="s">
        <v>4992</v>
      </c>
      <c r="T872" t="s">
        <v>4992</v>
      </c>
    </row>
    <row r="873" spans="1:20" x14ac:dyDescent="0.25">
      <c r="A873" t="s">
        <v>2489</v>
      </c>
      <c r="B873" t="s">
        <v>2490</v>
      </c>
      <c r="C873" s="1">
        <v>46032.595034722224</v>
      </c>
      <c r="D873">
        <v>736.05</v>
      </c>
      <c r="E873" t="s">
        <v>25</v>
      </c>
      <c r="F873" t="s">
        <v>20</v>
      </c>
      <c r="G873" t="s">
        <v>30</v>
      </c>
      <c r="H873" t="s">
        <v>2491</v>
      </c>
      <c r="I873" t="s">
        <v>4056</v>
      </c>
      <c r="J873" t="s">
        <v>3034</v>
      </c>
      <c r="K873" s="1">
        <v>46032.601979166669</v>
      </c>
      <c r="L873">
        <v>736.05</v>
      </c>
      <c r="M873">
        <v>21.65</v>
      </c>
      <c r="N873">
        <v>714.4</v>
      </c>
      <c r="O873" t="s">
        <v>25</v>
      </c>
      <c r="P873" t="s">
        <v>3932</v>
      </c>
      <c r="Q873" t="s">
        <v>3036</v>
      </c>
      <c r="R873" t="s">
        <v>4977</v>
      </c>
      <c r="S873" t="s">
        <v>4992</v>
      </c>
      <c r="T873" t="s">
        <v>4992</v>
      </c>
    </row>
    <row r="874" spans="1:20" x14ac:dyDescent="0.25">
      <c r="A874" t="s">
        <v>2492</v>
      </c>
      <c r="B874" t="s">
        <v>2493</v>
      </c>
      <c r="C874" s="1">
        <v>46033.701053240744</v>
      </c>
      <c r="D874">
        <v>2262.61</v>
      </c>
      <c r="E874" t="s">
        <v>25</v>
      </c>
      <c r="F874" t="s">
        <v>20</v>
      </c>
      <c r="G874" t="s">
        <v>21</v>
      </c>
      <c r="H874" t="s">
        <v>2494</v>
      </c>
      <c r="I874" t="s">
        <v>4057</v>
      </c>
      <c r="J874" t="s">
        <v>3034</v>
      </c>
      <c r="K874" s="1">
        <v>46033.707997685182</v>
      </c>
      <c r="L874">
        <v>2262.61</v>
      </c>
      <c r="M874">
        <v>65.92</v>
      </c>
      <c r="N874">
        <v>2196.69</v>
      </c>
      <c r="O874" t="s">
        <v>25</v>
      </c>
      <c r="P874" t="s">
        <v>3934</v>
      </c>
      <c r="Q874" t="s">
        <v>3036</v>
      </c>
      <c r="R874" t="s">
        <v>4977</v>
      </c>
      <c r="S874" t="s">
        <v>4992</v>
      </c>
      <c r="T874" t="s">
        <v>4992</v>
      </c>
    </row>
    <row r="875" spans="1:20" x14ac:dyDescent="0.25">
      <c r="A875" t="s">
        <v>2495</v>
      </c>
      <c r="B875" t="s">
        <v>2496</v>
      </c>
      <c r="C875" s="1">
        <v>46034.754826388889</v>
      </c>
      <c r="D875">
        <v>2482.88</v>
      </c>
      <c r="E875" t="s">
        <v>25</v>
      </c>
      <c r="F875" t="s">
        <v>20</v>
      </c>
      <c r="G875" t="s">
        <v>26</v>
      </c>
      <c r="H875" t="s">
        <v>2497</v>
      </c>
      <c r="I875" t="s">
        <v>4058</v>
      </c>
      <c r="J875" t="s">
        <v>3034</v>
      </c>
      <c r="K875" s="1">
        <v>46034.761770833335</v>
      </c>
      <c r="L875">
        <v>2482.88</v>
      </c>
      <c r="M875">
        <v>72.3</v>
      </c>
      <c r="N875">
        <v>2410.58</v>
      </c>
      <c r="O875" t="s">
        <v>25</v>
      </c>
      <c r="P875" t="s">
        <v>3912</v>
      </c>
      <c r="Q875" t="s">
        <v>3036</v>
      </c>
      <c r="R875" t="s">
        <v>4977</v>
      </c>
      <c r="S875" t="s">
        <v>4992</v>
      </c>
      <c r="T875" t="s">
        <v>4992</v>
      </c>
    </row>
    <row r="876" spans="1:20" x14ac:dyDescent="0.25">
      <c r="A876" t="s">
        <v>2498</v>
      </c>
      <c r="B876" t="s">
        <v>2499</v>
      </c>
      <c r="C876" s="1">
        <v>46035.875219907408</v>
      </c>
      <c r="D876">
        <v>1609.55</v>
      </c>
      <c r="E876" t="s">
        <v>25</v>
      </c>
      <c r="F876" t="s">
        <v>20</v>
      </c>
      <c r="G876" t="s">
        <v>30</v>
      </c>
      <c r="H876" t="s">
        <v>2500</v>
      </c>
      <c r="I876" t="s">
        <v>4059</v>
      </c>
      <c r="J876" t="s">
        <v>3034</v>
      </c>
      <c r="K876" s="1">
        <v>46035.882164351853</v>
      </c>
      <c r="L876">
        <v>1609.55</v>
      </c>
      <c r="M876">
        <v>46.98</v>
      </c>
      <c r="N876">
        <v>1562.57</v>
      </c>
      <c r="O876" t="s">
        <v>25</v>
      </c>
      <c r="P876" t="s">
        <v>3914</v>
      </c>
      <c r="Q876" t="s">
        <v>3036</v>
      </c>
      <c r="R876" t="s">
        <v>4977</v>
      </c>
      <c r="S876" t="s">
        <v>4992</v>
      </c>
      <c r="T876" t="s">
        <v>4992</v>
      </c>
    </row>
    <row r="877" spans="1:20" x14ac:dyDescent="0.25">
      <c r="A877" t="s">
        <v>2501</v>
      </c>
      <c r="B877" t="s">
        <v>2502</v>
      </c>
      <c r="C877" s="1">
        <v>46036.972719907404</v>
      </c>
      <c r="D877">
        <v>2213.2399999999998</v>
      </c>
      <c r="E877" t="s">
        <v>25</v>
      </c>
      <c r="F877" t="s">
        <v>20</v>
      </c>
      <c r="G877" t="s">
        <v>21</v>
      </c>
      <c r="H877" t="s">
        <v>2503</v>
      </c>
      <c r="I877" t="s">
        <v>4060</v>
      </c>
      <c r="J877" t="s">
        <v>3034</v>
      </c>
      <c r="K877" s="1">
        <v>46036.979664351849</v>
      </c>
      <c r="L877">
        <v>2213.2399999999998</v>
      </c>
      <c r="M877">
        <v>64.48</v>
      </c>
      <c r="N877">
        <v>2148.7600000000002</v>
      </c>
      <c r="O877" t="s">
        <v>25</v>
      </c>
      <c r="P877" t="s">
        <v>3916</v>
      </c>
      <c r="Q877" t="s">
        <v>3036</v>
      </c>
      <c r="R877" t="s">
        <v>4977</v>
      </c>
      <c r="S877" t="s">
        <v>4992</v>
      </c>
      <c r="T877" t="s">
        <v>4992</v>
      </c>
    </row>
    <row r="878" spans="1:20" x14ac:dyDescent="0.25">
      <c r="A878" t="s">
        <v>2501</v>
      </c>
      <c r="B878" t="s">
        <v>2502</v>
      </c>
      <c r="C878" s="1">
        <v>46036.972719907404</v>
      </c>
      <c r="D878">
        <v>2213.2399999999998</v>
      </c>
      <c r="E878" t="s">
        <v>25</v>
      </c>
      <c r="F878" t="s">
        <v>20</v>
      </c>
      <c r="G878" t="s">
        <v>21</v>
      </c>
      <c r="H878" t="s">
        <v>2503</v>
      </c>
      <c r="I878" t="s">
        <v>4061</v>
      </c>
      <c r="J878" t="s">
        <v>3034</v>
      </c>
      <c r="K878" s="1">
        <v>46036.980358796296</v>
      </c>
      <c r="L878">
        <v>2213.2399999999998</v>
      </c>
      <c r="M878">
        <v>64.48</v>
      </c>
      <c r="N878">
        <v>2148.7600000000002</v>
      </c>
      <c r="O878" t="s">
        <v>25</v>
      </c>
      <c r="P878" t="s">
        <v>3916</v>
      </c>
      <c r="Q878" t="s">
        <v>3036</v>
      </c>
      <c r="R878" t="s">
        <v>4977</v>
      </c>
      <c r="S878" t="s">
        <v>4992</v>
      </c>
      <c r="T878" t="s">
        <v>4992</v>
      </c>
    </row>
    <row r="879" spans="1:20" x14ac:dyDescent="0.25">
      <c r="A879" t="s">
        <v>2504</v>
      </c>
      <c r="B879" t="s">
        <v>2505</v>
      </c>
      <c r="C879" s="1">
        <v>46024.028506944444</v>
      </c>
      <c r="D879">
        <v>1446.01</v>
      </c>
      <c r="E879" t="s">
        <v>25</v>
      </c>
      <c r="F879" t="s">
        <v>20</v>
      </c>
      <c r="G879" t="s">
        <v>26</v>
      </c>
      <c r="H879" t="s">
        <v>2506</v>
      </c>
      <c r="I879" t="s">
        <v>4062</v>
      </c>
      <c r="J879" t="s">
        <v>3034</v>
      </c>
      <c r="K879" s="1">
        <v>46024.035451388889</v>
      </c>
      <c r="L879">
        <v>1446.01</v>
      </c>
      <c r="M879">
        <v>42.23</v>
      </c>
      <c r="N879">
        <v>1403.78</v>
      </c>
      <c r="O879" t="s">
        <v>25</v>
      </c>
      <c r="P879" t="s">
        <v>3918</v>
      </c>
      <c r="Q879" t="s">
        <v>3036</v>
      </c>
      <c r="R879" t="s">
        <v>4977</v>
      </c>
      <c r="S879" t="s">
        <v>4992</v>
      </c>
      <c r="T879" t="s">
        <v>4992</v>
      </c>
    </row>
    <row r="880" spans="1:20" x14ac:dyDescent="0.25">
      <c r="A880" t="s">
        <v>2507</v>
      </c>
      <c r="B880" t="s">
        <v>2508</v>
      </c>
      <c r="C880" s="1">
        <v>46025.128599537034</v>
      </c>
      <c r="D880">
        <v>931.01</v>
      </c>
      <c r="E880" t="s">
        <v>25</v>
      </c>
      <c r="F880" t="s">
        <v>20</v>
      </c>
      <c r="G880" t="s">
        <v>30</v>
      </c>
      <c r="H880" t="s">
        <v>2509</v>
      </c>
      <c r="I880" t="s">
        <v>4063</v>
      </c>
      <c r="J880" t="s">
        <v>3034</v>
      </c>
      <c r="K880" s="1">
        <v>46025.13554398148</v>
      </c>
      <c r="L880">
        <v>931.01</v>
      </c>
      <c r="M880">
        <v>27.3</v>
      </c>
      <c r="N880">
        <v>903.71</v>
      </c>
      <c r="O880" t="s">
        <v>25</v>
      </c>
      <c r="P880" t="s">
        <v>3890</v>
      </c>
      <c r="Q880" t="s">
        <v>3036</v>
      </c>
      <c r="R880" t="s">
        <v>4977</v>
      </c>
      <c r="S880" t="s">
        <v>4992</v>
      </c>
      <c r="T880" t="s">
        <v>4992</v>
      </c>
    </row>
    <row r="881" spans="1:20" x14ac:dyDescent="0.25">
      <c r="A881" t="s">
        <v>2510</v>
      </c>
      <c r="B881" t="s">
        <v>2511</v>
      </c>
      <c r="C881" s="1">
        <v>46026.2190162037</v>
      </c>
      <c r="D881">
        <v>629.83000000000004</v>
      </c>
      <c r="E881" t="s">
        <v>25</v>
      </c>
      <c r="F881" t="s">
        <v>20</v>
      </c>
      <c r="G881" t="s">
        <v>21</v>
      </c>
      <c r="H881" t="s">
        <v>2512</v>
      </c>
      <c r="I881" t="s">
        <v>4064</v>
      </c>
      <c r="J881" t="s">
        <v>3034</v>
      </c>
      <c r="K881" s="1">
        <v>46026.225960648146</v>
      </c>
      <c r="L881">
        <v>629.83000000000004</v>
      </c>
      <c r="M881">
        <v>18.57</v>
      </c>
      <c r="N881">
        <v>611.26</v>
      </c>
      <c r="O881" t="s">
        <v>25</v>
      </c>
      <c r="P881" t="s">
        <v>3894</v>
      </c>
      <c r="Q881" t="s">
        <v>3036</v>
      </c>
      <c r="R881" t="s">
        <v>4977</v>
      </c>
      <c r="S881" t="s">
        <v>4992</v>
      </c>
      <c r="T881" t="s">
        <v>4992</v>
      </c>
    </row>
    <row r="882" spans="1:20" x14ac:dyDescent="0.25">
      <c r="A882" t="s">
        <v>2513</v>
      </c>
      <c r="B882" t="s">
        <v>2514</v>
      </c>
      <c r="C882" s="1">
        <v>46026.333761574075</v>
      </c>
      <c r="D882">
        <v>498.47</v>
      </c>
      <c r="E882" t="s">
        <v>52</v>
      </c>
      <c r="F882" t="s">
        <v>20</v>
      </c>
      <c r="G882" t="s">
        <v>26</v>
      </c>
      <c r="H882" t="s">
        <v>2515</v>
      </c>
      <c r="I882" t="s">
        <v>4065</v>
      </c>
      <c r="J882" t="s">
        <v>3034</v>
      </c>
      <c r="K882" s="1">
        <v>46026.34070601852</v>
      </c>
      <c r="L882">
        <v>498.47</v>
      </c>
      <c r="M882">
        <v>14.76</v>
      </c>
      <c r="N882">
        <v>483.71</v>
      </c>
      <c r="O882" t="s">
        <v>52</v>
      </c>
      <c r="P882" t="s">
        <v>3984</v>
      </c>
      <c r="Q882" t="s">
        <v>3036</v>
      </c>
      <c r="R882" t="s">
        <v>4977</v>
      </c>
      <c r="S882" t="s">
        <v>4992</v>
      </c>
      <c r="T882" t="s">
        <v>4992</v>
      </c>
    </row>
    <row r="883" spans="1:20" x14ac:dyDescent="0.25">
      <c r="A883" t="s">
        <v>2516</v>
      </c>
      <c r="B883" t="s">
        <v>2517</v>
      </c>
      <c r="C883" s="1">
        <v>46027.435682870368</v>
      </c>
      <c r="D883">
        <v>1406.05</v>
      </c>
      <c r="E883" t="s">
        <v>19</v>
      </c>
      <c r="F883" t="s">
        <v>20</v>
      </c>
      <c r="G883" t="s">
        <v>30</v>
      </c>
      <c r="H883" t="s">
        <v>2518</v>
      </c>
      <c r="I883" t="s">
        <v>4066</v>
      </c>
      <c r="J883" t="s">
        <v>3034</v>
      </c>
      <c r="K883" s="1">
        <v>46027.442627314813</v>
      </c>
      <c r="L883">
        <v>1406.05</v>
      </c>
      <c r="M883">
        <v>41.08</v>
      </c>
      <c r="N883">
        <v>1364.97</v>
      </c>
      <c r="O883" t="s">
        <v>19</v>
      </c>
      <c r="P883" t="s">
        <v>3986</v>
      </c>
      <c r="Q883" t="s">
        <v>3036</v>
      </c>
      <c r="R883" t="s">
        <v>4977</v>
      </c>
      <c r="S883" t="s">
        <v>4992</v>
      </c>
      <c r="T883" t="s">
        <v>4992</v>
      </c>
    </row>
    <row r="884" spans="1:20" x14ac:dyDescent="0.25">
      <c r="A884" t="s">
        <v>2516</v>
      </c>
      <c r="B884" t="s">
        <v>2517</v>
      </c>
      <c r="C884" s="1">
        <v>46027.435682870368</v>
      </c>
      <c r="D884">
        <v>1406.05</v>
      </c>
      <c r="E884" t="s">
        <v>19</v>
      </c>
      <c r="F884" t="s">
        <v>20</v>
      </c>
      <c r="G884" t="s">
        <v>30</v>
      </c>
      <c r="H884" t="s">
        <v>2518</v>
      </c>
      <c r="I884" t="s">
        <v>4067</v>
      </c>
      <c r="J884" t="s">
        <v>3034</v>
      </c>
      <c r="K884" s="1">
        <v>46027.44332175926</v>
      </c>
      <c r="L884">
        <v>1406.05</v>
      </c>
      <c r="M884">
        <v>41.08</v>
      </c>
      <c r="N884">
        <v>1364.97</v>
      </c>
      <c r="O884" t="s">
        <v>19</v>
      </c>
      <c r="P884" t="s">
        <v>3986</v>
      </c>
      <c r="Q884" t="s">
        <v>3036</v>
      </c>
      <c r="R884" t="s">
        <v>4977</v>
      </c>
      <c r="S884" t="s">
        <v>4992</v>
      </c>
      <c r="T884" t="s">
        <v>4992</v>
      </c>
    </row>
    <row r="885" spans="1:20" x14ac:dyDescent="0.25">
      <c r="A885" t="s">
        <v>2519</v>
      </c>
      <c r="B885" t="s">
        <v>2520</v>
      </c>
      <c r="C885" s="1">
        <v>46028.491956018515</v>
      </c>
      <c r="D885">
        <v>2488.2800000000002</v>
      </c>
      <c r="E885" t="s">
        <v>25</v>
      </c>
      <c r="F885" t="s">
        <v>20</v>
      </c>
      <c r="G885" t="s">
        <v>21</v>
      </c>
      <c r="H885" t="s">
        <v>2521</v>
      </c>
      <c r="I885" t="s">
        <v>4068</v>
      </c>
      <c r="J885" t="s">
        <v>3034</v>
      </c>
      <c r="K885" s="1">
        <v>46028.498900462961</v>
      </c>
      <c r="L885">
        <v>2488.2800000000002</v>
      </c>
      <c r="M885">
        <v>72.459999999999994</v>
      </c>
      <c r="N885">
        <v>2415.8200000000002</v>
      </c>
      <c r="O885" t="s">
        <v>25</v>
      </c>
      <c r="P885" t="s">
        <v>3900</v>
      </c>
      <c r="Q885" t="s">
        <v>3036</v>
      </c>
      <c r="R885" t="s">
        <v>4977</v>
      </c>
      <c r="S885" t="s">
        <v>4992</v>
      </c>
      <c r="T885" t="s">
        <v>4992</v>
      </c>
    </row>
    <row r="886" spans="1:20" x14ac:dyDescent="0.25">
      <c r="A886" t="s">
        <v>2522</v>
      </c>
      <c r="B886" t="s">
        <v>2523</v>
      </c>
      <c r="C886" s="1">
        <v>46029.608043981483</v>
      </c>
      <c r="D886">
        <v>1228.23</v>
      </c>
      <c r="E886" t="s">
        <v>25</v>
      </c>
      <c r="F886" t="s">
        <v>20</v>
      </c>
      <c r="G886" t="s">
        <v>26</v>
      </c>
      <c r="H886" t="s">
        <v>2524</v>
      </c>
      <c r="I886" t="s">
        <v>4069</v>
      </c>
      <c r="J886" t="s">
        <v>3034</v>
      </c>
      <c r="K886" s="1">
        <v>46029.614988425928</v>
      </c>
      <c r="L886">
        <v>1228.23</v>
      </c>
      <c r="M886">
        <v>35.92</v>
      </c>
      <c r="N886">
        <v>1192.31</v>
      </c>
      <c r="O886" t="s">
        <v>25</v>
      </c>
      <c r="P886" t="s">
        <v>3902</v>
      </c>
      <c r="Q886" t="s">
        <v>3036</v>
      </c>
      <c r="R886" t="s">
        <v>4977</v>
      </c>
      <c r="S886" t="s">
        <v>4992</v>
      </c>
      <c r="T886" t="s">
        <v>4992</v>
      </c>
    </row>
    <row r="887" spans="1:20" x14ac:dyDescent="0.25">
      <c r="A887" t="s">
        <v>2525</v>
      </c>
      <c r="B887" t="s">
        <v>2526</v>
      </c>
      <c r="C887" s="1">
        <v>46030.703414351854</v>
      </c>
      <c r="D887">
        <v>513.73</v>
      </c>
      <c r="E887" t="s">
        <v>25</v>
      </c>
      <c r="F887" t="s">
        <v>20</v>
      </c>
      <c r="G887" t="s">
        <v>30</v>
      </c>
      <c r="H887" t="s">
        <v>2527</v>
      </c>
      <c r="I887" t="s">
        <v>4070</v>
      </c>
      <c r="J887" t="s">
        <v>3034</v>
      </c>
      <c r="K887" s="1">
        <v>46030.710358796299</v>
      </c>
      <c r="L887">
        <v>513.73</v>
      </c>
      <c r="M887">
        <v>15.2</v>
      </c>
      <c r="N887">
        <v>498.53</v>
      </c>
      <c r="O887" t="s">
        <v>25</v>
      </c>
      <c r="P887" t="s">
        <v>3904</v>
      </c>
      <c r="Q887" t="s">
        <v>3036</v>
      </c>
      <c r="R887" t="s">
        <v>4977</v>
      </c>
      <c r="S887" t="s">
        <v>4992</v>
      </c>
      <c r="T887" t="s">
        <v>4992</v>
      </c>
    </row>
    <row r="888" spans="1:20" x14ac:dyDescent="0.25">
      <c r="A888" t="s">
        <v>2528</v>
      </c>
      <c r="B888" t="s">
        <v>2529</v>
      </c>
      <c r="C888" s="1">
        <v>46031.793553240743</v>
      </c>
      <c r="D888">
        <v>184.44</v>
      </c>
      <c r="E888" t="s">
        <v>25</v>
      </c>
      <c r="F888" t="s">
        <v>20</v>
      </c>
      <c r="G888" t="s">
        <v>21</v>
      </c>
      <c r="H888" t="s">
        <v>2530</v>
      </c>
      <c r="I888" t="s">
        <v>4071</v>
      </c>
      <c r="J888" t="s">
        <v>3034</v>
      </c>
      <c r="K888" s="1">
        <v>46031.800497685188</v>
      </c>
      <c r="L888">
        <v>184.44</v>
      </c>
      <c r="M888">
        <v>5.65</v>
      </c>
      <c r="N888">
        <v>178.79</v>
      </c>
      <c r="O888" t="s">
        <v>25</v>
      </c>
      <c r="P888" t="s">
        <v>3930</v>
      </c>
      <c r="Q888" t="s">
        <v>3036</v>
      </c>
      <c r="R888" t="s">
        <v>4977</v>
      </c>
      <c r="S888" t="s">
        <v>4992</v>
      </c>
      <c r="T888" t="s">
        <v>4992</v>
      </c>
    </row>
    <row r="889" spans="1:20" x14ac:dyDescent="0.25">
      <c r="A889" t="s">
        <v>2531</v>
      </c>
      <c r="B889" t="s">
        <v>2532</v>
      </c>
      <c r="C889" s="1">
        <v>46032.858020833337</v>
      </c>
      <c r="D889">
        <v>1596.84</v>
      </c>
      <c r="E889" t="s">
        <v>25</v>
      </c>
      <c r="F889" t="s">
        <v>20</v>
      </c>
      <c r="G889" t="s">
        <v>26</v>
      </c>
      <c r="H889" t="s">
        <v>2533</v>
      </c>
      <c r="I889" t="s">
        <v>4072</v>
      </c>
      <c r="J889" t="s">
        <v>3034</v>
      </c>
      <c r="K889" s="1">
        <v>46032.864965277775</v>
      </c>
      <c r="L889">
        <v>1596.84</v>
      </c>
      <c r="M889">
        <v>46.61</v>
      </c>
      <c r="N889">
        <v>1550.23</v>
      </c>
      <c r="O889" t="s">
        <v>25</v>
      </c>
      <c r="P889" t="s">
        <v>3932</v>
      </c>
      <c r="Q889" t="s">
        <v>3036</v>
      </c>
      <c r="R889" t="s">
        <v>4977</v>
      </c>
      <c r="S889" t="s">
        <v>4992</v>
      </c>
      <c r="T889" t="s">
        <v>4992</v>
      </c>
    </row>
    <row r="890" spans="1:20" x14ac:dyDescent="0.25">
      <c r="A890" t="s">
        <v>2534</v>
      </c>
      <c r="B890" t="s">
        <v>2535</v>
      </c>
      <c r="C890" s="1">
        <v>46033.962824074071</v>
      </c>
      <c r="D890">
        <v>2494.73</v>
      </c>
      <c r="E890" t="s">
        <v>25</v>
      </c>
      <c r="F890" t="s">
        <v>20</v>
      </c>
      <c r="G890" t="s">
        <v>30</v>
      </c>
      <c r="H890" t="s">
        <v>2536</v>
      </c>
      <c r="I890" t="s">
        <v>4073</v>
      </c>
      <c r="J890" t="s">
        <v>3034</v>
      </c>
      <c r="K890" s="1">
        <v>46033.969768518517</v>
      </c>
      <c r="L890">
        <v>2494.73</v>
      </c>
      <c r="M890">
        <v>72.650000000000006</v>
      </c>
      <c r="N890">
        <v>2422.08</v>
      </c>
      <c r="O890" t="s">
        <v>25</v>
      </c>
      <c r="P890" t="s">
        <v>3934</v>
      </c>
      <c r="Q890" t="s">
        <v>3036</v>
      </c>
      <c r="R890" t="s">
        <v>4977</v>
      </c>
      <c r="S890" t="s">
        <v>4992</v>
      </c>
      <c r="T890" t="s">
        <v>4992</v>
      </c>
    </row>
    <row r="891" spans="1:20" x14ac:dyDescent="0.25">
      <c r="A891" t="s">
        <v>2537</v>
      </c>
      <c r="B891" t="s">
        <v>2538</v>
      </c>
      <c r="C891" s="1">
        <v>46035.070219907408</v>
      </c>
      <c r="D891">
        <v>1252.46</v>
      </c>
      <c r="E891" t="s">
        <v>25</v>
      </c>
      <c r="F891" t="s">
        <v>20</v>
      </c>
      <c r="G891" t="s">
        <v>21</v>
      </c>
      <c r="H891" t="s">
        <v>2539</v>
      </c>
      <c r="I891" t="s">
        <v>4074</v>
      </c>
      <c r="J891" t="s">
        <v>3034</v>
      </c>
      <c r="K891" s="1">
        <v>46035.077164351853</v>
      </c>
      <c r="L891">
        <v>1252.46</v>
      </c>
      <c r="M891">
        <v>36.619999999999997</v>
      </c>
      <c r="N891">
        <v>1215.8399999999999</v>
      </c>
      <c r="O891" t="s">
        <v>25</v>
      </c>
      <c r="P891" t="s">
        <v>4075</v>
      </c>
      <c r="Q891" t="s">
        <v>3036</v>
      </c>
      <c r="R891" t="s">
        <v>4977</v>
      </c>
      <c r="S891" t="s">
        <v>4992</v>
      </c>
      <c r="T891" t="s">
        <v>4992</v>
      </c>
    </row>
    <row r="892" spans="1:20" x14ac:dyDescent="0.25">
      <c r="A892" t="s">
        <v>2540</v>
      </c>
      <c r="B892" t="s">
        <v>2541</v>
      </c>
      <c r="C892" s="1">
        <v>46036.128333333334</v>
      </c>
      <c r="D892">
        <v>247.5</v>
      </c>
      <c r="E892" t="s">
        <v>25</v>
      </c>
      <c r="F892" t="s">
        <v>20</v>
      </c>
      <c r="G892" t="s">
        <v>26</v>
      </c>
      <c r="H892" t="s">
        <v>2542</v>
      </c>
      <c r="I892" t="s">
        <v>4076</v>
      </c>
      <c r="J892" t="s">
        <v>3034</v>
      </c>
      <c r="K892" s="1">
        <v>46036.135277777779</v>
      </c>
      <c r="L892">
        <v>247.5</v>
      </c>
      <c r="M892">
        <v>7.48</v>
      </c>
      <c r="N892">
        <v>240.02</v>
      </c>
      <c r="O892" t="s">
        <v>25</v>
      </c>
      <c r="P892" t="s">
        <v>3914</v>
      </c>
      <c r="Q892" t="s">
        <v>3036</v>
      </c>
      <c r="R892" t="s">
        <v>4977</v>
      </c>
      <c r="S892" t="s">
        <v>4992</v>
      </c>
      <c r="T892" t="s">
        <v>4992</v>
      </c>
    </row>
    <row r="893" spans="1:20" x14ac:dyDescent="0.25">
      <c r="A893" t="s">
        <v>2543</v>
      </c>
      <c r="B893" t="s">
        <v>2544</v>
      </c>
      <c r="C893" s="1">
        <v>46036.258877314816</v>
      </c>
      <c r="D893">
        <v>1900.31</v>
      </c>
      <c r="E893" t="s">
        <v>52</v>
      </c>
      <c r="F893" t="s">
        <v>20</v>
      </c>
      <c r="G893" t="s">
        <v>30</v>
      </c>
      <c r="H893" t="s">
        <v>2545</v>
      </c>
      <c r="I893" t="s">
        <v>4077</v>
      </c>
      <c r="J893" t="s">
        <v>3034</v>
      </c>
      <c r="K893" s="1">
        <v>46036.265821759262</v>
      </c>
      <c r="L893">
        <v>1900.31</v>
      </c>
      <c r="M893">
        <v>55.41</v>
      </c>
      <c r="N893">
        <v>1844.9</v>
      </c>
      <c r="O893" t="s">
        <v>52</v>
      </c>
      <c r="P893" t="s">
        <v>3998</v>
      </c>
      <c r="Q893" t="s">
        <v>3036</v>
      </c>
      <c r="R893" t="s">
        <v>4977</v>
      </c>
      <c r="S893" t="s">
        <v>4992</v>
      </c>
      <c r="T893" t="s">
        <v>4992</v>
      </c>
    </row>
    <row r="894" spans="1:20" x14ac:dyDescent="0.25">
      <c r="A894" t="s">
        <v>2546</v>
      </c>
      <c r="B894" t="s">
        <v>2547</v>
      </c>
      <c r="C894" s="1">
        <v>46023.327546296299</v>
      </c>
      <c r="D894">
        <v>2189.75</v>
      </c>
      <c r="E894" t="s">
        <v>19</v>
      </c>
      <c r="F894" t="s">
        <v>20</v>
      </c>
      <c r="G894" t="s">
        <v>21</v>
      </c>
      <c r="H894" t="s">
        <v>2548</v>
      </c>
      <c r="I894" t="s">
        <v>4078</v>
      </c>
      <c r="J894" t="s">
        <v>3034</v>
      </c>
      <c r="K894" s="1">
        <v>46023.334490740737</v>
      </c>
      <c r="L894">
        <v>2189.75</v>
      </c>
      <c r="M894">
        <v>63.8</v>
      </c>
      <c r="N894">
        <v>2125.9499999999998</v>
      </c>
      <c r="O894" t="s">
        <v>19</v>
      </c>
      <c r="P894" t="s">
        <v>3888</v>
      </c>
      <c r="Q894" t="s">
        <v>3036</v>
      </c>
      <c r="R894" t="s">
        <v>4977</v>
      </c>
      <c r="S894" t="s">
        <v>4992</v>
      </c>
      <c r="T894" t="s">
        <v>4992</v>
      </c>
    </row>
    <row r="895" spans="1:20" x14ac:dyDescent="0.25">
      <c r="A895" t="s">
        <v>2549</v>
      </c>
      <c r="B895" t="s">
        <v>2550</v>
      </c>
      <c r="C895" s="1">
        <v>46024.411006944443</v>
      </c>
      <c r="D895">
        <v>979</v>
      </c>
      <c r="E895" t="s">
        <v>25</v>
      </c>
      <c r="F895" t="s">
        <v>20</v>
      </c>
      <c r="G895" t="s">
        <v>26</v>
      </c>
      <c r="H895" t="s">
        <v>2551</v>
      </c>
      <c r="I895" t="s">
        <v>4079</v>
      </c>
      <c r="J895" t="s">
        <v>3034</v>
      </c>
      <c r="K895" s="1">
        <v>46024.417951388888</v>
      </c>
      <c r="L895">
        <v>979</v>
      </c>
      <c r="M895">
        <v>28.69</v>
      </c>
      <c r="N895">
        <v>950.31</v>
      </c>
      <c r="O895" t="s">
        <v>25</v>
      </c>
      <c r="P895" t="s">
        <v>3890</v>
      </c>
      <c r="Q895" t="s">
        <v>3036</v>
      </c>
      <c r="R895" t="s">
        <v>4977</v>
      </c>
      <c r="S895" t="s">
        <v>4992</v>
      </c>
      <c r="T895" t="s">
        <v>4992</v>
      </c>
    </row>
    <row r="896" spans="1:20" x14ac:dyDescent="0.25">
      <c r="A896" t="s">
        <v>2552</v>
      </c>
      <c r="B896" t="s">
        <v>2553</v>
      </c>
      <c r="C896" s="1">
        <v>46025.519444444442</v>
      </c>
      <c r="D896">
        <v>2307.96</v>
      </c>
      <c r="E896" t="s">
        <v>25</v>
      </c>
      <c r="F896" t="s">
        <v>20</v>
      </c>
      <c r="G896" t="s">
        <v>30</v>
      </c>
      <c r="H896" t="s">
        <v>2554</v>
      </c>
      <c r="I896" t="s">
        <v>4080</v>
      </c>
      <c r="J896" t="s">
        <v>3034</v>
      </c>
      <c r="K896" s="1">
        <v>46025.526388888888</v>
      </c>
      <c r="L896">
        <v>2307.96</v>
      </c>
      <c r="M896">
        <v>67.23</v>
      </c>
      <c r="N896">
        <v>2240.73</v>
      </c>
      <c r="O896" t="s">
        <v>25</v>
      </c>
      <c r="P896" t="s">
        <v>3894</v>
      </c>
      <c r="Q896" t="s">
        <v>3036</v>
      </c>
      <c r="R896" t="s">
        <v>4977</v>
      </c>
      <c r="S896" t="s">
        <v>4992</v>
      </c>
      <c r="T896" t="s">
        <v>4992</v>
      </c>
    </row>
    <row r="897" spans="1:20" x14ac:dyDescent="0.25">
      <c r="A897" t="s">
        <v>2558</v>
      </c>
      <c r="B897" t="s">
        <v>2559</v>
      </c>
      <c r="C897" s="1">
        <v>46027.697638888887</v>
      </c>
      <c r="D897">
        <v>698.88</v>
      </c>
      <c r="E897" t="s">
        <v>25</v>
      </c>
      <c r="F897" t="s">
        <v>20</v>
      </c>
      <c r="G897" t="s">
        <v>26</v>
      </c>
      <c r="H897" t="s">
        <v>2560</v>
      </c>
      <c r="I897" t="s">
        <v>4081</v>
      </c>
      <c r="J897" t="s">
        <v>3034</v>
      </c>
      <c r="K897" s="1">
        <v>46027.704583333332</v>
      </c>
      <c r="L897">
        <v>698.88</v>
      </c>
      <c r="M897">
        <v>20.57</v>
      </c>
      <c r="N897">
        <v>678.31</v>
      </c>
      <c r="O897" t="s">
        <v>25</v>
      </c>
      <c r="P897" t="s">
        <v>3923</v>
      </c>
      <c r="Q897" t="s">
        <v>3036</v>
      </c>
      <c r="R897" t="s">
        <v>4977</v>
      </c>
      <c r="S897" t="s">
        <v>4992</v>
      </c>
      <c r="T897" t="s">
        <v>4992</v>
      </c>
    </row>
    <row r="898" spans="1:20" x14ac:dyDescent="0.25">
      <c r="A898" t="s">
        <v>2561</v>
      </c>
      <c r="B898" t="s">
        <v>2562</v>
      </c>
      <c r="C898" s="1">
        <v>46028.80609953704</v>
      </c>
      <c r="D898">
        <v>2457.91</v>
      </c>
      <c r="E898" t="s">
        <v>25</v>
      </c>
      <c r="F898" t="s">
        <v>20</v>
      </c>
      <c r="G898" t="s">
        <v>30</v>
      </c>
      <c r="H898" t="s">
        <v>2563</v>
      </c>
      <c r="I898" t="s">
        <v>4082</v>
      </c>
      <c r="J898" t="s">
        <v>3034</v>
      </c>
      <c r="K898" s="1">
        <v>46028.813043981485</v>
      </c>
      <c r="L898">
        <v>2457.91</v>
      </c>
      <c r="M898">
        <v>71.58</v>
      </c>
      <c r="N898">
        <v>2386.33</v>
      </c>
      <c r="O898" t="s">
        <v>25</v>
      </c>
      <c r="P898" t="s">
        <v>3900</v>
      </c>
      <c r="Q898" t="s">
        <v>3036</v>
      </c>
      <c r="R898" t="s">
        <v>4977</v>
      </c>
      <c r="S898" t="s">
        <v>4992</v>
      </c>
      <c r="T898" t="s">
        <v>4992</v>
      </c>
    </row>
    <row r="899" spans="1:20" x14ac:dyDescent="0.25">
      <c r="A899" t="s">
        <v>2564</v>
      </c>
      <c r="B899" t="s">
        <v>2565</v>
      </c>
      <c r="C899" s="1">
        <v>46029.881631944445</v>
      </c>
      <c r="D899">
        <v>340.94</v>
      </c>
      <c r="E899" t="s">
        <v>25</v>
      </c>
      <c r="F899" t="s">
        <v>20</v>
      </c>
      <c r="G899" t="s">
        <v>21</v>
      </c>
      <c r="H899" t="s">
        <v>2566</v>
      </c>
      <c r="I899" t="s">
        <v>4083</v>
      </c>
      <c r="J899" t="s">
        <v>3034</v>
      </c>
      <c r="K899" s="1">
        <v>46029.88857638889</v>
      </c>
      <c r="L899">
        <v>340.94</v>
      </c>
      <c r="M899">
        <v>10.19</v>
      </c>
      <c r="N899">
        <v>330.75</v>
      </c>
      <c r="O899" t="s">
        <v>25</v>
      </c>
      <c r="P899" t="s">
        <v>3902</v>
      </c>
      <c r="Q899" t="s">
        <v>3036</v>
      </c>
      <c r="R899" t="s">
        <v>4977</v>
      </c>
      <c r="S899" t="s">
        <v>4992</v>
      </c>
      <c r="T899" t="s">
        <v>4992</v>
      </c>
    </row>
    <row r="900" spans="1:20" x14ac:dyDescent="0.25">
      <c r="A900" t="s">
        <v>2567</v>
      </c>
      <c r="B900" t="s">
        <v>2568</v>
      </c>
      <c r="C900" s="1">
        <v>46030.986064814817</v>
      </c>
      <c r="D900">
        <v>360.82</v>
      </c>
      <c r="E900" t="s">
        <v>25</v>
      </c>
      <c r="F900" t="s">
        <v>20</v>
      </c>
      <c r="G900" t="s">
        <v>26</v>
      </c>
      <c r="H900" t="s">
        <v>2569</v>
      </c>
      <c r="I900" t="s">
        <v>4084</v>
      </c>
      <c r="J900" t="s">
        <v>3034</v>
      </c>
      <c r="K900" s="1">
        <v>46030.993009259262</v>
      </c>
      <c r="L900">
        <v>360.82</v>
      </c>
      <c r="M900">
        <v>10.76</v>
      </c>
      <c r="N900">
        <v>350.06</v>
      </c>
      <c r="O900" t="s">
        <v>25</v>
      </c>
      <c r="P900" t="s">
        <v>3904</v>
      </c>
      <c r="Q900" t="s">
        <v>3036</v>
      </c>
      <c r="R900" t="s">
        <v>4977</v>
      </c>
      <c r="S900" t="s">
        <v>4992</v>
      </c>
      <c r="T900" t="s">
        <v>4992</v>
      </c>
    </row>
    <row r="901" spans="1:20" x14ac:dyDescent="0.25">
      <c r="A901" t="s">
        <v>2570</v>
      </c>
      <c r="B901" t="s">
        <v>2571</v>
      </c>
      <c r="C901" s="1">
        <v>46032.069710648146</v>
      </c>
      <c r="D901">
        <v>265.27999999999997</v>
      </c>
      <c r="E901" t="s">
        <v>25</v>
      </c>
      <c r="F901" t="s">
        <v>20</v>
      </c>
      <c r="G901" t="s">
        <v>30</v>
      </c>
      <c r="H901" t="s">
        <v>2572</v>
      </c>
      <c r="I901" t="s">
        <v>4085</v>
      </c>
      <c r="J901" t="s">
        <v>3034</v>
      </c>
      <c r="K901" s="1">
        <v>46032.076655092591</v>
      </c>
      <c r="L901">
        <v>265.27999999999997</v>
      </c>
      <c r="M901">
        <v>7.99</v>
      </c>
      <c r="N901">
        <v>257.29000000000002</v>
      </c>
      <c r="O901" t="s">
        <v>25</v>
      </c>
      <c r="P901" t="s">
        <v>4086</v>
      </c>
      <c r="Q901" t="s">
        <v>3036</v>
      </c>
      <c r="R901" t="s">
        <v>4977</v>
      </c>
      <c r="S901" t="s">
        <v>4992</v>
      </c>
      <c r="T901" t="s">
        <v>4992</v>
      </c>
    </row>
    <row r="902" spans="1:20" x14ac:dyDescent="0.25">
      <c r="A902" t="s">
        <v>2573</v>
      </c>
      <c r="B902" t="s">
        <v>2574</v>
      </c>
      <c r="C902" s="1">
        <v>46033.172175925924</v>
      </c>
      <c r="D902">
        <v>42.48</v>
      </c>
      <c r="E902" t="s">
        <v>52</v>
      </c>
      <c r="F902" t="s">
        <v>20</v>
      </c>
      <c r="G902" t="s">
        <v>21</v>
      </c>
      <c r="H902" t="s">
        <v>2575</v>
      </c>
      <c r="I902" t="s">
        <v>4087</v>
      </c>
      <c r="J902" t="s">
        <v>3034</v>
      </c>
      <c r="K902" s="1">
        <v>46033.179120370369</v>
      </c>
      <c r="L902">
        <v>42.48</v>
      </c>
      <c r="M902">
        <v>1.53</v>
      </c>
      <c r="N902">
        <v>40.950000000000003</v>
      </c>
      <c r="O902" t="s">
        <v>52</v>
      </c>
      <c r="P902" t="s">
        <v>3908</v>
      </c>
      <c r="Q902" t="s">
        <v>3036</v>
      </c>
      <c r="R902" t="s">
        <v>4977</v>
      </c>
      <c r="S902" t="s">
        <v>4992</v>
      </c>
      <c r="T902" t="s">
        <v>4992</v>
      </c>
    </row>
    <row r="903" spans="1:20" x14ac:dyDescent="0.25">
      <c r="A903" t="s">
        <v>2576</v>
      </c>
      <c r="B903" t="s">
        <v>2577</v>
      </c>
      <c r="C903" s="1">
        <v>46033.232372685183</v>
      </c>
      <c r="D903">
        <v>41.73</v>
      </c>
      <c r="E903" t="s">
        <v>19</v>
      </c>
      <c r="F903" t="s">
        <v>92</v>
      </c>
      <c r="G903" t="s">
        <v>26</v>
      </c>
      <c r="H903" t="s">
        <v>2578</v>
      </c>
      <c r="I903" t="s">
        <v>4088</v>
      </c>
      <c r="J903" t="s">
        <v>3034</v>
      </c>
      <c r="K903" s="1">
        <v>46033.239317129628</v>
      </c>
      <c r="L903">
        <v>41.73</v>
      </c>
      <c r="M903">
        <v>1.51</v>
      </c>
      <c r="N903">
        <v>40.22</v>
      </c>
      <c r="O903" t="s">
        <v>19</v>
      </c>
      <c r="P903" t="s">
        <v>3910</v>
      </c>
      <c r="Q903" t="s">
        <v>3036</v>
      </c>
      <c r="R903" t="s">
        <v>4977</v>
      </c>
      <c r="S903" t="s">
        <v>4992</v>
      </c>
      <c r="T903" t="s">
        <v>4992</v>
      </c>
    </row>
    <row r="904" spans="1:20" x14ac:dyDescent="0.25">
      <c r="A904" t="s">
        <v>2576</v>
      </c>
      <c r="B904" t="s">
        <v>2577</v>
      </c>
      <c r="C904" s="1">
        <v>46033.232372685183</v>
      </c>
      <c r="D904">
        <v>41.73</v>
      </c>
      <c r="E904" t="s">
        <v>19</v>
      </c>
      <c r="F904" t="s">
        <v>92</v>
      </c>
      <c r="G904" t="s">
        <v>26</v>
      </c>
      <c r="H904" t="s">
        <v>2578</v>
      </c>
      <c r="I904" t="s">
        <v>4089</v>
      </c>
      <c r="J904" t="s">
        <v>3076</v>
      </c>
      <c r="K904" s="1">
        <v>46034.232372685183</v>
      </c>
      <c r="L904">
        <v>-20.87</v>
      </c>
      <c r="M904">
        <v>0</v>
      </c>
      <c r="N904">
        <v>-20.87</v>
      </c>
      <c r="O904" t="s">
        <v>19</v>
      </c>
      <c r="P904" t="s">
        <v>4090</v>
      </c>
      <c r="Q904" t="s">
        <v>3036</v>
      </c>
      <c r="R904" t="s">
        <v>4977</v>
      </c>
      <c r="S904" t="s">
        <v>4991</v>
      </c>
      <c r="T904" t="s">
        <v>4992</v>
      </c>
    </row>
    <row r="905" spans="1:20" x14ac:dyDescent="0.25">
      <c r="A905" t="s">
        <v>2579</v>
      </c>
      <c r="B905" t="s">
        <v>2580</v>
      </c>
      <c r="C905" s="1">
        <v>46034.327164351853</v>
      </c>
      <c r="D905">
        <v>63.11</v>
      </c>
      <c r="E905" t="s">
        <v>25</v>
      </c>
      <c r="F905" t="s">
        <v>20</v>
      </c>
      <c r="G905" t="s">
        <v>30</v>
      </c>
      <c r="H905" t="s">
        <v>2581</v>
      </c>
      <c r="I905" t="s">
        <v>4091</v>
      </c>
      <c r="J905" t="s">
        <v>3034</v>
      </c>
      <c r="K905" s="1">
        <v>46034.334108796298</v>
      </c>
      <c r="L905">
        <v>63.11</v>
      </c>
      <c r="M905">
        <v>2.13</v>
      </c>
      <c r="N905">
        <v>60.98</v>
      </c>
      <c r="O905" t="s">
        <v>25</v>
      </c>
      <c r="P905" t="s">
        <v>3912</v>
      </c>
      <c r="Q905" t="s">
        <v>3036</v>
      </c>
      <c r="R905" t="s">
        <v>4977</v>
      </c>
      <c r="S905" t="s">
        <v>4992</v>
      </c>
      <c r="T905" t="s">
        <v>4992</v>
      </c>
    </row>
    <row r="906" spans="1:20" x14ac:dyDescent="0.25">
      <c r="A906" t="s">
        <v>2579</v>
      </c>
      <c r="B906" t="s">
        <v>2580</v>
      </c>
      <c r="C906" s="1">
        <v>46034.327164351853</v>
      </c>
      <c r="D906">
        <v>63.11</v>
      </c>
      <c r="E906" t="s">
        <v>25</v>
      </c>
      <c r="F906" t="s">
        <v>20</v>
      </c>
      <c r="G906" t="s">
        <v>30</v>
      </c>
      <c r="H906" t="s">
        <v>2581</v>
      </c>
      <c r="I906" t="s">
        <v>4091</v>
      </c>
      <c r="J906" t="s">
        <v>3034</v>
      </c>
      <c r="K906" s="1">
        <v>46034.334108796298</v>
      </c>
      <c r="L906">
        <v>63.11</v>
      </c>
      <c r="M906">
        <v>2.13</v>
      </c>
      <c r="N906">
        <v>60.98</v>
      </c>
      <c r="O906" t="s">
        <v>25</v>
      </c>
      <c r="P906" t="s">
        <v>3912</v>
      </c>
      <c r="Q906" t="s">
        <v>3036</v>
      </c>
      <c r="R906" t="s">
        <v>4977</v>
      </c>
      <c r="S906" t="s">
        <v>4992</v>
      </c>
      <c r="T906" t="s">
        <v>4992</v>
      </c>
    </row>
    <row r="907" spans="1:20" x14ac:dyDescent="0.25">
      <c r="A907" t="s">
        <v>2582</v>
      </c>
      <c r="B907" t="s">
        <v>2583</v>
      </c>
      <c r="C907" s="1">
        <v>46035.431504629632</v>
      </c>
      <c r="D907">
        <v>1748.28</v>
      </c>
      <c r="E907" t="s">
        <v>25</v>
      </c>
      <c r="F907" t="s">
        <v>20</v>
      </c>
      <c r="G907" t="s">
        <v>21</v>
      </c>
      <c r="H907" t="s">
        <v>2584</v>
      </c>
      <c r="I907" t="s">
        <v>4092</v>
      </c>
      <c r="J907" t="s">
        <v>3034</v>
      </c>
      <c r="K907" s="1">
        <v>46035.438449074078</v>
      </c>
      <c r="L907">
        <v>1748.28</v>
      </c>
      <c r="M907">
        <v>51</v>
      </c>
      <c r="N907">
        <v>1697.28</v>
      </c>
      <c r="O907" t="s">
        <v>25</v>
      </c>
      <c r="P907" t="s">
        <v>3914</v>
      </c>
      <c r="Q907" t="s">
        <v>3036</v>
      </c>
      <c r="R907" t="s">
        <v>4977</v>
      </c>
      <c r="S907" t="s">
        <v>4992</v>
      </c>
      <c r="T907" t="s">
        <v>4992</v>
      </c>
    </row>
    <row r="908" spans="1:20" x14ac:dyDescent="0.25">
      <c r="A908" t="s">
        <v>2585</v>
      </c>
      <c r="B908" t="s">
        <v>2586</v>
      </c>
      <c r="C908" s="1">
        <v>46036.527916666666</v>
      </c>
      <c r="D908">
        <v>594.07000000000005</v>
      </c>
      <c r="E908" t="s">
        <v>25</v>
      </c>
      <c r="F908" t="s">
        <v>20</v>
      </c>
      <c r="G908" t="s">
        <v>26</v>
      </c>
      <c r="H908" t="s">
        <v>2587</v>
      </c>
      <c r="I908" t="s">
        <v>4093</v>
      </c>
      <c r="J908" t="s">
        <v>3034</v>
      </c>
      <c r="K908" s="1">
        <v>46036.534861111111</v>
      </c>
      <c r="L908">
        <v>594.07000000000005</v>
      </c>
      <c r="M908">
        <v>17.53</v>
      </c>
      <c r="N908">
        <v>576.54</v>
      </c>
      <c r="O908" t="s">
        <v>25</v>
      </c>
      <c r="P908" t="s">
        <v>3916</v>
      </c>
      <c r="Q908" t="s">
        <v>3036</v>
      </c>
      <c r="R908" t="s">
        <v>4977</v>
      </c>
      <c r="S908" t="s">
        <v>4992</v>
      </c>
      <c r="T908" t="s">
        <v>4992</v>
      </c>
    </row>
    <row r="909" spans="1:20" x14ac:dyDescent="0.25">
      <c r="A909" t="s">
        <v>2588</v>
      </c>
      <c r="B909" t="s">
        <v>2589</v>
      </c>
      <c r="C909" s="1">
        <v>46023.601018518515</v>
      </c>
      <c r="D909">
        <v>2094.6999999999998</v>
      </c>
      <c r="E909" t="s">
        <v>25</v>
      </c>
      <c r="F909" t="s">
        <v>20</v>
      </c>
      <c r="G909" t="s">
        <v>30</v>
      </c>
      <c r="H909" t="s">
        <v>2590</v>
      </c>
      <c r="I909" t="s">
        <v>4094</v>
      </c>
      <c r="J909" t="s">
        <v>3034</v>
      </c>
      <c r="K909" s="1">
        <v>46023.60796296296</v>
      </c>
      <c r="L909">
        <v>2094.6999999999998</v>
      </c>
      <c r="M909">
        <v>61.05</v>
      </c>
      <c r="N909">
        <v>2033.65</v>
      </c>
      <c r="O909" t="s">
        <v>25</v>
      </c>
      <c r="P909" t="s">
        <v>3918</v>
      </c>
      <c r="Q909" t="s">
        <v>3036</v>
      </c>
      <c r="R909" t="s">
        <v>4977</v>
      </c>
      <c r="S909" t="s">
        <v>4992</v>
      </c>
      <c r="T909" t="s">
        <v>4992</v>
      </c>
    </row>
    <row r="910" spans="1:20" x14ac:dyDescent="0.25">
      <c r="A910" t="s">
        <v>2591</v>
      </c>
      <c r="B910" t="s">
        <v>2592</v>
      </c>
      <c r="C910" s="1">
        <v>46024.697974537034</v>
      </c>
      <c r="D910">
        <v>798.51</v>
      </c>
      <c r="E910" t="s">
        <v>25</v>
      </c>
      <c r="F910" t="s">
        <v>20</v>
      </c>
      <c r="G910" t="s">
        <v>21</v>
      </c>
      <c r="H910" t="s">
        <v>2593</v>
      </c>
      <c r="I910" t="s">
        <v>4095</v>
      </c>
      <c r="J910" t="s">
        <v>3034</v>
      </c>
      <c r="K910" s="1">
        <v>46024.704918981479</v>
      </c>
      <c r="L910">
        <v>798.51</v>
      </c>
      <c r="M910">
        <v>23.46</v>
      </c>
      <c r="N910">
        <v>775.05</v>
      </c>
      <c r="O910" t="s">
        <v>25</v>
      </c>
      <c r="P910" t="s">
        <v>3890</v>
      </c>
      <c r="Q910" t="s">
        <v>3036</v>
      </c>
      <c r="R910" t="s">
        <v>4977</v>
      </c>
      <c r="S910" t="s">
        <v>4992</v>
      </c>
      <c r="T910" t="s">
        <v>4992</v>
      </c>
    </row>
    <row r="911" spans="1:20" x14ac:dyDescent="0.25">
      <c r="A911" t="s">
        <v>2594</v>
      </c>
      <c r="B911" t="s">
        <v>2595</v>
      </c>
      <c r="C911" s="1">
        <v>46025.801712962966</v>
      </c>
      <c r="D911">
        <v>2321.09</v>
      </c>
      <c r="E911" t="s">
        <v>25</v>
      </c>
      <c r="F911" t="s">
        <v>20</v>
      </c>
      <c r="G911" t="s">
        <v>26</v>
      </c>
      <c r="H911" t="s">
        <v>2596</v>
      </c>
      <c r="I911" t="s">
        <v>4096</v>
      </c>
      <c r="J911" t="s">
        <v>3034</v>
      </c>
      <c r="K911" s="1">
        <v>46025.808657407404</v>
      </c>
      <c r="L911">
        <v>2321.09</v>
      </c>
      <c r="M911">
        <v>67.61</v>
      </c>
      <c r="N911">
        <v>2253.48</v>
      </c>
      <c r="O911" t="s">
        <v>25</v>
      </c>
      <c r="P911" t="s">
        <v>3894</v>
      </c>
      <c r="Q911" t="s">
        <v>3036</v>
      </c>
      <c r="R911" t="s">
        <v>4977</v>
      </c>
      <c r="S911" t="s">
        <v>4992</v>
      </c>
      <c r="T911" t="s">
        <v>4992</v>
      </c>
    </row>
    <row r="912" spans="1:20" x14ac:dyDescent="0.25">
      <c r="A912" t="s">
        <v>2597</v>
      </c>
      <c r="B912" t="s">
        <v>2598</v>
      </c>
      <c r="C912" s="1">
        <v>46026.873252314814</v>
      </c>
      <c r="D912">
        <v>2148.77</v>
      </c>
      <c r="E912" t="s">
        <v>25</v>
      </c>
      <c r="F912" t="s">
        <v>20</v>
      </c>
      <c r="G912" t="s">
        <v>30</v>
      </c>
      <c r="H912" t="s">
        <v>2599</v>
      </c>
      <c r="I912" t="s">
        <v>4097</v>
      </c>
      <c r="J912" t="s">
        <v>3034</v>
      </c>
      <c r="K912" s="1">
        <v>46026.880196759259</v>
      </c>
      <c r="L912">
        <v>2148.77</v>
      </c>
      <c r="M912">
        <v>62.61</v>
      </c>
      <c r="N912">
        <v>2086.16</v>
      </c>
      <c r="O912" t="s">
        <v>25</v>
      </c>
      <c r="P912" t="s">
        <v>3896</v>
      </c>
      <c r="Q912" t="s">
        <v>3036</v>
      </c>
      <c r="R912" t="s">
        <v>4977</v>
      </c>
      <c r="S912" t="s">
        <v>4992</v>
      </c>
      <c r="T912" t="s">
        <v>4992</v>
      </c>
    </row>
    <row r="913" spans="1:20" x14ac:dyDescent="0.25">
      <c r="A913" t="s">
        <v>2600</v>
      </c>
      <c r="B913" t="s">
        <v>2601</v>
      </c>
      <c r="C913" s="1">
        <v>46027.973090277781</v>
      </c>
      <c r="D913">
        <v>1021.65</v>
      </c>
      <c r="E913" t="s">
        <v>25</v>
      </c>
      <c r="F913" t="s">
        <v>20</v>
      </c>
      <c r="G913" t="s">
        <v>21</v>
      </c>
      <c r="H913" t="s">
        <v>2602</v>
      </c>
      <c r="I913" t="s">
        <v>4098</v>
      </c>
      <c r="J913" t="s">
        <v>3034</v>
      </c>
      <c r="K913" s="1">
        <v>46027.980034722219</v>
      </c>
      <c r="L913">
        <v>1021.65</v>
      </c>
      <c r="M913">
        <v>29.93</v>
      </c>
      <c r="N913">
        <v>991.72</v>
      </c>
      <c r="O913" t="s">
        <v>25</v>
      </c>
      <c r="P913" t="s">
        <v>3923</v>
      </c>
      <c r="Q913" t="s">
        <v>3036</v>
      </c>
      <c r="R913" t="s">
        <v>4977</v>
      </c>
      <c r="S913" t="s">
        <v>4992</v>
      </c>
      <c r="T913" t="s">
        <v>4992</v>
      </c>
    </row>
    <row r="914" spans="1:20" x14ac:dyDescent="0.25">
      <c r="A914" t="s">
        <v>2603</v>
      </c>
      <c r="B914" t="s">
        <v>2604</v>
      </c>
      <c r="C914" s="1">
        <v>46029.060011574074</v>
      </c>
      <c r="D914">
        <v>2088.59</v>
      </c>
      <c r="E914" t="s">
        <v>52</v>
      </c>
      <c r="F914" t="s">
        <v>20</v>
      </c>
      <c r="G914" t="s">
        <v>26</v>
      </c>
      <c r="H914" t="s">
        <v>2605</v>
      </c>
      <c r="I914" t="s">
        <v>4099</v>
      </c>
      <c r="J914" t="s">
        <v>3034</v>
      </c>
      <c r="K914" s="1">
        <v>46029.06695601852</v>
      </c>
      <c r="L914">
        <v>2088.59</v>
      </c>
      <c r="M914">
        <v>60.87</v>
      </c>
      <c r="N914">
        <v>2027.72</v>
      </c>
      <c r="O914" t="s">
        <v>52</v>
      </c>
      <c r="P914" t="s">
        <v>3925</v>
      </c>
      <c r="Q914" t="s">
        <v>3036</v>
      </c>
      <c r="R914" t="s">
        <v>4977</v>
      </c>
      <c r="S914" t="s">
        <v>4992</v>
      </c>
      <c r="T914" t="s">
        <v>4992</v>
      </c>
    </row>
    <row r="915" spans="1:20" x14ac:dyDescent="0.25">
      <c r="A915" t="s">
        <v>2606</v>
      </c>
      <c r="B915" t="s">
        <v>2607</v>
      </c>
      <c r="C915" s="1">
        <v>46030.182870370372</v>
      </c>
      <c r="D915">
        <v>2103.84</v>
      </c>
      <c r="E915" t="s">
        <v>19</v>
      </c>
      <c r="F915" t="s">
        <v>20</v>
      </c>
      <c r="G915" t="s">
        <v>30</v>
      </c>
      <c r="H915" t="s">
        <v>2608</v>
      </c>
      <c r="I915" t="s">
        <v>4100</v>
      </c>
      <c r="J915" t="s">
        <v>3034</v>
      </c>
      <c r="K915" s="1">
        <v>46030.189814814818</v>
      </c>
      <c r="L915">
        <v>2103.84</v>
      </c>
      <c r="M915">
        <v>61.31</v>
      </c>
      <c r="N915">
        <v>2042.53</v>
      </c>
      <c r="O915" t="s">
        <v>19</v>
      </c>
      <c r="P915" t="s">
        <v>3927</v>
      </c>
      <c r="Q915" t="s">
        <v>3036</v>
      </c>
      <c r="R915" t="s">
        <v>4977</v>
      </c>
      <c r="S915" t="s">
        <v>4992</v>
      </c>
      <c r="T915" t="s">
        <v>4992</v>
      </c>
    </row>
    <row r="916" spans="1:20" x14ac:dyDescent="0.25">
      <c r="A916" t="s">
        <v>2609</v>
      </c>
      <c r="B916" t="s">
        <v>2610</v>
      </c>
      <c r="C916" s="1">
        <v>46030.256562499999</v>
      </c>
      <c r="D916">
        <v>635.57000000000005</v>
      </c>
      <c r="E916" t="s">
        <v>25</v>
      </c>
      <c r="F916" t="s">
        <v>20</v>
      </c>
      <c r="G916" t="s">
        <v>21</v>
      </c>
      <c r="H916" t="s">
        <v>2611</v>
      </c>
      <c r="I916" t="s">
        <v>4101</v>
      </c>
      <c r="J916" t="s">
        <v>3034</v>
      </c>
      <c r="K916" s="1">
        <v>46030.263506944444</v>
      </c>
      <c r="L916">
        <v>635.57000000000005</v>
      </c>
      <c r="M916">
        <v>18.73</v>
      </c>
      <c r="N916">
        <v>616.84</v>
      </c>
      <c r="O916" t="s">
        <v>25</v>
      </c>
      <c r="P916" t="s">
        <v>3904</v>
      </c>
      <c r="Q916" t="s">
        <v>3036</v>
      </c>
      <c r="R916" t="s">
        <v>4977</v>
      </c>
      <c r="S916" t="s">
        <v>4992</v>
      </c>
      <c r="T916" t="s">
        <v>4992</v>
      </c>
    </row>
    <row r="917" spans="1:20" x14ac:dyDescent="0.25">
      <c r="A917" t="s">
        <v>2612</v>
      </c>
      <c r="B917" t="s">
        <v>2613</v>
      </c>
      <c r="C917" s="1">
        <v>46031.330254629633</v>
      </c>
      <c r="D917">
        <v>421.29</v>
      </c>
      <c r="E917" t="s">
        <v>25</v>
      </c>
      <c r="F917" t="s">
        <v>20</v>
      </c>
      <c r="G917" t="s">
        <v>26</v>
      </c>
      <c r="H917" t="s">
        <v>2614</v>
      </c>
      <c r="I917" t="s">
        <v>4102</v>
      </c>
      <c r="J917" t="s">
        <v>3034</v>
      </c>
      <c r="K917" s="1">
        <v>46031.337199074071</v>
      </c>
      <c r="L917">
        <v>421.29</v>
      </c>
      <c r="M917">
        <v>12.52</v>
      </c>
      <c r="N917">
        <v>408.77</v>
      </c>
      <c r="O917" t="s">
        <v>25</v>
      </c>
      <c r="P917" t="s">
        <v>3930</v>
      </c>
      <c r="Q917" t="s">
        <v>3036</v>
      </c>
      <c r="R917" t="s">
        <v>4977</v>
      </c>
      <c r="S917" t="s">
        <v>4992</v>
      </c>
      <c r="T917" t="s">
        <v>4992</v>
      </c>
    </row>
    <row r="918" spans="1:20" x14ac:dyDescent="0.25">
      <c r="A918" t="s">
        <v>2612</v>
      </c>
      <c r="B918" t="s">
        <v>2613</v>
      </c>
      <c r="C918" s="1">
        <v>46031.330254629633</v>
      </c>
      <c r="D918">
        <v>421.29</v>
      </c>
      <c r="E918" t="s">
        <v>25</v>
      </c>
      <c r="F918" t="s">
        <v>20</v>
      </c>
      <c r="G918" t="s">
        <v>26</v>
      </c>
      <c r="H918" t="s">
        <v>2614</v>
      </c>
      <c r="I918" t="s">
        <v>4103</v>
      </c>
      <c r="J918" t="s">
        <v>3034</v>
      </c>
      <c r="K918" s="1">
        <v>46031.337893518517</v>
      </c>
      <c r="L918">
        <v>421.29</v>
      </c>
      <c r="M918">
        <v>12.52</v>
      </c>
      <c r="N918">
        <v>408.77</v>
      </c>
      <c r="O918" t="s">
        <v>25</v>
      </c>
      <c r="P918" t="s">
        <v>3930</v>
      </c>
      <c r="Q918" t="s">
        <v>3036</v>
      </c>
      <c r="R918" t="s">
        <v>4977</v>
      </c>
      <c r="S918" t="s">
        <v>4992</v>
      </c>
      <c r="T918" t="s">
        <v>4992</v>
      </c>
    </row>
    <row r="919" spans="1:20" x14ac:dyDescent="0.25">
      <c r="A919" t="s">
        <v>2615</v>
      </c>
      <c r="B919" t="s">
        <v>2616</v>
      </c>
      <c r="C919" s="1">
        <v>46032.457013888888</v>
      </c>
      <c r="D919">
        <v>2129.65</v>
      </c>
      <c r="E919" t="s">
        <v>25</v>
      </c>
      <c r="F919" t="s">
        <v>20</v>
      </c>
      <c r="G919" t="s">
        <v>30</v>
      </c>
      <c r="H919" t="s">
        <v>2617</v>
      </c>
      <c r="I919" t="s">
        <v>4104</v>
      </c>
      <c r="J919" t="s">
        <v>3034</v>
      </c>
      <c r="K919" s="1">
        <v>46032.463958333334</v>
      </c>
      <c r="L919">
        <v>2129.65</v>
      </c>
      <c r="M919">
        <v>62.06</v>
      </c>
      <c r="N919">
        <v>2067.59</v>
      </c>
      <c r="O919" t="s">
        <v>25</v>
      </c>
      <c r="P919" t="s">
        <v>3932</v>
      </c>
      <c r="Q919" t="s">
        <v>3036</v>
      </c>
      <c r="R919" t="s">
        <v>4977</v>
      </c>
      <c r="S919" t="s">
        <v>4992</v>
      </c>
      <c r="T919" t="s">
        <v>4992</v>
      </c>
    </row>
    <row r="920" spans="1:20" x14ac:dyDescent="0.25">
      <c r="A920" t="s">
        <v>2618</v>
      </c>
      <c r="B920" t="s">
        <v>2619</v>
      </c>
      <c r="C920" s="1">
        <v>46033.522592592592</v>
      </c>
      <c r="D920">
        <v>1845.84</v>
      </c>
      <c r="E920" t="s">
        <v>25</v>
      </c>
      <c r="F920" t="s">
        <v>20</v>
      </c>
      <c r="G920" t="s">
        <v>21</v>
      </c>
      <c r="H920" t="s">
        <v>2620</v>
      </c>
      <c r="I920" t="s">
        <v>4105</v>
      </c>
      <c r="J920" t="s">
        <v>3034</v>
      </c>
      <c r="K920" s="1">
        <v>46033.529537037037</v>
      </c>
      <c r="L920">
        <v>1845.84</v>
      </c>
      <c r="M920">
        <v>53.83</v>
      </c>
      <c r="N920">
        <v>1792.01</v>
      </c>
      <c r="O920" t="s">
        <v>25</v>
      </c>
      <c r="P920" t="s">
        <v>3934</v>
      </c>
      <c r="Q920" t="s">
        <v>3036</v>
      </c>
      <c r="R920" t="s">
        <v>4977</v>
      </c>
      <c r="S920" t="s">
        <v>4992</v>
      </c>
      <c r="T920" t="s">
        <v>4992</v>
      </c>
    </row>
    <row r="921" spans="1:20" x14ac:dyDescent="0.25">
      <c r="A921" t="s">
        <v>2621</v>
      </c>
      <c r="B921" t="s">
        <v>2622</v>
      </c>
      <c r="C921" s="1">
        <v>46034.622384259259</v>
      </c>
      <c r="D921">
        <v>1148.5</v>
      </c>
      <c r="E921" t="s">
        <v>25</v>
      </c>
      <c r="F921" t="s">
        <v>20</v>
      </c>
      <c r="G921" t="s">
        <v>26</v>
      </c>
      <c r="H921" t="s">
        <v>2623</v>
      </c>
      <c r="I921" t="s">
        <v>4106</v>
      </c>
      <c r="J921" t="s">
        <v>3034</v>
      </c>
      <c r="K921" s="1">
        <v>46034.629328703704</v>
      </c>
      <c r="L921">
        <v>1148.5</v>
      </c>
      <c r="M921">
        <v>33.61</v>
      </c>
      <c r="N921">
        <v>1114.8900000000001</v>
      </c>
      <c r="O921" t="s">
        <v>25</v>
      </c>
      <c r="P921" t="s">
        <v>3912</v>
      </c>
      <c r="Q921" t="s">
        <v>3036</v>
      </c>
      <c r="R921" t="s">
        <v>4977</v>
      </c>
      <c r="S921" t="s">
        <v>4992</v>
      </c>
      <c r="T921" t="s">
        <v>4992</v>
      </c>
    </row>
    <row r="922" spans="1:20" x14ac:dyDescent="0.25">
      <c r="A922" t="s">
        <v>2624</v>
      </c>
      <c r="B922" t="s">
        <v>2625</v>
      </c>
      <c r="C922" s="1">
        <v>46035.695462962962</v>
      </c>
      <c r="D922">
        <v>785.53</v>
      </c>
      <c r="E922" t="s">
        <v>25</v>
      </c>
      <c r="F922" t="s">
        <v>20</v>
      </c>
      <c r="G922" t="s">
        <v>30</v>
      </c>
      <c r="H922" t="s">
        <v>2626</v>
      </c>
      <c r="I922" t="s">
        <v>4107</v>
      </c>
      <c r="J922" t="s">
        <v>3034</v>
      </c>
      <c r="K922" s="1">
        <v>46035.702407407407</v>
      </c>
      <c r="L922">
        <v>785.53</v>
      </c>
      <c r="M922">
        <v>23.08</v>
      </c>
      <c r="N922">
        <v>762.45</v>
      </c>
      <c r="O922" t="s">
        <v>25</v>
      </c>
      <c r="P922" t="s">
        <v>3914</v>
      </c>
      <c r="Q922" t="s">
        <v>3036</v>
      </c>
      <c r="R922" t="s">
        <v>4977</v>
      </c>
      <c r="S922" t="s">
        <v>4992</v>
      </c>
      <c r="T922" t="s">
        <v>4992</v>
      </c>
    </row>
    <row r="923" spans="1:20" x14ac:dyDescent="0.25">
      <c r="A923" t="s">
        <v>2624</v>
      </c>
      <c r="B923" t="s">
        <v>2625</v>
      </c>
      <c r="C923" s="1">
        <v>46035.695462962962</v>
      </c>
      <c r="D923">
        <v>785.53</v>
      </c>
      <c r="E923" t="s">
        <v>25</v>
      </c>
      <c r="F923" t="s">
        <v>20</v>
      </c>
      <c r="G923" t="s">
        <v>30</v>
      </c>
      <c r="H923" t="s">
        <v>2626</v>
      </c>
      <c r="I923" t="s">
        <v>4107</v>
      </c>
      <c r="J923" t="s">
        <v>3034</v>
      </c>
      <c r="K923" s="1">
        <v>46035.702407407407</v>
      </c>
      <c r="L923">
        <v>785.53</v>
      </c>
      <c r="M923">
        <v>23.08</v>
      </c>
      <c r="N923">
        <v>762.45</v>
      </c>
      <c r="O923" t="s">
        <v>25</v>
      </c>
      <c r="P923" t="s">
        <v>3914</v>
      </c>
      <c r="Q923" t="s">
        <v>3036</v>
      </c>
      <c r="R923" t="s">
        <v>4977</v>
      </c>
      <c r="S923" t="s">
        <v>4992</v>
      </c>
      <c r="T923" t="s">
        <v>4992</v>
      </c>
    </row>
    <row r="924" spans="1:20" x14ac:dyDescent="0.25">
      <c r="A924" t="s">
        <v>2627</v>
      </c>
      <c r="B924" t="s">
        <v>2628</v>
      </c>
      <c r="C924" s="1">
        <v>46036.807800925926</v>
      </c>
      <c r="D924">
        <v>1896.81</v>
      </c>
      <c r="E924" t="s">
        <v>25</v>
      </c>
      <c r="F924" t="s">
        <v>20</v>
      </c>
      <c r="G924" t="s">
        <v>21</v>
      </c>
      <c r="H924" t="s">
        <v>2629</v>
      </c>
      <c r="I924" t="s">
        <v>4108</v>
      </c>
      <c r="J924" t="s">
        <v>3034</v>
      </c>
      <c r="K924" s="1">
        <v>46036.814745370371</v>
      </c>
      <c r="L924">
        <v>1896.81</v>
      </c>
      <c r="M924">
        <v>55.31</v>
      </c>
      <c r="N924">
        <v>1841.5</v>
      </c>
      <c r="O924" t="s">
        <v>25</v>
      </c>
      <c r="P924" t="s">
        <v>3916</v>
      </c>
      <c r="Q924" t="s">
        <v>3036</v>
      </c>
      <c r="R924" t="s">
        <v>4977</v>
      </c>
      <c r="S924" t="s">
        <v>4992</v>
      </c>
      <c r="T924" t="s">
        <v>4992</v>
      </c>
    </row>
    <row r="925" spans="1:20" x14ac:dyDescent="0.25">
      <c r="A925" t="s">
        <v>2630</v>
      </c>
      <c r="B925" t="s">
        <v>2631</v>
      </c>
      <c r="C925" s="1">
        <v>46023.910497685189</v>
      </c>
      <c r="D925">
        <v>2480.9</v>
      </c>
      <c r="E925" t="s">
        <v>25</v>
      </c>
      <c r="F925" t="s">
        <v>20</v>
      </c>
      <c r="G925" t="s">
        <v>26</v>
      </c>
      <c r="H925" t="s">
        <v>2632</v>
      </c>
      <c r="I925" t="s">
        <v>4109</v>
      </c>
      <c r="J925" t="s">
        <v>3034</v>
      </c>
      <c r="K925" s="1">
        <v>46023.917442129627</v>
      </c>
      <c r="L925">
        <v>2480.9</v>
      </c>
      <c r="M925">
        <v>72.25</v>
      </c>
      <c r="N925">
        <v>2408.65</v>
      </c>
      <c r="O925" t="s">
        <v>25</v>
      </c>
      <c r="P925" t="s">
        <v>3918</v>
      </c>
      <c r="Q925" t="s">
        <v>3036</v>
      </c>
      <c r="R925" t="s">
        <v>4977</v>
      </c>
      <c r="S925" t="s">
        <v>4992</v>
      </c>
      <c r="T925" t="s">
        <v>4992</v>
      </c>
    </row>
    <row r="926" spans="1:20" x14ac:dyDescent="0.25">
      <c r="A926" t="s">
        <v>2633</v>
      </c>
      <c r="B926" t="s">
        <v>2634</v>
      </c>
      <c r="C926" s="1">
        <v>46025.000706018516</v>
      </c>
      <c r="D926">
        <v>2369.58</v>
      </c>
      <c r="E926" t="s">
        <v>52</v>
      </c>
      <c r="F926" t="s">
        <v>20</v>
      </c>
      <c r="G926" t="s">
        <v>30</v>
      </c>
      <c r="H926" t="s">
        <v>2635</v>
      </c>
      <c r="I926" t="s">
        <v>4110</v>
      </c>
      <c r="J926" t="s">
        <v>3034</v>
      </c>
      <c r="K926" s="1">
        <v>46025.007650462961</v>
      </c>
      <c r="L926">
        <v>2369.58</v>
      </c>
      <c r="M926">
        <v>69.02</v>
      </c>
      <c r="N926">
        <v>2300.56</v>
      </c>
      <c r="O926" t="s">
        <v>52</v>
      </c>
      <c r="P926" t="s">
        <v>3941</v>
      </c>
      <c r="Q926" t="s">
        <v>3036</v>
      </c>
      <c r="R926" t="s">
        <v>4977</v>
      </c>
      <c r="S926" t="s">
        <v>4992</v>
      </c>
      <c r="T926" t="s">
        <v>4992</v>
      </c>
    </row>
    <row r="927" spans="1:20" x14ac:dyDescent="0.25">
      <c r="A927" t="s">
        <v>2636</v>
      </c>
      <c r="B927" t="s">
        <v>2637</v>
      </c>
      <c r="C927" s="1">
        <v>46026.098032407404</v>
      </c>
      <c r="D927">
        <v>2348.33</v>
      </c>
      <c r="E927" t="s">
        <v>19</v>
      </c>
      <c r="F927" t="s">
        <v>92</v>
      </c>
      <c r="G927" t="s">
        <v>21</v>
      </c>
      <c r="H927" t="s">
        <v>2638</v>
      </c>
      <c r="I927" t="s">
        <v>4111</v>
      </c>
      <c r="J927" t="s">
        <v>3034</v>
      </c>
      <c r="K927" s="1">
        <v>46026.10497685185</v>
      </c>
      <c r="L927">
        <v>2348.33</v>
      </c>
      <c r="M927">
        <v>68.400000000000006</v>
      </c>
      <c r="N927">
        <v>2279.9299999999998</v>
      </c>
      <c r="O927" t="s">
        <v>19</v>
      </c>
      <c r="P927" t="s">
        <v>3943</v>
      </c>
      <c r="Q927" t="s">
        <v>3036</v>
      </c>
      <c r="R927" t="s">
        <v>4977</v>
      </c>
      <c r="S927" t="s">
        <v>4992</v>
      </c>
      <c r="T927" t="s">
        <v>4992</v>
      </c>
    </row>
    <row r="928" spans="1:20" x14ac:dyDescent="0.25">
      <c r="A928" t="s">
        <v>2636</v>
      </c>
      <c r="B928" t="s">
        <v>2637</v>
      </c>
      <c r="C928" s="1">
        <v>46026.098032407404</v>
      </c>
      <c r="D928">
        <v>2348.33</v>
      </c>
      <c r="E928" t="s">
        <v>19</v>
      </c>
      <c r="F928" t="s">
        <v>92</v>
      </c>
      <c r="G928" t="s">
        <v>21</v>
      </c>
      <c r="H928" t="s">
        <v>2638</v>
      </c>
      <c r="I928" t="s">
        <v>4112</v>
      </c>
      <c r="J928" t="s">
        <v>3076</v>
      </c>
      <c r="K928" s="1">
        <v>46027.098032407404</v>
      </c>
      <c r="L928">
        <v>-1174.17</v>
      </c>
      <c r="M928">
        <v>0</v>
      </c>
      <c r="N928">
        <v>-1174.17</v>
      </c>
      <c r="O928" t="s">
        <v>19</v>
      </c>
      <c r="P928" t="s">
        <v>4113</v>
      </c>
      <c r="Q928" t="s">
        <v>3036</v>
      </c>
      <c r="R928" t="s">
        <v>4977</v>
      </c>
      <c r="S928" t="s">
        <v>4991</v>
      </c>
      <c r="T928" t="s">
        <v>4992</v>
      </c>
    </row>
    <row r="929" spans="1:20" x14ac:dyDescent="0.25">
      <c r="A929" t="s">
        <v>2639</v>
      </c>
      <c r="B929" t="s">
        <v>2640</v>
      </c>
      <c r="C929" s="1">
        <v>46027.177337962959</v>
      </c>
      <c r="D929">
        <v>2330.98</v>
      </c>
      <c r="E929" t="s">
        <v>25</v>
      </c>
      <c r="F929" t="s">
        <v>20</v>
      </c>
      <c r="G929" t="s">
        <v>26</v>
      </c>
      <c r="H929" t="s">
        <v>2641</v>
      </c>
      <c r="I929" t="s">
        <v>4114</v>
      </c>
      <c r="J929" t="s">
        <v>3034</v>
      </c>
      <c r="K929" s="1">
        <v>46027.184282407405</v>
      </c>
      <c r="L929">
        <v>2330.98</v>
      </c>
      <c r="M929">
        <v>67.900000000000006</v>
      </c>
      <c r="N929">
        <v>2263.08</v>
      </c>
      <c r="O929" t="s">
        <v>25</v>
      </c>
      <c r="P929" t="s">
        <v>3896</v>
      </c>
      <c r="Q929" t="s">
        <v>3036</v>
      </c>
      <c r="R929" t="s">
        <v>4977</v>
      </c>
      <c r="S929" t="s">
        <v>4992</v>
      </c>
      <c r="T929" t="s">
        <v>4992</v>
      </c>
    </row>
    <row r="930" spans="1:20" x14ac:dyDescent="0.25">
      <c r="A930" t="s">
        <v>2642</v>
      </c>
      <c r="B930" t="s">
        <v>2643</v>
      </c>
      <c r="C930" s="1">
        <v>46027.282743055555</v>
      </c>
      <c r="D930">
        <v>335.56</v>
      </c>
      <c r="E930" t="s">
        <v>25</v>
      </c>
      <c r="F930" t="s">
        <v>20</v>
      </c>
      <c r="G930" t="s">
        <v>30</v>
      </c>
      <c r="H930" t="s">
        <v>2644</v>
      </c>
      <c r="I930" t="s">
        <v>4115</v>
      </c>
      <c r="J930" t="s">
        <v>3034</v>
      </c>
      <c r="K930" s="1">
        <v>46027.289687500001</v>
      </c>
      <c r="L930">
        <v>335.56</v>
      </c>
      <c r="M930">
        <v>10.029999999999999</v>
      </c>
      <c r="N930">
        <v>325.52999999999997</v>
      </c>
      <c r="O930" t="s">
        <v>25</v>
      </c>
      <c r="P930" t="s">
        <v>3923</v>
      </c>
      <c r="Q930" t="s">
        <v>3036</v>
      </c>
      <c r="R930" t="s">
        <v>4977</v>
      </c>
      <c r="S930" t="s">
        <v>4992</v>
      </c>
      <c r="T930" t="s">
        <v>4992</v>
      </c>
    </row>
    <row r="931" spans="1:20" x14ac:dyDescent="0.25">
      <c r="A931" t="s">
        <v>2645</v>
      </c>
      <c r="B931" t="s">
        <v>2646</v>
      </c>
      <c r="C931" s="1">
        <v>46028.368449074071</v>
      </c>
      <c r="D931">
        <v>1215.7</v>
      </c>
      <c r="E931" t="s">
        <v>25</v>
      </c>
      <c r="F931" t="s">
        <v>20</v>
      </c>
      <c r="G931" t="s">
        <v>21</v>
      </c>
      <c r="H931" t="s">
        <v>2647</v>
      </c>
      <c r="I931" t="s">
        <v>4116</v>
      </c>
      <c r="J931" t="s">
        <v>3034</v>
      </c>
      <c r="K931" s="1">
        <v>46028.375393518516</v>
      </c>
      <c r="L931">
        <v>1215.7</v>
      </c>
      <c r="M931">
        <v>35.56</v>
      </c>
      <c r="N931">
        <v>1180.1400000000001</v>
      </c>
      <c r="O931" t="s">
        <v>25</v>
      </c>
      <c r="P931" t="s">
        <v>3900</v>
      </c>
      <c r="Q931" t="s">
        <v>3036</v>
      </c>
      <c r="R931" t="s">
        <v>4977</v>
      </c>
      <c r="S931" t="s">
        <v>4992</v>
      </c>
      <c r="T931" t="s">
        <v>4992</v>
      </c>
    </row>
    <row r="932" spans="1:20" x14ac:dyDescent="0.25">
      <c r="A932" t="s">
        <v>2648</v>
      </c>
      <c r="B932" t="s">
        <v>2649</v>
      </c>
      <c r="C932" s="1">
        <v>46029.459814814814</v>
      </c>
      <c r="D932">
        <v>1605.02</v>
      </c>
      <c r="E932" t="s">
        <v>25</v>
      </c>
      <c r="F932" t="s">
        <v>20</v>
      </c>
      <c r="G932" t="s">
        <v>26</v>
      </c>
      <c r="H932" t="s">
        <v>2650</v>
      </c>
      <c r="I932" t="s">
        <v>4117</v>
      </c>
      <c r="J932" t="s">
        <v>3034</v>
      </c>
      <c r="K932" s="1">
        <v>46029.46675925926</v>
      </c>
      <c r="L932">
        <v>1605.02</v>
      </c>
      <c r="M932">
        <v>46.85</v>
      </c>
      <c r="N932">
        <v>1558.17</v>
      </c>
      <c r="O932" t="s">
        <v>25</v>
      </c>
      <c r="P932" t="s">
        <v>4118</v>
      </c>
      <c r="Q932" t="s">
        <v>3036</v>
      </c>
      <c r="R932" t="s">
        <v>4977</v>
      </c>
      <c r="S932" t="s">
        <v>4992</v>
      </c>
      <c r="T932" t="s">
        <v>4992</v>
      </c>
    </row>
    <row r="933" spans="1:20" x14ac:dyDescent="0.25">
      <c r="A933" t="s">
        <v>2651</v>
      </c>
      <c r="B933" t="s">
        <v>2652</v>
      </c>
      <c r="C933" s="1">
        <v>46030.52516203704</v>
      </c>
      <c r="D933">
        <v>557.58000000000004</v>
      </c>
      <c r="E933" t="s">
        <v>25</v>
      </c>
      <c r="F933" t="s">
        <v>20</v>
      </c>
      <c r="G933" t="s">
        <v>30</v>
      </c>
      <c r="H933" t="s">
        <v>2653</v>
      </c>
      <c r="I933" t="s">
        <v>4119</v>
      </c>
      <c r="J933" t="s">
        <v>3034</v>
      </c>
      <c r="K933" s="1">
        <v>46030.532106481478</v>
      </c>
      <c r="L933">
        <v>557.58000000000004</v>
      </c>
      <c r="M933">
        <v>16.47</v>
      </c>
      <c r="N933">
        <v>541.11</v>
      </c>
      <c r="O933" t="s">
        <v>25</v>
      </c>
      <c r="P933" t="s">
        <v>3904</v>
      </c>
      <c r="Q933" t="s">
        <v>3036</v>
      </c>
      <c r="R933" t="s">
        <v>4977</v>
      </c>
      <c r="S933" t="s">
        <v>4992</v>
      </c>
      <c r="T933" t="s">
        <v>4992</v>
      </c>
    </row>
    <row r="934" spans="1:20" x14ac:dyDescent="0.25">
      <c r="A934" t="s">
        <v>2654</v>
      </c>
      <c r="B934" t="s">
        <v>2655</v>
      </c>
      <c r="C934" s="1">
        <v>46031.632615740738</v>
      </c>
      <c r="D934">
        <v>2168.86</v>
      </c>
      <c r="E934" t="s">
        <v>25</v>
      </c>
      <c r="F934" t="s">
        <v>20</v>
      </c>
      <c r="G934" t="s">
        <v>21</v>
      </c>
      <c r="H934" t="s">
        <v>2656</v>
      </c>
      <c r="I934" t="s">
        <v>4120</v>
      </c>
      <c r="J934" t="s">
        <v>3034</v>
      </c>
      <c r="K934" s="1">
        <v>46031.639560185184</v>
      </c>
      <c r="L934">
        <v>2168.86</v>
      </c>
      <c r="M934">
        <v>63.2</v>
      </c>
      <c r="N934">
        <v>2105.66</v>
      </c>
      <c r="O934" t="s">
        <v>25</v>
      </c>
      <c r="P934" t="s">
        <v>3930</v>
      </c>
      <c r="Q934" t="s">
        <v>3036</v>
      </c>
      <c r="R934" t="s">
        <v>4977</v>
      </c>
      <c r="S934" t="s">
        <v>4992</v>
      </c>
      <c r="T934" t="s">
        <v>4992</v>
      </c>
    </row>
    <row r="935" spans="1:20" x14ac:dyDescent="0.25">
      <c r="A935" t="s">
        <v>2657</v>
      </c>
      <c r="B935" t="s">
        <v>2658</v>
      </c>
      <c r="C935" s="1">
        <v>46032.72078703704</v>
      </c>
      <c r="D935">
        <v>394.83</v>
      </c>
      <c r="E935" t="s">
        <v>25</v>
      </c>
      <c r="F935" t="s">
        <v>20</v>
      </c>
      <c r="G935" t="s">
        <v>26</v>
      </c>
      <c r="H935" t="s">
        <v>2659</v>
      </c>
      <c r="I935" t="s">
        <v>4121</v>
      </c>
      <c r="J935" t="s">
        <v>3034</v>
      </c>
      <c r="K935" s="1">
        <v>46032.727731481478</v>
      </c>
      <c r="L935">
        <v>394.83</v>
      </c>
      <c r="M935">
        <v>11.75</v>
      </c>
      <c r="N935">
        <v>383.08</v>
      </c>
      <c r="O935" t="s">
        <v>25</v>
      </c>
      <c r="P935" t="s">
        <v>3932</v>
      </c>
      <c r="Q935" t="s">
        <v>3036</v>
      </c>
      <c r="R935" t="s">
        <v>4977</v>
      </c>
      <c r="S935" t="s">
        <v>4992</v>
      </c>
      <c r="T935" t="s">
        <v>4992</v>
      </c>
    </row>
    <row r="936" spans="1:20" x14ac:dyDescent="0.25">
      <c r="A936" t="s">
        <v>2660</v>
      </c>
      <c r="B936" t="s">
        <v>2661</v>
      </c>
      <c r="C936" s="1">
        <v>46033.818402777775</v>
      </c>
      <c r="D936">
        <v>85.57</v>
      </c>
      <c r="E936" t="s">
        <v>25</v>
      </c>
      <c r="F936" t="s">
        <v>20</v>
      </c>
      <c r="G936" t="s">
        <v>30</v>
      </c>
      <c r="H936" t="s">
        <v>2662</v>
      </c>
      <c r="I936" t="s">
        <v>4122</v>
      </c>
      <c r="J936" t="s">
        <v>3034</v>
      </c>
      <c r="K936" s="1">
        <v>46033.82534722222</v>
      </c>
      <c r="L936">
        <v>85.57</v>
      </c>
      <c r="M936">
        <v>2.78</v>
      </c>
      <c r="N936">
        <v>82.79</v>
      </c>
      <c r="O936" t="s">
        <v>25</v>
      </c>
      <c r="P936" t="s">
        <v>3934</v>
      </c>
      <c r="Q936" t="s">
        <v>3036</v>
      </c>
      <c r="R936" t="s">
        <v>4977</v>
      </c>
      <c r="S936" t="s">
        <v>4992</v>
      </c>
      <c r="T936" t="s">
        <v>4992</v>
      </c>
    </row>
    <row r="937" spans="1:20" x14ac:dyDescent="0.25">
      <c r="A937" t="s">
        <v>2663</v>
      </c>
      <c r="B937" t="s">
        <v>2664</v>
      </c>
      <c r="C937" s="1">
        <v>46034.893784722219</v>
      </c>
      <c r="D937">
        <v>113.44</v>
      </c>
      <c r="E937" t="s">
        <v>52</v>
      </c>
      <c r="F937" t="s">
        <v>20</v>
      </c>
      <c r="G937" t="s">
        <v>21</v>
      </c>
      <c r="H937" t="s">
        <v>2665</v>
      </c>
      <c r="I937" t="s">
        <v>4123</v>
      </c>
      <c r="J937" t="s">
        <v>3034</v>
      </c>
      <c r="K937" s="1">
        <v>46034.900729166664</v>
      </c>
      <c r="L937">
        <v>113.44</v>
      </c>
      <c r="M937">
        <v>3.59</v>
      </c>
      <c r="N937">
        <v>109.85</v>
      </c>
      <c r="O937" t="s">
        <v>52</v>
      </c>
      <c r="P937" t="s">
        <v>3954</v>
      </c>
      <c r="Q937" t="s">
        <v>3036</v>
      </c>
      <c r="R937" t="s">
        <v>4977</v>
      </c>
      <c r="S937" t="s">
        <v>4992</v>
      </c>
      <c r="T937" t="s">
        <v>4992</v>
      </c>
    </row>
    <row r="938" spans="1:20" x14ac:dyDescent="0.25">
      <c r="A938" t="s">
        <v>2666</v>
      </c>
      <c r="B938" t="s">
        <v>2667</v>
      </c>
      <c r="C938" s="1">
        <v>46035.998356481483</v>
      </c>
      <c r="D938">
        <v>1001.11</v>
      </c>
      <c r="E938" t="s">
        <v>19</v>
      </c>
      <c r="F938" t="s">
        <v>92</v>
      </c>
      <c r="G938" t="s">
        <v>26</v>
      </c>
      <c r="H938" t="s">
        <v>2668</v>
      </c>
      <c r="I938" t="s">
        <v>4124</v>
      </c>
      <c r="J938" t="s">
        <v>3034</v>
      </c>
      <c r="K938" s="1">
        <v>46036.005300925928</v>
      </c>
      <c r="L938">
        <v>1001.11</v>
      </c>
      <c r="M938">
        <v>29.33</v>
      </c>
      <c r="N938">
        <v>971.78</v>
      </c>
      <c r="O938" t="s">
        <v>19</v>
      </c>
      <c r="P938" t="s">
        <v>4125</v>
      </c>
      <c r="Q938" t="s">
        <v>3036</v>
      </c>
      <c r="R938" t="s">
        <v>4977</v>
      </c>
      <c r="S938" t="s">
        <v>4992</v>
      </c>
      <c r="T938" t="s">
        <v>4992</v>
      </c>
    </row>
    <row r="939" spans="1:20" x14ac:dyDescent="0.25">
      <c r="A939" t="s">
        <v>2666</v>
      </c>
      <c r="B939" t="s">
        <v>2667</v>
      </c>
      <c r="C939" s="1">
        <v>46035.998356481483</v>
      </c>
      <c r="D939">
        <v>1001.11</v>
      </c>
      <c r="E939" t="s">
        <v>19</v>
      </c>
      <c r="F939" t="s">
        <v>92</v>
      </c>
      <c r="G939" t="s">
        <v>26</v>
      </c>
      <c r="H939" t="s">
        <v>2668</v>
      </c>
      <c r="I939" t="s">
        <v>4126</v>
      </c>
      <c r="J939" t="s">
        <v>3076</v>
      </c>
      <c r="K939" s="1">
        <v>46036.998356481483</v>
      </c>
      <c r="L939">
        <v>-500.56</v>
      </c>
      <c r="M939">
        <v>0</v>
      </c>
      <c r="N939">
        <v>-500.56</v>
      </c>
      <c r="O939" t="s">
        <v>19</v>
      </c>
      <c r="P939" t="s">
        <v>4127</v>
      </c>
      <c r="Q939" t="s">
        <v>3036</v>
      </c>
      <c r="R939" t="s">
        <v>4977</v>
      </c>
      <c r="S939" t="s">
        <v>4991</v>
      </c>
      <c r="T939" t="s">
        <v>4992</v>
      </c>
    </row>
    <row r="940" spans="1:20" x14ac:dyDescent="0.25">
      <c r="A940" t="s">
        <v>2672</v>
      </c>
      <c r="B940" t="s">
        <v>2673</v>
      </c>
      <c r="C940" s="1">
        <v>46024.188692129632</v>
      </c>
      <c r="D940">
        <v>1823.75</v>
      </c>
      <c r="E940" t="s">
        <v>25</v>
      </c>
      <c r="F940" t="s">
        <v>20</v>
      </c>
      <c r="G940" t="s">
        <v>21</v>
      </c>
      <c r="H940" t="s">
        <v>2674</v>
      </c>
      <c r="I940" t="s">
        <v>4128</v>
      </c>
      <c r="J940" t="s">
        <v>3034</v>
      </c>
      <c r="K940" s="1">
        <v>46024.195636574077</v>
      </c>
      <c r="L940">
        <v>1823.75</v>
      </c>
      <c r="M940">
        <v>53.19</v>
      </c>
      <c r="N940">
        <v>1770.56</v>
      </c>
      <c r="O940" t="s">
        <v>25</v>
      </c>
      <c r="P940" t="s">
        <v>3918</v>
      </c>
      <c r="Q940" t="s">
        <v>3036</v>
      </c>
      <c r="R940" t="s">
        <v>4977</v>
      </c>
      <c r="S940" t="s">
        <v>4992</v>
      </c>
      <c r="T940" t="s">
        <v>4992</v>
      </c>
    </row>
    <row r="941" spans="1:20" x14ac:dyDescent="0.25">
      <c r="A941" t="s">
        <v>2675</v>
      </c>
      <c r="B941" t="s">
        <v>2676</v>
      </c>
      <c r="C941" s="1">
        <v>46024.281805555554</v>
      </c>
      <c r="D941">
        <v>735.46</v>
      </c>
      <c r="E941" t="s">
        <v>25</v>
      </c>
      <c r="F941" t="s">
        <v>20</v>
      </c>
      <c r="G941" t="s">
        <v>26</v>
      </c>
      <c r="H941" t="s">
        <v>2677</v>
      </c>
      <c r="I941" t="s">
        <v>4129</v>
      </c>
      <c r="J941" t="s">
        <v>3034</v>
      </c>
      <c r="K941" s="1">
        <v>46024.28875</v>
      </c>
      <c r="L941">
        <v>735.46</v>
      </c>
      <c r="M941">
        <v>21.63</v>
      </c>
      <c r="N941">
        <v>713.83</v>
      </c>
      <c r="O941" t="s">
        <v>25</v>
      </c>
      <c r="P941" t="s">
        <v>3890</v>
      </c>
      <c r="Q941" t="s">
        <v>3036</v>
      </c>
      <c r="R941" t="s">
        <v>4977</v>
      </c>
      <c r="S941" t="s">
        <v>4992</v>
      </c>
      <c r="T941" t="s">
        <v>4992</v>
      </c>
    </row>
    <row r="942" spans="1:20" x14ac:dyDescent="0.25">
      <c r="A942" t="s">
        <v>2678</v>
      </c>
      <c r="B942" t="s">
        <v>2679</v>
      </c>
      <c r="C942" s="1">
        <v>46025.379027777781</v>
      </c>
      <c r="D942">
        <v>2045.81</v>
      </c>
      <c r="E942" t="s">
        <v>25</v>
      </c>
      <c r="F942" t="s">
        <v>20</v>
      </c>
      <c r="G942" t="s">
        <v>30</v>
      </c>
      <c r="H942" t="s">
        <v>2680</v>
      </c>
      <c r="I942" t="s">
        <v>4130</v>
      </c>
      <c r="J942" t="s">
        <v>3034</v>
      </c>
      <c r="K942" s="1">
        <v>46025.385972222219</v>
      </c>
      <c r="L942">
        <v>2045.81</v>
      </c>
      <c r="M942">
        <v>59.63</v>
      </c>
      <c r="N942">
        <v>1986.18</v>
      </c>
      <c r="O942" t="s">
        <v>25</v>
      </c>
      <c r="P942" t="s">
        <v>3894</v>
      </c>
      <c r="Q942" t="s">
        <v>3036</v>
      </c>
      <c r="R942" t="s">
        <v>4977</v>
      </c>
      <c r="S942" t="s">
        <v>4992</v>
      </c>
      <c r="T942" t="s">
        <v>4992</v>
      </c>
    </row>
    <row r="943" spans="1:20" x14ac:dyDescent="0.25">
      <c r="A943" t="s">
        <v>2681</v>
      </c>
      <c r="B943" t="s">
        <v>2682</v>
      </c>
      <c r="C943" s="1">
        <v>46026.452592592592</v>
      </c>
      <c r="D943">
        <v>1843.92</v>
      </c>
      <c r="E943" t="s">
        <v>25</v>
      </c>
      <c r="F943" t="s">
        <v>20</v>
      </c>
      <c r="G943" t="s">
        <v>21</v>
      </c>
      <c r="H943" t="s">
        <v>2683</v>
      </c>
      <c r="I943" t="s">
        <v>4131</v>
      </c>
      <c r="J943" t="s">
        <v>3034</v>
      </c>
      <c r="K943" s="1">
        <v>46026.459537037037</v>
      </c>
      <c r="L943">
        <v>1843.92</v>
      </c>
      <c r="M943">
        <v>53.77</v>
      </c>
      <c r="N943">
        <v>1790.15</v>
      </c>
      <c r="O943" t="s">
        <v>25</v>
      </c>
      <c r="P943" t="s">
        <v>4132</v>
      </c>
      <c r="Q943" t="s">
        <v>3036</v>
      </c>
      <c r="R943" t="s">
        <v>4977</v>
      </c>
      <c r="S943" t="s">
        <v>4992</v>
      </c>
      <c r="T943" t="s">
        <v>4992</v>
      </c>
    </row>
    <row r="944" spans="1:20" x14ac:dyDescent="0.25">
      <c r="A944" t="s">
        <v>2687</v>
      </c>
      <c r="B944" t="s">
        <v>2688</v>
      </c>
      <c r="C944" s="1">
        <v>46028.633333333331</v>
      </c>
      <c r="D944">
        <v>993.25</v>
      </c>
      <c r="E944" t="s">
        <v>25</v>
      </c>
      <c r="F944" t="s">
        <v>20</v>
      </c>
      <c r="G944" t="s">
        <v>30</v>
      </c>
      <c r="H944" t="s">
        <v>2689</v>
      </c>
      <c r="I944" t="s">
        <v>4133</v>
      </c>
      <c r="J944" t="s">
        <v>3034</v>
      </c>
      <c r="K944" s="1">
        <v>46028.640277777777</v>
      </c>
      <c r="L944">
        <v>993.25</v>
      </c>
      <c r="M944">
        <v>29.1</v>
      </c>
      <c r="N944">
        <v>964.15</v>
      </c>
      <c r="O944" t="s">
        <v>25</v>
      </c>
      <c r="P944" t="s">
        <v>3900</v>
      </c>
      <c r="Q944" t="s">
        <v>3036</v>
      </c>
      <c r="R944" t="s">
        <v>4977</v>
      </c>
      <c r="S944" t="s">
        <v>4992</v>
      </c>
      <c r="T944" t="s">
        <v>4992</v>
      </c>
    </row>
    <row r="945" spans="1:20" x14ac:dyDescent="0.25">
      <c r="A945" t="s">
        <v>2690</v>
      </c>
      <c r="B945" t="s">
        <v>2691</v>
      </c>
      <c r="C945" s="1">
        <v>46029.743217592593</v>
      </c>
      <c r="D945">
        <v>974.31</v>
      </c>
      <c r="E945" t="s">
        <v>25</v>
      </c>
      <c r="F945" t="s">
        <v>20</v>
      </c>
      <c r="G945" t="s">
        <v>21</v>
      </c>
      <c r="H945" t="s">
        <v>2692</v>
      </c>
      <c r="I945" t="s">
        <v>4134</v>
      </c>
      <c r="J945" t="s">
        <v>3034</v>
      </c>
      <c r="K945" s="1">
        <v>46029.750162037039</v>
      </c>
      <c r="L945">
        <v>974.31</v>
      </c>
      <c r="M945">
        <v>28.55</v>
      </c>
      <c r="N945">
        <v>945.76</v>
      </c>
      <c r="O945" t="s">
        <v>25</v>
      </c>
      <c r="P945" t="s">
        <v>3902</v>
      </c>
      <c r="Q945" t="s">
        <v>3036</v>
      </c>
      <c r="R945" t="s">
        <v>4977</v>
      </c>
      <c r="S945" t="s">
        <v>4992</v>
      </c>
      <c r="T945" t="s">
        <v>4992</v>
      </c>
    </row>
    <row r="946" spans="1:20" x14ac:dyDescent="0.25">
      <c r="A946" t="s">
        <v>2693</v>
      </c>
      <c r="B946" t="s">
        <v>2694</v>
      </c>
      <c r="C946" s="1">
        <v>46030.819571759261</v>
      </c>
      <c r="D946">
        <v>511.71</v>
      </c>
      <c r="E946" t="s">
        <v>52</v>
      </c>
      <c r="F946" t="s">
        <v>20</v>
      </c>
      <c r="G946" t="s">
        <v>26</v>
      </c>
      <c r="H946" t="s">
        <v>2695</v>
      </c>
      <c r="I946" t="s">
        <v>4135</v>
      </c>
      <c r="J946" t="s">
        <v>3034</v>
      </c>
      <c r="K946" s="1">
        <v>46030.826516203706</v>
      </c>
      <c r="L946">
        <v>511.71</v>
      </c>
      <c r="M946">
        <v>15.14</v>
      </c>
      <c r="N946">
        <v>496.57</v>
      </c>
      <c r="O946" t="s">
        <v>52</v>
      </c>
      <c r="P946" t="s">
        <v>3968</v>
      </c>
      <c r="Q946" t="s">
        <v>3036</v>
      </c>
      <c r="R946" t="s">
        <v>4977</v>
      </c>
      <c r="S946" t="s">
        <v>4992</v>
      </c>
      <c r="T946" t="s">
        <v>4992</v>
      </c>
    </row>
    <row r="947" spans="1:20" x14ac:dyDescent="0.25">
      <c r="A947" t="s">
        <v>2696</v>
      </c>
      <c r="B947" t="s">
        <v>2697</v>
      </c>
      <c r="C947" s="1">
        <v>46031.900393518517</v>
      </c>
      <c r="D947">
        <v>1864.24</v>
      </c>
      <c r="E947" t="s">
        <v>19</v>
      </c>
      <c r="F947" t="s">
        <v>20</v>
      </c>
      <c r="G947" t="s">
        <v>30</v>
      </c>
      <c r="H947" t="s">
        <v>2698</v>
      </c>
      <c r="I947" t="s">
        <v>4136</v>
      </c>
      <c r="J947" t="s">
        <v>3034</v>
      </c>
      <c r="K947" s="1">
        <v>46031.907337962963</v>
      </c>
      <c r="L947">
        <v>1864.24</v>
      </c>
      <c r="M947">
        <v>54.36</v>
      </c>
      <c r="N947">
        <v>1809.88</v>
      </c>
      <c r="O947" t="s">
        <v>19</v>
      </c>
      <c r="P947" t="s">
        <v>3970</v>
      </c>
      <c r="Q947" t="s">
        <v>3036</v>
      </c>
      <c r="R947" t="s">
        <v>4977</v>
      </c>
      <c r="S947" t="s">
        <v>4992</v>
      </c>
      <c r="T947" t="s">
        <v>4992</v>
      </c>
    </row>
    <row r="948" spans="1:20" x14ac:dyDescent="0.25">
      <c r="A948" t="s">
        <v>2699</v>
      </c>
      <c r="B948" t="s">
        <v>2700</v>
      </c>
      <c r="C948" s="1">
        <v>46033.006747685184</v>
      </c>
      <c r="D948">
        <v>1935.98</v>
      </c>
      <c r="E948" t="s">
        <v>25</v>
      </c>
      <c r="F948" t="s">
        <v>20</v>
      </c>
      <c r="G948" t="s">
        <v>21</v>
      </c>
      <c r="H948" t="s">
        <v>2701</v>
      </c>
      <c r="I948" t="s">
        <v>4137</v>
      </c>
      <c r="J948" t="s">
        <v>3034</v>
      </c>
      <c r="K948" s="1">
        <v>46033.013692129629</v>
      </c>
      <c r="L948">
        <v>1935.98</v>
      </c>
      <c r="M948">
        <v>56.44</v>
      </c>
      <c r="N948">
        <v>1879.54</v>
      </c>
      <c r="O948" t="s">
        <v>25</v>
      </c>
      <c r="P948" t="s">
        <v>3932</v>
      </c>
      <c r="Q948" t="s">
        <v>3036</v>
      </c>
      <c r="R948" t="s">
        <v>4977</v>
      </c>
      <c r="S948" t="s">
        <v>4992</v>
      </c>
      <c r="T948" t="s">
        <v>4992</v>
      </c>
    </row>
    <row r="949" spans="1:20" x14ac:dyDescent="0.25">
      <c r="A949" t="s">
        <v>2702</v>
      </c>
      <c r="B949" t="s">
        <v>2703</v>
      </c>
      <c r="C949" s="1">
        <v>46034.117546296293</v>
      </c>
      <c r="D949">
        <v>1808.05</v>
      </c>
      <c r="E949" t="s">
        <v>25</v>
      </c>
      <c r="F949" t="s">
        <v>20</v>
      </c>
      <c r="G949" t="s">
        <v>26</v>
      </c>
      <c r="H949" t="s">
        <v>2704</v>
      </c>
      <c r="I949" t="s">
        <v>4138</v>
      </c>
      <c r="J949" t="s">
        <v>3034</v>
      </c>
      <c r="K949" s="1">
        <v>46034.124490740738</v>
      </c>
      <c r="L949">
        <v>1808.05</v>
      </c>
      <c r="M949">
        <v>52.73</v>
      </c>
      <c r="N949">
        <v>1755.32</v>
      </c>
      <c r="O949" t="s">
        <v>25</v>
      </c>
      <c r="P949" t="s">
        <v>4139</v>
      </c>
      <c r="Q949" t="s">
        <v>3036</v>
      </c>
      <c r="R949" t="s">
        <v>4977</v>
      </c>
      <c r="S949" t="s">
        <v>4992</v>
      </c>
      <c r="T949" t="s">
        <v>4992</v>
      </c>
    </row>
    <row r="950" spans="1:20" x14ac:dyDescent="0.25">
      <c r="A950" t="s">
        <v>2705</v>
      </c>
      <c r="B950" t="s">
        <v>2706</v>
      </c>
      <c r="C950" s="1">
        <v>46035.202384259261</v>
      </c>
      <c r="D950">
        <v>2447.9499999999998</v>
      </c>
      <c r="E950" t="s">
        <v>25</v>
      </c>
      <c r="F950" t="s">
        <v>20</v>
      </c>
      <c r="G950" t="s">
        <v>30</v>
      </c>
      <c r="H950" t="s">
        <v>2707</v>
      </c>
      <c r="I950" t="s">
        <v>4140</v>
      </c>
      <c r="J950" t="s">
        <v>3034</v>
      </c>
      <c r="K950" s="1">
        <v>46035.209328703706</v>
      </c>
      <c r="L950">
        <v>2447.9499999999998</v>
      </c>
      <c r="M950">
        <v>71.290000000000006</v>
      </c>
      <c r="N950">
        <v>2376.66</v>
      </c>
      <c r="O950" t="s">
        <v>25</v>
      </c>
      <c r="P950" t="s">
        <v>3912</v>
      </c>
      <c r="Q950" t="s">
        <v>3036</v>
      </c>
      <c r="R950" t="s">
        <v>4977</v>
      </c>
      <c r="S950" t="s">
        <v>4992</v>
      </c>
      <c r="T950" t="s">
        <v>4992</v>
      </c>
    </row>
    <row r="951" spans="1:20" x14ac:dyDescent="0.25">
      <c r="A951" t="s">
        <v>2708</v>
      </c>
      <c r="B951" t="s">
        <v>2709</v>
      </c>
      <c r="C951" s="1">
        <v>46035.286585648151</v>
      </c>
      <c r="D951">
        <v>646.74</v>
      </c>
      <c r="E951" t="s">
        <v>25</v>
      </c>
      <c r="F951" t="s">
        <v>20</v>
      </c>
      <c r="G951" t="s">
        <v>21</v>
      </c>
      <c r="H951" t="s">
        <v>2710</v>
      </c>
      <c r="I951" t="s">
        <v>4141</v>
      </c>
      <c r="J951" t="s">
        <v>3034</v>
      </c>
      <c r="K951" s="1">
        <v>46035.293530092589</v>
      </c>
      <c r="L951">
        <v>646.74</v>
      </c>
      <c r="M951">
        <v>19.059999999999999</v>
      </c>
      <c r="N951">
        <v>627.67999999999995</v>
      </c>
      <c r="O951" t="s">
        <v>25</v>
      </c>
      <c r="P951" t="s">
        <v>3914</v>
      </c>
      <c r="Q951" t="s">
        <v>3036</v>
      </c>
      <c r="R951" t="s">
        <v>4977</v>
      </c>
      <c r="S951" t="s">
        <v>4992</v>
      </c>
      <c r="T951" t="s">
        <v>4992</v>
      </c>
    </row>
    <row r="952" spans="1:20" x14ac:dyDescent="0.25">
      <c r="A952" t="s">
        <v>2711</v>
      </c>
      <c r="B952" t="s">
        <v>2712</v>
      </c>
      <c r="C952" s="1">
        <v>46036.374097222222</v>
      </c>
      <c r="D952">
        <v>1530.95</v>
      </c>
      <c r="E952" t="s">
        <v>25</v>
      </c>
      <c r="F952" t="s">
        <v>20</v>
      </c>
      <c r="G952" t="s">
        <v>26</v>
      </c>
      <c r="H952" t="s">
        <v>2713</v>
      </c>
      <c r="I952" t="s">
        <v>4142</v>
      </c>
      <c r="J952" t="s">
        <v>3034</v>
      </c>
      <c r="K952" s="1">
        <v>46036.381041666667</v>
      </c>
      <c r="L952">
        <v>1530.95</v>
      </c>
      <c r="M952">
        <v>44.7</v>
      </c>
      <c r="N952">
        <v>1486.25</v>
      </c>
      <c r="O952" t="s">
        <v>25</v>
      </c>
      <c r="P952" t="s">
        <v>3916</v>
      </c>
      <c r="Q952" t="s">
        <v>3036</v>
      </c>
      <c r="R952" t="s">
        <v>4977</v>
      </c>
      <c r="S952" t="s">
        <v>4992</v>
      </c>
      <c r="T952" t="s">
        <v>4992</v>
      </c>
    </row>
    <row r="953" spans="1:20" x14ac:dyDescent="0.25">
      <c r="A953" t="s">
        <v>2711</v>
      </c>
      <c r="B953" t="s">
        <v>2712</v>
      </c>
      <c r="C953" s="1">
        <v>46036.374097222222</v>
      </c>
      <c r="D953">
        <v>1530.95</v>
      </c>
      <c r="E953" t="s">
        <v>25</v>
      </c>
      <c r="F953" t="s">
        <v>20</v>
      </c>
      <c r="G953" t="s">
        <v>26</v>
      </c>
      <c r="H953" t="s">
        <v>2713</v>
      </c>
      <c r="I953" t="s">
        <v>4142</v>
      </c>
      <c r="J953" t="s">
        <v>3034</v>
      </c>
      <c r="K953" s="1">
        <v>46036.381041666667</v>
      </c>
      <c r="L953">
        <v>1530.95</v>
      </c>
      <c r="M953">
        <v>44.7</v>
      </c>
      <c r="N953">
        <v>1486.25</v>
      </c>
      <c r="O953" t="s">
        <v>25</v>
      </c>
      <c r="P953" t="s">
        <v>3916</v>
      </c>
      <c r="Q953" t="s">
        <v>3036</v>
      </c>
      <c r="R953" t="s">
        <v>4977</v>
      </c>
      <c r="S953" t="s">
        <v>4992</v>
      </c>
      <c r="T953" t="s">
        <v>4992</v>
      </c>
    </row>
    <row r="954" spans="1:20" x14ac:dyDescent="0.25">
      <c r="A954" t="s">
        <v>2714</v>
      </c>
      <c r="B954" t="s">
        <v>2715</v>
      </c>
      <c r="C954" s="1">
        <v>46023.479583333334</v>
      </c>
      <c r="D954">
        <v>373.69</v>
      </c>
      <c r="E954" t="s">
        <v>25</v>
      </c>
      <c r="F954" t="s">
        <v>20</v>
      </c>
      <c r="G954" t="s">
        <v>30</v>
      </c>
      <c r="H954" t="s">
        <v>2716</v>
      </c>
      <c r="I954" t="s">
        <v>4143</v>
      </c>
      <c r="J954" t="s">
        <v>3034</v>
      </c>
      <c r="K954" s="1">
        <v>46023.486527777779</v>
      </c>
      <c r="L954">
        <v>373.69</v>
      </c>
      <c r="M954">
        <v>11.14</v>
      </c>
      <c r="N954">
        <v>362.55</v>
      </c>
      <c r="O954" t="s">
        <v>25</v>
      </c>
      <c r="P954" t="s">
        <v>3918</v>
      </c>
      <c r="Q954" t="s">
        <v>3036</v>
      </c>
      <c r="R954" t="s">
        <v>4977</v>
      </c>
      <c r="S954" t="s">
        <v>4992</v>
      </c>
      <c r="T954" t="s">
        <v>4992</v>
      </c>
    </row>
    <row r="955" spans="1:20" x14ac:dyDescent="0.25">
      <c r="A955" t="s">
        <v>2717</v>
      </c>
      <c r="B955" t="s">
        <v>2718</v>
      </c>
      <c r="C955" s="1">
        <v>46024.535474537035</v>
      </c>
      <c r="D955">
        <v>2370.52</v>
      </c>
      <c r="E955" t="s">
        <v>25</v>
      </c>
      <c r="F955" t="s">
        <v>429</v>
      </c>
      <c r="G955" t="s">
        <v>21</v>
      </c>
      <c r="H955" t="s">
        <v>2719</v>
      </c>
      <c r="I955" t="s">
        <v>4144</v>
      </c>
      <c r="J955" t="s">
        <v>3034</v>
      </c>
      <c r="K955" s="1">
        <v>46024.54241898148</v>
      </c>
      <c r="L955">
        <v>2370.52</v>
      </c>
      <c r="M955">
        <v>69.05</v>
      </c>
      <c r="N955">
        <v>2301.4699999999998</v>
      </c>
      <c r="O955" t="s">
        <v>25</v>
      </c>
      <c r="P955" t="s">
        <v>3890</v>
      </c>
      <c r="Q955" t="s">
        <v>3036</v>
      </c>
      <c r="R955" t="s">
        <v>4977</v>
      </c>
      <c r="S955" t="s">
        <v>4992</v>
      </c>
      <c r="T955" t="s">
        <v>4992</v>
      </c>
    </row>
    <row r="956" spans="1:20" x14ac:dyDescent="0.25">
      <c r="A956" t="s">
        <v>2717</v>
      </c>
      <c r="B956" t="s">
        <v>2718</v>
      </c>
      <c r="C956" s="1">
        <v>46024.535474537035</v>
      </c>
      <c r="D956">
        <v>2370.52</v>
      </c>
      <c r="E956" t="s">
        <v>25</v>
      </c>
      <c r="F956" t="s">
        <v>429</v>
      </c>
      <c r="G956" t="s">
        <v>21</v>
      </c>
      <c r="H956" t="s">
        <v>2719</v>
      </c>
      <c r="I956" t="s">
        <v>4145</v>
      </c>
      <c r="J956" t="s">
        <v>3076</v>
      </c>
      <c r="K956" s="1">
        <v>46025.535474537035</v>
      </c>
      <c r="L956">
        <v>-2370.52</v>
      </c>
      <c r="M956">
        <v>0</v>
      </c>
      <c r="N956">
        <v>-2370.52</v>
      </c>
      <c r="O956" t="s">
        <v>25</v>
      </c>
      <c r="P956" t="s">
        <v>4146</v>
      </c>
      <c r="Q956" t="s">
        <v>3036</v>
      </c>
      <c r="R956" t="s">
        <v>4977</v>
      </c>
      <c r="S956" t="s">
        <v>4991</v>
      </c>
      <c r="T956" t="s">
        <v>4992</v>
      </c>
    </row>
    <row r="957" spans="1:20" x14ac:dyDescent="0.25">
      <c r="A957" t="s">
        <v>2720</v>
      </c>
      <c r="B957" t="s">
        <v>2721</v>
      </c>
      <c r="C957" s="1">
        <v>46025.667685185188</v>
      </c>
      <c r="D957">
        <v>1460.54</v>
      </c>
      <c r="E957" t="s">
        <v>25</v>
      </c>
      <c r="F957" t="s">
        <v>20</v>
      </c>
      <c r="G957" t="s">
        <v>26</v>
      </c>
      <c r="H957" t="s">
        <v>2722</v>
      </c>
      <c r="I957" t="s">
        <v>4147</v>
      </c>
      <c r="J957" t="s">
        <v>3034</v>
      </c>
      <c r="K957" s="1">
        <v>46025.674629629626</v>
      </c>
      <c r="L957">
        <v>1460.54</v>
      </c>
      <c r="M957">
        <v>42.66</v>
      </c>
      <c r="N957">
        <v>1417.88</v>
      </c>
      <c r="O957" t="s">
        <v>25</v>
      </c>
      <c r="P957" t="s">
        <v>3894</v>
      </c>
      <c r="Q957" t="s">
        <v>3036</v>
      </c>
      <c r="R957" t="s">
        <v>4977</v>
      </c>
      <c r="S957" t="s">
        <v>4992</v>
      </c>
      <c r="T957" t="s">
        <v>4992</v>
      </c>
    </row>
    <row r="958" spans="1:20" x14ac:dyDescent="0.25">
      <c r="A958" t="s">
        <v>2723</v>
      </c>
      <c r="B958" t="s">
        <v>2724</v>
      </c>
      <c r="C958" s="1">
        <v>46026.734293981484</v>
      </c>
      <c r="D958">
        <v>1267.3399999999999</v>
      </c>
      <c r="E958" t="s">
        <v>52</v>
      </c>
      <c r="F958" t="s">
        <v>20</v>
      </c>
      <c r="G958" t="s">
        <v>30</v>
      </c>
      <c r="H958" t="s">
        <v>2725</v>
      </c>
      <c r="I958" t="s">
        <v>4148</v>
      </c>
      <c r="J958" t="s">
        <v>3034</v>
      </c>
      <c r="K958" s="1">
        <v>46026.741238425922</v>
      </c>
      <c r="L958">
        <v>1267.3399999999999</v>
      </c>
      <c r="M958">
        <v>37.049999999999997</v>
      </c>
      <c r="N958">
        <v>1230.29</v>
      </c>
      <c r="O958" t="s">
        <v>52</v>
      </c>
      <c r="P958" t="s">
        <v>3984</v>
      </c>
      <c r="Q958" t="s">
        <v>3036</v>
      </c>
      <c r="R958" t="s">
        <v>4977</v>
      </c>
      <c r="S958" t="s">
        <v>4992</v>
      </c>
      <c r="T958" t="s">
        <v>4992</v>
      </c>
    </row>
    <row r="959" spans="1:20" x14ac:dyDescent="0.25">
      <c r="A959" t="s">
        <v>2726</v>
      </c>
      <c r="B959" t="s">
        <v>2727</v>
      </c>
      <c r="C959" s="1">
        <v>46027.811747685184</v>
      </c>
      <c r="D959">
        <v>2112.7199999999998</v>
      </c>
      <c r="E959" t="s">
        <v>19</v>
      </c>
      <c r="F959" t="s">
        <v>20</v>
      </c>
      <c r="G959" t="s">
        <v>21</v>
      </c>
      <c r="H959" t="s">
        <v>2728</v>
      </c>
      <c r="I959" t="s">
        <v>4149</v>
      </c>
      <c r="J959" t="s">
        <v>3034</v>
      </c>
      <c r="K959" s="1">
        <v>46027.818692129629</v>
      </c>
      <c r="L959">
        <v>2112.7199999999998</v>
      </c>
      <c r="M959">
        <v>61.57</v>
      </c>
      <c r="N959">
        <v>2051.15</v>
      </c>
      <c r="O959" t="s">
        <v>19</v>
      </c>
      <c r="P959" t="s">
        <v>3986</v>
      </c>
      <c r="Q959" t="s">
        <v>3036</v>
      </c>
      <c r="R959" t="s">
        <v>4977</v>
      </c>
      <c r="S959" t="s">
        <v>4992</v>
      </c>
      <c r="T959" t="s">
        <v>4992</v>
      </c>
    </row>
    <row r="960" spans="1:20" x14ac:dyDescent="0.25">
      <c r="A960" t="s">
        <v>2729</v>
      </c>
      <c r="B960" t="s">
        <v>2730</v>
      </c>
      <c r="C960" s="1">
        <v>46028.91265046296</v>
      </c>
      <c r="D960">
        <v>699.68</v>
      </c>
      <c r="E960" t="s">
        <v>25</v>
      </c>
      <c r="F960" t="s">
        <v>20</v>
      </c>
      <c r="G960" t="s">
        <v>26</v>
      </c>
      <c r="H960" t="s">
        <v>2731</v>
      </c>
      <c r="I960" t="s">
        <v>4150</v>
      </c>
      <c r="J960" t="s">
        <v>3034</v>
      </c>
      <c r="K960" s="1">
        <v>46028.919594907406</v>
      </c>
      <c r="L960">
        <v>699.68</v>
      </c>
      <c r="M960">
        <v>20.59</v>
      </c>
      <c r="N960">
        <v>679.09</v>
      </c>
      <c r="O960" t="s">
        <v>25</v>
      </c>
      <c r="P960" t="s">
        <v>3900</v>
      </c>
      <c r="Q960" t="s">
        <v>3036</v>
      </c>
      <c r="R960" t="s">
        <v>4977</v>
      </c>
      <c r="S960" t="s">
        <v>4992</v>
      </c>
      <c r="T960" t="s">
        <v>4992</v>
      </c>
    </row>
    <row r="961" spans="1:20" x14ac:dyDescent="0.25">
      <c r="A961" t="s">
        <v>2729</v>
      </c>
      <c r="B961" t="s">
        <v>2730</v>
      </c>
      <c r="C961" s="1">
        <v>46028.91265046296</v>
      </c>
      <c r="D961">
        <v>699.68</v>
      </c>
      <c r="E961" t="s">
        <v>25</v>
      </c>
      <c r="F961" t="s">
        <v>20</v>
      </c>
      <c r="G961" t="s">
        <v>26</v>
      </c>
      <c r="H961" t="s">
        <v>2731</v>
      </c>
      <c r="I961" t="s">
        <v>4150</v>
      </c>
      <c r="J961" t="s">
        <v>3034</v>
      </c>
      <c r="K961" s="1">
        <v>46028.919594907406</v>
      </c>
      <c r="L961">
        <v>699.68</v>
      </c>
      <c r="M961">
        <v>20.59</v>
      </c>
      <c r="N961">
        <v>679.09</v>
      </c>
      <c r="O961" t="s">
        <v>25</v>
      </c>
      <c r="P961" t="s">
        <v>3900</v>
      </c>
      <c r="Q961" t="s">
        <v>3036</v>
      </c>
      <c r="R961" t="s">
        <v>4977</v>
      </c>
      <c r="S961" t="s">
        <v>4992</v>
      </c>
      <c r="T961" t="s">
        <v>4992</v>
      </c>
    </row>
    <row r="962" spans="1:20" x14ac:dyDescent="0.25">
      <c r="A962" t="s">
        <v>2732</v>
      </c>
      <c r="B962" t="s">
        <v>2733</v>
      </c>
      <c r="C962" s="1">
        <v>46030.016539351855</v>
      </c>
      <c r="D962">
        <v>1213.06</v>
      </c>
      <c r="E962" t="s">
        <v>25</v>
      </c>
      <c r="F962" t="s">
        <v>20</v>
      </c>
      <c r="G962" t="s">
        <v>30</v>
      </c>
      <c r="H962" t="s">
        <v>2734</v>
      </c>
      <c r="I962" t="s">
        <v>4151</v>
      </c>
      <c r="J962" t="s">
        <v>3034</v>
      </c>
      <c r="K962" s="1">
        <v>46030.0234837963</v>
      </c>
      <c r="L962">
        <v>1213.06</v>
      </c>
      <c r="M962">
        <v>35.479999999999997</v>
      </c>
      <c r="N962">
        <v>1177.58</v>
      </c>
      <c r="O962" t="s">
        <v>25</v>
      </c>
      <c r="P962" t="s">
        <v>3902</v>
      </c>
      <c r="Q962" t="s">
        <v>3036</v>
      </c>
      <c r="R962" t="s">
        <v>4977</v>
      </c>
      <c r="S962" t="s">
        <v>4992</v>
      </c>
      <c r="T962" t="s">
        <v>4992</v>
      </c>
    </row>
    <row r="963" spans="1:20" x14ac:dyDescent="0.25">
      <c r="A963" t="s">
        <v>2735</v>
      </c>
      <c r="B963" t="s">
        <v>2736</v>
      </c>
      <c r="C963" s="1">
        <v>46031.089305555557</v>
      </c>
      <c r="D963">
        <v>1255.8</v>
      </c>
      <c r="E963" t="s">
        <v>25</v>
      </c>
      <c r="F963" t="s">
        <v>20</v>
      </c>
      <c r="G963" t="s">
        <v>21</v>
      </c>
      <c r="H963" t="s">
        <v>2737</v>
      </c>
      <c r="I963" t="s">
        <v>4152</v>
      </c>
      <c r="J963" t="s">
        <v>3034</v>
      </c>
      <c r="K963" s="1">
        <v>46031.096250000002</v>
      </c>
      <c r="L963">
        <v>1255.8</v>
      </c>
      <c r="M963">
        <v>36.72</v>
      </c>
      <c r="N963">
        <v>1219.08</v>
      </c>
      <c r="O963" t="s">
        <v>25</v>
      </c>
      <c r="P963" t="s">
        <v>3904</v>
      </c>
      <c r="Q963" t="s">
        <v>3036</v>
      </c>
      <c r="R963" t="s">
        <v>4977</v>
      </c>
      <c r="S963" t="s">
        <v>4992</v>
      </c>
      <c r="T963" t="s">
        <v>4992</v>
      </c>
    </row>
    <row r="964" spans="1:20" x14ac:dyDescent="0.25">
      <c r="A964" t="s">
        <v>2738</v>
      </c>
      <c r="B964" t="s">
        <v>2739</v>
      </c>
      <c r="C964" s="1">
        <v>46032.178263888891</v>
      </c>
      <c r="D964">
        <v>1351.66</v>
      </c>
      <c r="E964" t="s">
        <v>25</v>
      </c>
      <c r="F964" t="s">
        <v>20</v>
      </c>
      <c r="G964" t="s">
        <v>26</v>
      </c>
      <c r="H964" t="s">
        <v>2740</v>
      </c>
      <c r="I964" t="s">
        <v>4153</v>
      </c>
      <c r="J964" t="s">
        <v>3034</v>
      </c>
      <c r="K964" s="1">
        <v>46032.185208333336</v>
      </c>
      <c r="L964">
        <v>1351.66</v>
      </c>
      <c r="M964">
        <v>39.5</v>
      </c>
      <c r="N964">
        <v>1312.16</v>
      </c>
      <c r="O964" t="s">
        <v>25</v>
      </c>
      <c r="P964" t="s">
        <v>3930</v>
      </c>
      <c r="Q964" t="s">
        <v>3036</v>
      </c>
      <c r="R964" t="s">
        <v>4977</v>
      </c>
      <c r="S964" t="s">
        <v>4992</v>
      </c>
      <c r="T964" t="s">
        <v>4992</v>
      </c>
    </row>
    <row r="965" spans="1:20" x14ac:dyDescent="0.25">
      <c r="A965" t="s">
        <v>2741</v>
      </c>
      <c r="B965" t="s">
        <v>2742</v>
      </c>
      <c r="C965" s="1">
        <v>46032.28193287037</v>
      </c>
      <c r="D965">
        <v>1863.47</v>
      </c>
      <c r="E965" t="s">
        <v>25</v>
      </c>
      <c r="F965" t="s">
        <v>20</v>
      </c>
      <c r="G965" t="s">
        <v>30</v>
      </c>
      <c r="H965" t="s">
        <v>2743</v>
      </c>
      <c r="I965" t="s">
        <v>4154</v>
      </c>
      <c r="J965" t="s">
        <v>3034</v>
      </c>
      <c r="K965" s="1">
        <v>46032.288877314815</v>
      </c>
      <c r="L965">
        <v>1863.47</v>
      </c>
      <c r="M965">
        <v>54.34</v>
      </c>
      <c r="N965">
        <v>1809.13</v>
      </c>
      <c r="O965" t="s">
        <v>25</v>
      </c>
      <c r="P965" t="s">
        <v>3932</v>
      </c>
      <c r="Q965" t="s">
        <v>3036</v>
      </c>
      <c r="R965" t="s">
        <v>4977</v>
      </c>
      <c r="S965" t="s">
        <v>4992</v>
      </c>
      <c r="T965" t="s">
        <v>4992</v>
      </c>
    </row>
    <row r="966" spans="1:20" x14ac:dyDescent="0.25">
      <c r="A966" t="s">
        <v>2744</v>
      </c>
      <c r="B966" t="s">
        <v>2745</v>
      </c>
      <c r="C966" s="1">
        <v>46033.394988425927</v>
      </c>
      <c r="D966">
        <v>998.64</v>
      </c>
      <c r="E966" t="s">
        <v>25</v>
      </c>
      <c r="F966" t="s">
        <v>20</v>
      </c>
      <c r="G966" t="s">
        <v>21</v>
      </c>
      <c r="H966" t="s">
        <v>2746</v>
      </c>
      <c r="I966" t="s">
        <v>4155</v>
      </c>
      <c r="J966" t="s">
        <v>3034</v>
      </c>
      <c r="K966" s="1">
        <v>46033.401932870373</v>
      </c>
      <c r="L966">
        <v>998.64</v>
      </c>
      <c r="M966">
        <v>29.26</v>
      </c>
      <c r="N966">
        <v>969.38</v>
      </c>
      <c r="O966" t="s">
        <v>25</v>
      </c>
      <c r="P966" t="s">
        <v>3934</v>
      </c>
      <c r="Q966" t="s">
        <v>3036</v>
      </c>
      <c r="R966" t="s">
        <v>4977</v>
      </c>
      <c r="S966" t="s">
        <v>4992</v>
      </c>
      <c r="T966" t="s">
        <v>4992</v>
      </c>
    </row>
    <row r="967" spans="1:20" x14ac:dyDescent="0.25">
      <c r="A967" t="s">
        <v>2747</v>
      </c>
      <c r="B967" t="s">
        <v>2748</v>
      </c>
      <c r="C967" s="1">
        <v>46034.490208333336</v>
      </c>
      <c r="D967">
        <v>2177.5500000000002</v>
      </c>
      <c r="E967" t="s">
        <v>25</v>
      </c>
      <c r="F967" t="s">
        <v>20</v>
      </c>
      <c r="G967" t="s">
        <v>26</v>
      </c>
      <c r="H967" t="s">
        <v>2749</v>
      </c>
      <c r="I967" t="s">
        <v>4156</v>
      </c>
      <c r="J967" t="s">
        <v>3034</v>
      </c>
      <c r="K967" s="1">
        <v>46034.497152777774</v>
      </c>
      <c r="L967">
        <v>2177.5500000000002</v>
      </c>
      <c r="M967">
        <v>63.45</v>
      </c>
      <c r="N967">
        <v>2114.1</v>
      </c>
      <c r="O967" t="s">
        <v>25</v>
      </c>
      <c r="P967" t="s">
        <v>3912</v>
      </c>
      <c r="Q967" t="s">
        <v>3036</v>
      </c>
      <c r="R967" t="s">
        <v>4977</v>
      </c>
      <c r="S967" t="s">
        <v>4992</v>
      </c>
      <c r="T967" t="s">
        <v>4992</v>
      </c>
    </row>
    <row r="968" spans="1:20" x14ac:dyDescent="0.25">
      <c r="A968" t="s">
        <v>2750</v>
      </c>
      <c r="B968" t="s">
        <v>2751</v>
      </c>
      <c r="C968" s="1">
        <v>46035.579027777778</v>
      </c>
      <c r="D968">
        <v>1129.57</v>
      </c>
      <c r="E968" t="s">
        <v>25</v>
      </c>
      <c r="F968" t="s">
        <v>20</v>
      </c>
      <c r="G968" t="s">
        <v>30</v>
      </c>
      <c r="H968" t="s">
        <v>2752</v>
      </c>
      <c r="I968" t="s">
        <v>4157</v>
      </c>
      <c r="J968" t="s">
        <v>3034</v>
      </c>
      <c r="K968" s="1">
        <v>46035.585972222223</v>
      </c>
      <c r="L968">
        <v>1129.57</v>
      </c>
      <c r="M968">
        <v>33.06</v>
      </c>
      <c r="N968">
        <v>1096.51</v>
      </c>
      <c r="O968" t="s">
        <v>25</v>
      </c>
      <c r="P968" t="s">
        <v>3914</v>
      </c>
      <c r="Q968" t="s">
        <v>3036</v>
      </c>
      <c r="R968" t="s">
        <v>4977</v>
      </c>
      <c r="S968" t="s">
        <v>4992</v>
      </c>
      <c r="T968" t="s">
        <v>4992</v>
      </c>
    </row>
    <row r="969" spans="1:20" x14ac:dyDescent="0.25">
      <c r="A969" t="s">
        <v>2753</v>
      </c>
      <c r="B969" t="s">
        <v>2754</v>
      </c>
      <c r="C969" s="1">
        <v>46036.659641203703</v>
      </c>
      <c r="D969">
        <v>862.82</v>
      </c>
      <c r="E969" t="s">
        <v>52</v>
      </c>
      <c r="F969" t="s">
        <v>20</v>
      </c>
      <c r="G969" t="s">
        <v>21</v>
      </c>
      <c r="H969" t="s">
        <v>2755</v>
      </c>
      <c r="I969" t="s">
        <v>4158</v>
      </c>
      <c r="J969" t="s">
        <v>3034</v>
      </c>
      <c r="K969" s="1">
        <v>46036.666585648149</v>
      </c>
      <c r="L969">
        <v>862.82</v>
      </c>
      <c r="M969">
        <v>25.32</v>
      </c>
      <c r="N969">
        <v>837.5</v>
      </c>
      <c r="O969" t="s">
        <v>52</v>
      </c>
      <c r="P969" t="s">
        <v>3998</v>
      </c>
      <c r="Q969" t="s">
        <v>3036</v>
      </c>
      <c r="R969" t="s">
        <v>4977</v>
      </c>
      <c r="S969" t="s">
        <v>4992</v>
      </c>
      <c r="T969" t="s">
        <v>4992</v>
      </c>
    </row>
    <row r="970" spans="1:20" x14ac:dyDescent="0.25">
      <c r="A970" t="s">
        <v>2756</v>
      </c>
      <c r="B970" t="s">
        <v>2757</v>
      </c>
      <c r="C970" s="1">
        <v>46023.751898148148</v>
      </c>
      <c r="D970">
        <v>796.22</v>
      </c>
      <c r="E970" t="s">
        <v>19</v>
      </c>
      <c r="F970" t="s">
        <v>20</v>
      </c>
      <c r="G970" t="s">
        <v>26</v>
      </c>
      <c r="H970" t="s">
        <v>2758</v>
      </c>
      <c r="I970" t="s">
        <v>4159</v>
      </c>
      <c r="J970" t="s">
        <v>3034</v>
      </c>
      <c r="K970" s="1">
        <v>46023.758842592593</v>
      </c>
      <c r="L970">
        <v>796.22</v>
      </c>
      <c r="M970">
        <v>23.39</v>
      </c>
      <c r="N970">
        <v>772.83</v>
      </c>
      <c r="O970" t="s">
        <v>19</v>
      </c>
      <c r="P970" t="s">
        <v>3888</v>
      </c>
      <c r="Q970" t="s">
        <v>3036</v>
      </c>
      <c r="R970" t="s">
        <v>4977</v>
      </c>
      <c r="S970" t="s">
        <v>4992</v>
      </c>
      <c r="T970" t="s">
        <v>4992</v>
      </c>
    </row>
    <row r="971" spans="1:20" x14ac:dyDescent="0.25">
      <c r="A971" t="s">
        <v>2759</v>
      </c>
      <c r="B971" t="s">
        <v>2760</v>
      </c>
      <c r="C971" s="1">
        <v>46024.823391203703</v>
      </c>
      <c r="D971">
        <v>664.89</v>
      </c>
      <c r="E971" t="s">
        <v>25</v>
      </c>
      <c r="F971" t="s">
        <v>92</v>
      </c>
      <c r="G971" t="s">
        <v>30</v>
      </c>
      <c r="H971" t="s">
        <v>2761</v>
      </c>
      <c r="I971" t="s">
        <v>4160</v>
      </c>
      <c r="J971" t="s">
        <v>3034</v>
      </c>
      <c r="K971" s="1">
        <v>46024.830335648148</v>
      </c>
      <c r="L971">
        <v>664.89</v>
      </c>
      <c r="M971">
        <v>19.579999999999998</v>
      </c>
      <c r="N971">
        <v>645.30999999999995</v>
      </c>
      <c r="O971" t="s">
        <v>25</v>
      </c>
      <c r="P971" t="s">
        <v>3890</v>
      </c>
      <c r="Q971" t="s">
        <v>3036</v>
      </c>
      <c r="R971" t="s">
        <v>4977</v>
      </c>
      <c r="S971" t="s">
        <v>4992</v>
      </c>
      <c r="T971" t="s">
        <v>4992</v>
      </c>
    </row>
    <row r="972" spans="1:20" x14ac:dyDescent="0.25">
      <c r="A972" t="s">
        <v>2759</v>
      </c>
      <c r="B972" t="s">
        <v>2760</v>
      </c>
      <c r="C972" s="1">
        <v>46024.823391203703</v>
      </c>
      <c r="D972">
        <v>664.89</v>
      </c>
      <c r="E972" t="s">
        <v>25</v>
      </c>
      <c r="F972" t="s">
        <v>92</v>
      </c>
      <c r="G972" t="s">
        <v>30</v>
      </c>
      <c r="H972" t="s">
        <v>2761</v>
      </c>
      <c r="I972" t="s">
        <v>4161</v>
      </c>
      <c r="J972" t="s">
        <v>3076</v>
      </c>
      <c r="K972" s="1">
        <v>46025.823391203703</v>
      </c>
      <c r="L972">
        <v>-332.45</v>
      </c>
      <c r="M972">
        <v>0</v>
      </c>
      <c r="N972">
        <v>-332.45</v>
      </c>
      <c r="O972" t="s">
        <v>25</v>
      </c>
      <c r="P972" t="s">
        <v>4162</v>
      </c>
      <c r="Q972" t="s">
        <v>3036</v>
      </c>
      <c r="R972" t="s">
        <v>4977</v>
      </c>
      <c r="S972" t="s">
        <v>4991</v>
      </c>
      <c r="T972" t="s">
        <v>4992</v>
      </c>
    </row>
    <row r="973" spans="1:20" x14ac:dyDescent="0.25">
      <c r="A973" t="s">
        <v>2762</v>
      </c>
      <c r="B973" t="s">
        <v>2763</v>
      </c>
      <c r="C973" s="1">
        <v>46025.936874999999</v>
      </c>
      <c r="D973">
        <v>2126.34</v>
      </c>
      <c r="E973" t="s">
        <v>25</v>
      </c>
      <c r="F973" t="s">
        <v>20</v>
      </c>
      <c r="G973" t="s">
        <v>21</v>
      </c>
      <c r="H973" t="s">
        <v>2764</v>
      </c>
      <c r="I973" t="s">
        <v>4163</v>
      </c>
      <c r="J973" t="s">
        <v>3034</v>
      </c>
      <c r="K973" s="1">
        <v>46025.943819444445</v>
      </c>
      <c r="L973">
        <v>2126.34</v>
      </c>
      <c r="M973">
        <v>61.96</v>
      </c>
      <c r="N973">
        <v>2064.38</v>
      </c>
      <c r="O973" t="s">
        <v>25</v>
      </c>
      <c r="P973" t="s">
        <v>3894</v>
      </c>
      <c r="Q973" t="s">
        <v>3036</v>
      </c>
      <c r="R973" t="s">
        <v>4977</v>
      </c>
      <c r="S973" t="s">
        <v>4992</v>
      </c>
      <c r="T973" t="s">
        <v>4992</v>
      </c>
    </row>
    <row r="974" spans="1:20" x14ac:dyDescent="0.25">
      <c r="A974" t="s">
        <v>2765</v>
      </c>
      <c r="B974" t="s">
        <v>2766</v>
      </c>
      <c r="C974" s="1">
        <v>46027.023252314815</v>
      </c>
      <c r="D974">
        <v>192.78</v>
      </c>
      <c r="E974" t="s">
        <v>25</v>
      </c>
      <c r="F974" t="s">
        <v>20</v>
      </c>
      <c r="G974" t="s">
        <v>26</v>
      </c>
      <c r="H974" t="s">
        <v>2767</v>
      </c>
      <c r="I974" t="s">
        <v>4164</v>
      </c>
      <c r="J974" t="s">
        <v>3034</v>
      </c>
      <c r="K974" s="1">
        <v>46027.03019675926</v>
      </c>
      <c r="L974">
        <v>192.78</v>
      </c>
      <c r="M974">
        <v>5.89</v>
      </c>
      <c r="N974">
        <v>186.89</v>
      </c>
      <c r="O974" t="s">
        <v>25</v>
      </c>
      <c r="P974" t="s">
        <v>3896</v>
      </c>
      <c r="Q974" t="s">
        <v>3036</v>
      </c>
      <c r="R974" t="s">
        <v>4977</v>
      </c>
      <c r="S974" t="s">
        <v>4992</v>
      </c>
      <c r="T974" t="s">
        <v>4992</v>
      </c>
    </row>
    <row r="975" spans="1:20" x14ac:dyDescent="0.25">
      <c r="A975" t="s">
        <v>2768</v>
      </c>
      <c r="B975" t="s">
        <v>2769</v>
      </c>
      <c r="C975" s="1">
        <v>46028.100127314814</v>
      </c>
      <c r="D975">
        <v>1999.24</v>
      </c>
      <c r="E975" t="s">
        <v>25</v>
      </c>
      <c r="F975" t="s">
        <v>20</v>
      </c>
      <c r="G975" t="s">
        <v>30</v>
      </c>
      <c r="H975" t="s">
        <v>2770</v>
      </c>
      <c r="I975" t="s">
        <v>4165</v>
      </c>
      <c r="J975" t="s">
        <v>3034</v>
      </c>
      <c r="K975" s="1">
        <v>46028.107071759259</v>
      </c>
      <c r="L975">
        <v>1999.24</v>
      </c>
      <c r="M975">
        <v>58.28</v>
      </c>
      <c r="N975">
        <v>1940.96</v>
      </c>
      <c r="O975" t="s">
        <v>25</v>
      </c>
      <c r="P975" t="s">
        <v>3923</v>
      </c>
      <c r="Q975" t="s">
        <v>3036</v>
      </c>
      <c r="R975" t="s">
        <v>4977</v>
      </c>
      <c r="S975" t="s">
        <v>4992</v>
      </c>
      <c r="T975" t="s">
        <v>4992</v>
      </c>
    </row>
    <row r="976" spans="1:20" x14ac:dyDescent="0.25">
      <c r="A976" t="s">
        <v>2771</v>
      </c>
      <c r="B976" t="s">
        <v>2772</v>
      </c>
      <c r="C976" s="1">
        <v>46029.197384259256</v>
      </c>
      <c r="D976">
        <v>720.22</v>
      </c>
      <c r="E976" t="s">
        <v>25</v>
      </c>
      <c r="F976" t="s">
        <v>20</v>
      </c>
      <c r="G976" t="s">
        <v>21</v>
      </c>
      <c r="H976" t="s">
        <v>2773</v>
      </c>
      <c r="I976" t="s">
        <v>4166</v>
      </c>
      <c r="J976" t="s">
        <v>3034</v>
      </c>
      <c r="K976" s="1">
        <v>46029.204328703701</v>
      </c>
      <c r="L976">
        <v>720.22</v>
      </c>
      <c r="M976">
        <v>21.19</v>
      </c>
      <c r="N976">
        <v>699.03</v>
      </c>
      <c r="O976" t="s">
        <v>25</v>
      </c>
      <c r="P976" t="s">
        <v>3900</v>
      </c>
      <c r="Q976" t="s">
        <v>3036</v>
      </c>
      <c r="R976" t="s">
        <v>4977</v>
      </c>
      <c r="S976" t="s">
        <v>4992</v>
      </c>
      <c r="T976" t="s">
        <v>4992</v>
      </c>
    </row>
    <row r="977" spans="1:20" x14ac:dyDescent="0.25">
      <c r="A977" t="s">
        <v>2774</v>
      </c>
      <c r="B977" t="s">
        <v>2775</v>
      </c>
      <c r="C977" s="1">
        <v>46029.318124999998</v>
      </c>
      <c r="D977">
        <v>1380.99</v>
      </c>
      <c r="E977" t="s">
        <v>25</v>
      </c>
      <c r="F977" t="s">
        <v>20</v>
      </c>
      <c r="G977" t="s">
        <v>26</v>
      </c>
      <c r="H977" t="s">
        <v>2776</v>
      </c>
      <c r="I977" t="s">
        <v>4167</v>
      </c>
      <c r="J977" t="s">
        <v>3034</v>
      </c>
      <c r="K977" s="1">
        <v>46029.325069444443</v>
      </c>
      <c r="L977">
        <v>1380.99</v>
      </c>
      <c r="M977">
        <v>40.35</v>
      </c>
      <c r="N977">
        <v>1340.64</v>
      </c>
      <c r="O977" t="s">
        <v>25</v>
      </c>
      <c r="P977" t="s">
        <v>3902</v>
      </c>
      <c r="Q977" t="s">
        <v>3036</v>
      </c>
      <c r="R977" t="s">
        <v>4977</v>
      </c>
      <c r="S977" t="s">
        <v>4992</v>
      </c>
      <c r="T977" t="s">
        <v>4992</v>
      </c>
    </row>
    <row r="978" spans="1:20" x14ac:dyDescent="0.25">
      <c r="A978" t="s">
        <v>2777</v>
      </c>
      <c r="B978" t="s">
        <v>2778</v>
      </c>
      <c r="C978" s="1">
        <v>46030.381238425929</v>
      </c>
      <c r="D978">
        <v>1523.19</v>
      </c>
      <c r="E978" t="s">
        <v>25</v>
      </c>
      <c r="F978" t="s">
        <v>20</v>
      </c>
      <c r="G978" t="s">
        <v>30</v>
      </c>
      <c r="H978" t="s">
        <v>2779</v>
      </c>
      <c r="I978" t="s">
        <v>4168</v>
      </c>
      <c r="J978" t="s">
        <v>3034</v>
      </c>
      <c r="K978" s="1">
        <v>46030.388182870367</v>
      </c>
      <c r="L978">
        <v>1523.19</v>
      </c>
      <c r="M978">
        <v>44.47</v>
      </c>
      <c r="N978">
        <v>1478.72</v>
      </c>
      <c r="O978" t="s">
        <v>25</v>
      </c>
      <c r="P978" t="s">
        <v>3904</v>
      </c>
      <c r="Q978" t="s">
        <v>3036</v>
      </c>
      <c r="R978" t="s">
        <v>4977</v>
      </c>
      <c r="S978" t="s">
        <v>4992</v>
      </c>
      <c r="T978" t="s">
        <v>4992</v>
      </c>
    </row>
    <row r="979" spans="1:20" x14ac:dyDescent="0.25">
      <c r="A979" t="s">
        <v>2780</v>
      </c>
      <c r="B979" t="s">
        <v>2781</v>
      </c>
      <c r="C979" s="1">
        <v>46031.489988425928</v>
      </c>
      <c r="D979">
        <v>2028.85</v>
      </c>
      <c r="E979" t="s">
        <v>25</v>
      </c>
      <c r="F979" t="s">
        <v>20</v>
      </c>
      <c r="G979" t="s">
        <v>21</v>
      </c>
      <c r="H979" t="s">
        <v>2782</v>
      </c>
      <c r="I979" t="s">
        <v>4169</v>
      </c>
      <c r="J979" t="s">
        <v>3034</v>
      </c>
      <c r="K979" s="1">
        <v>46031.496932870374</v>
      </c>
      <c r="L979">
        <v>2028.85</v>
      </c>
      <c r="M979">
        <v>59.14</v>
      </c>
      <c r="N979">
        <v>1969.71</v>
      </c>
      <c r="O979" t="s">
        <v>25</v>
      </c>
      <c r="P979" t="s">
        <v>3930</v>
      </c>
      <c r="Q979" t="s">
        <v>3036</v>
      </c>
      <c r="R979" t="s">
        <v>4977</v>
      </c>
      <c r="S979" t="s">
        <v>4992</v>
      </c>
      <c r="T979" t="s">
        <v>4992</v>
      </c>
    </row>
    <row r="980" spans="1:20" x14ac:dyDescent="0.25">
      <c r="A980" t="s">
        <v>2783</v>
      </c>
      <c r="B980" t="s">
        <v>2784</v>
      </c>
      <c r="C980" s="1">
        <v>46032.583981481483</v>
      </c>
      <c r="D980">
        <v>1344.26</v>
      </c>
      <c r="E980" t="s">
        <v>52</v>
      </c>
      <c r="F980" t="s">
        <v>20</v>
      </c>
      <c r="G980" t="s">
        <v>26</v>
      </c>
      <c r="H980" t="s">
        <v>2785</v>
      </c>
      <c r="I980" t="s">
        <v>4170</v>
      </c>
      <c r="J980" t="s">
        <v>3034</v>
      </c>
      <c r="K980" s="1">
        <v>46032.590925925928</v>
      </c>
      <c r="L980">
        <v>1344.26</v>
      </c>
      <c r="M980">
        <v>39.28</v>
      </c>
      <c r="N980">
        <v>1304.98</v>
      </c>
      <c r="O980" t="s">
        <v>52</v>
      </c>
      <c r="P980" t="s">
        <v>4171</v>
      </c>
      <c r="Q980" t="s">
        <v>3036</v>
      </c>
      <c r="R980" t="s">
        <v>4977</v>
      </c>
      <c r="S980" t="s">
        <v>4992</v>
      </c>
      <c r="T980" t="s">
        <v>4992</v>
      </c>
    </row>
    <row r="981" spans="1:20" x14ac:dyDescent="0.25">
      <c r="A981" t="s">
        <v>2786</v>
      </c>
      <c r="B981" t="s">
        <v>2787</v>
      </c>
      <c r="C981" s="1">
        <v>46033.67255787037</v>
      </c>
      <c r="D981">
        <v>1562.2</v>
      </c>
      <c r="E981" t="s">
        <v>19</v>
      </c>
      <c r="F981" t="s">
        <v>20</v>
      </c>
      <c r="G981" t="s">
        <v>30</v>
      </c>
      <c r="H981" t="s">
        <v>2788</v>
      </c>
      <c r="I981" t="s">
        <v>4172</v>
      </c>
      <c r="J981" t="s">
        <v>3034</v>
      </c>
      <c r="K981" s="1">
        <v>46033.679502314815</v>
      </c>
      <c r="L981">
        <v>1562.2</v>
      </c>
      <c r="M981">
        <v>45.6</v>
      </c>
      <c r="N981">
        <v>1516.6</v>
      </c>
      <c r="O981" t="s">
        <v>19</v>
      </c>
      <c r="P981" t="s">
        <v>3910</v>
      </c>
      <c r="Q981" t="s">
        <v>3036</v>
      </c>
      <c r="R981" t="s">
        <v>4977</v>
      </c>
      <c r="S981" t="s">
        <v>4992</v>
      </c>
      <c r="T981" t="s">
        <v>4992</v>
      </c>
    </row>
    <row r="982" spans="1:20" x14ac:dyDescent="0.25">
      <c r="A982" t="s">
        <v>2789</v>
      </c>
      <c r="B982" t="s">
        <v>2790</v>
      </c>
      <c r="C982" s="1">
        <v>46034.762048611112</v>
      </c>
      <c r="D982">
        <v>1660.32</v>
      </c>
      <c r="E982" t="s">
        <v>25</v>
      </c>
      <c r="F982" t="s">
        <v>20</v>
      </c>
      <c r="G982" t="s">
        <v>21</v>
      </c>
      <c r="H982" t="s">
        <v>2791</v>
      </c>
      <c r="I982" t="s">
        <v>4173</v>
      </c>
      <c r="J982" t="s">
        <v>3034</v>
      </c>
      <c r="K982" s="1">
        <v>46034.768993055557</v>
      </c>
      <c r="L982">
        <v>1660.32</v>
      </c>
      <c r="M982">
        <v>48.45</v>
      </c>
      <c r="N982">
        <v>1611.87</v>
      </c>
      <c r="O982" t="s">
        <v>25</v>
      </c>
      <c r="P982" t="s">
        <v>3912</v>
      </c>
      <c r="Q982" t="s">
        <v>3036</v>
      </c>
      <c r="R982" t="s">
        <v>4977</v>
      </c>
      <c r="S982" t="s">
        <v>4992</v>
      </c>
      <c r="T982" t="s">
        <v>4992</v>
      </c>
    </row>
    <row r="983" spans="1:20" x14ac:dyDescent="0.25">
      <c r="A983" t="s">
        <v>2792</v>
      </c>
      <c r="B983" t="s">
        <v>2793</v>
      </c>
      <c r="C983" s="1">
        <v>46035.853981481479</v>
      </c>
      <c r="D983">
        <v>2303.59</v>
      </c>
      <c r="E983" t="s">
        <v>25</v>
      </c>
      <c r="F983" t="s">
        <v>20</v>
      </c>
      <c r="G983" t="s">
        <v>26</v>
      </c>
      <c r="H983" t="s">
        <v>2794</v>
      </c>
      <c r="I983" t="s">
        <v>4174</v>
      </c>
      <c r="J983" t="s">
        <v>3034</v>
      </c>
      <c r="K983" s="1">
        <v>46035.860925925925</v>
      </c>
      <c r="L983">
        <v>2303.59</v>
      </c>
      <c r="M983">
        <v>67.099999999999994</v>
      </c>
      <c r="N983">
        <v>2236.4899999999998</v>
      </c>
      <c r="O983" t="s">
        <v>25</v>
      </c>
      <c r="P983" t="s">
        <v>3914</v>
      </c>
      <c r="Q983" t="s">
        <v>3036</v>
      </c>
      <c r="R983" t="s">
        <v>4977</v>
      </c>
      <c r="S983" t="s">
        <v>4992</v>
      </c>
      <c r="T983" t="s">
        <v>4992</v>
      </c>
    </row>
    <row r="984" spans="1:20" x14ac:dyDescent="0.25">
      <c r="A984" t="s">
        <v>2795</v>
      </c>
      <c r="B984" t="s">
        <v>2796</v>
      </c>
      <c r="C984" s="1">
        <v>46036.94326388889</v>
      </c>
      <c r="D984">
        <v>692.78</v>
      </c>
      <c r="E984" t="s">
        <v>25</v>
      </c>
      <c r="F984" t="s">
        <v>20</v>
      </c>
      <c r="G984" t="s">
        <v>30</v>
      </c>
      <c r="H984" t="s">
        <v>2797</v>
      </c>
      <c r="I984" t="s">
        <v>4175</v>
      </c>
      <c r="J984" t="s">
        <v>3034</v>
      </c>
      <c r="K984" s="1">
        <v>46036.950208333335</v>
      </c>
      <c r="L984">
        <v>692.78</v>
      </c>
      <c r="M984">
        <v>20.39</v>
      </c>
      <c r="N984">
        <v>672.39</v>
      </c>
      <c r="O984" t="s">
        <v>25</v>
      </c>
      <c r="P984" t="s">
        <v>3916</v>
      </c>
      <c r="Q984" t="s">
        <v>3036</v>
      </c>
      <c r="R984" t="s">
        <v>4977</v>
      </c>
      <c r="S984" t="s">
        <v>4992</v>
      </c>
      <c r="T984" t="s">
        <v>4992</v>
      </c>
    </row>
    <row r="985" spans="1:20" x14ac:dyDescent="0.25">
      <c r="A985" t="s">
        <v>2798</v>
      </c>
      <c r="B985" t="s">
        <v>2799</v>
      </c>
      <c r="C985" s="1">
        <v>46024.013865740744</v>
      </c>
      <c r="D985">
        <v>1412.34</v>
      </c>
      <c r="E985" t="s">
        <v>25</v>
      </c>
      <c r="F985" t="s">
        <v>20</v>
      </c>
      <c r="G985" t="s">
        <v>21</v>
      </c>
      <c r="H985" t="s">
        <v>2800</v>
      </c>
      <c r="I985" t="s">
        <v>4176</v>
      </c>
      <c r="J985" t="s">
        <v>3034</v>
      </c>
      <c r="K985" s="1">
        <v>46024.020810185182</v>
      </c>
      <c r="L985">
        <v>1412.34</v>
      </c>
      <c r="M985">
        <v>41.26</v>
      </c>
      <c r="N985">
        <v>1371.08</v>
      </c>
      <c r="O985" t="s">
        <v>25</v>
      </c>
      <c r="P985" t="s">
        <v>3918</v>
      </c>
      <c r="Q985" t="s">
        <v>3036</v>
      </c>
      <c r="R985" t="s">
        <v>4977</v>
      </c>
      <c r="S985" t="s">
        <v>4992</v>
      </c>
      <c r="T985" t="s">
        <v>4992</v>
      </c>
    </row>
    <row r="986" spans="1:20" x14ac:dyDescent="0.25">
      <c r="A986" t="s">
        <v>2801</v>
      </c>
      <c r="B986" t="s">
        <v>2802</v>
      </c>
      <c r="C986" s="1">
        <v>46025.124699074076</v>
      </c>
      <c r="D986">
        <v>1743.14</v>
      </c>
      <c r="E986" t="s">
        <v>25</v>
      </c>
      <c r="F986" t="s">
        <v>20</v>
      </c>
      <c r="G986" t="s">
        <v>26</v>
      </c>
      <c r="H986" t="s">
        <v>2803</v>
      </c>
      <c r="I986" t="s">
        <v>4177</v>
      </c>
      <c r="J986" t="s">
        <v>3034</v>
      </c>
      <c r="K986" s="1">
        <v>46025.131643518522</v>
      </c>
      <c r="L986">
        <v>1743.14</v>
      </c>
      <c r="M986">
        <v>50.85</v>
      </c>
      <c r="N986">
        <v>1692.29</v>
      </c>
      <c r="O986" t="s">
        <v>25</v>
      </c>
      <c r="P986" t="s">
        <v>4178</v>
      </c>
      <c r="Q986" t="s">
        <v>3036</v>
      </c>
      <c r="R986" t="s">
        <v>4977</v>
      </c>
      <c r="S986" t="s">
        <v>4992</v>
      </c>
      <c r="T986" t="s">
        <v>4992</v>
      </c>
    </row>
    <row r="987" spans="1:20" x14ac:dyDescent="0.25">
      <c r="A987" t="s">
        <v>2804</v>
      </c>
      <c r="B987" t="s">
        <v>2805</v>
      </c>
      <c r="C987" s="1">
        <v>46026.218541666669</v>
      </c>
      <c r="D987">
        <v>898.59</v>
      </c>
      <c r="E987" t="s">
        <v>25</v>
      </c>
      <c r="F987" t="s">
        <v>20</v>
      </c>
      <c r="G987" t="s">
        <v>30</v>
      </c>
      <c r="H987" t="s">
        <v>2806</v>
      </c>
      <c r="I987" t="s">
        <v>4179</v>
      </c>
      <c r="J987" t="s">
        <v>3034</v>
      </c>
      <c r="K987" s="1">
        <v>46026.225486111114</v>
      </c>
      <c r="L987">
        <v>898.59</v>
      </c>
      <c r="M987">
        <v>26.36</v>
      </c>
      <c r="N987">
        <v>872.23</v>
      </c>
      <c r="O987" t="s">
        <v>25</v>
      </c>
      <c r="P987" t="s">
        <v>3894</v>
      </c>
      <c r="Q987" t="s">
        <v>3036</v>
      </c>
      <c r="R987" t="s">
        <v>4977</v>
      </c>
      <c r="S987" t="s">
        <v>4992</v>
      </c>
      <c r="T987" t="s">
        <v>4992</v>
      </c>
    </row>
    <row r="988" spans="1:20" x14ac:dyDescent="0.25">
      <c r="A988" t="s">
        <v>2807</v>
      </c>
      <c r="B988" t="s">
        <v>2808</v>
      </c>
      <c r="C988" s="1">
        <v>46026.305266203701</v>
      </c>
      <c r="D988">
        <v>1025.76</v>
      </c>
      <c r="E988" t="s">
        <v>25</v>
      </c>
      <c r="F988" t="s">
        <v>20</v>
      </c>
      <c r="G988" t="s">
        <v>21</v>
      </c>
      <c r="H988" t="s">
        <v>2809</v>
      </c>
      <c r="I988" t="s">
        <v>4180</v>
      </c>
      <c r="J988" t="s">
        <v>3034</v>
      </c>
      <c r="K988" s="1">
        <v>46026.312210648146</v>
      </c>
      <c r="L988">
        <v>1025.76</v>
      </c>
      <c r="M988">
        <v>30.42</v>
      </c>
      <c r="N988">
        <v>995.34</v>
      </c>
      <c r="O988" t="s">
        <v>25</v>
      </c>
      <c r="P988" t="s">
        <v>3896</v>
      </c>
      <c r="Q988" t="s">
        <v>3036</v>
      </c>
      <c r="R988" t="s">
        <v>4977</v>
      </c>
      <c r="S988" t="s">
        <v>4992</v>
      </c>
      <c r="T988" t="s">
        <v>4992</v>
      </c>
    </row>
    <row r="989" spans="1:20" x14ac:dyDescent="0.25">
      <c r="A989" t="s">
        <v>2810</v>
      </c>
      <c r="B989" t="s">
        <v>2811</v>
      </c>
      <c r="C989" s="1">
        <v>46027.397083333337</v>
      </c>
      <c r="D989">
        <v>701.47</v>
      </c>
      <c r="E989" t="s">
        <v>25</v>
      </c>
      <c r="F989" t="s">
        <v>429</v>
      </c>
      <c r="G989" t="s">
        <v>26</v>
      </c>
      <c r="H989" t="s">
        <v>2812</v>
      </c>
      <c r="I989" t="s">
        <v>4181</v>
      </c>
      <c r="J989" t="s">
        <v>3034</v>
      </c>
      <c r="K989" s="1">
        <v>46027.404027777775</v>
      </c>
      <c r="L989">
        <v>701.47</v>
      </c>
      <c r="M989">
        <v>20.64</v>
      </c>
      <c r="N989">
        <v>680.83</v>
      </c>
      <c r="O989" t="s">
        <v>25</v>
      </c>
      <c r="P989" t="s">
        <v>3923</v>
      </c>
      <c r="Q989" t="s">
        <v>3036</v>
      </c>
      <c r="R989" t="s">
        <v>4977</v>
      </c>
      <c r="S989" t="s">
        <v>4992</v>
      </c>
      <c r="T989" t="s">
        <v>4992</v>
      </c>
    </row>
    <row r="990" spans="1:20" x14ac:dyDescent="0.25">
      <c r="A990" t="s">
        <v>2810</v>
      </c>
      <c r="B990" t="s">
        <v>2811</v>
      </c>
      <c r="C990" s="1">
        <v>46027.397083333337</v>
      </c>
      <c r="D990">
        <v>701.47</v>
      </c>
      <c r="E990" t="s">
        <v>25</v>
      </c>
      <c r="F990" t="s">
        <v>429</v>
      </c>
      <c r="G990" t="s">
        <v>26</v>
      </c>
      <c r="H990" t="s">
        <v>2812</v>
      </c>
      <c r="I990" t="s">
        <v>4182</v>
      </c>
      <c r="J990" t="s">
        <v>3076</v>
      </c>
      <c r="K990" s="1">
        <v>46028.397083333337</v>
      </c>
      <c r="L990">
        <v>-701.47</v>
      </c>
      <c r="M990">
        <v>0</v>
      </c>
      <c r="N990">
        <v>-701.47</v>
      </c>
      <c r="O990" t="s">
        <v>25</v>
      </c>
      <c r="P990" t="s">
        <v>4183</v>
      </c>
      <c r="Q990" t="s">
        <v>3036</v>
      </c>
      <c r="R990" t="s">
        <v>4977</v>
      </c>
      <c r="S990" t="s">
        <v>4991</v>
      </c>
      <c r="T990" t="s">
        <v>4992</v>
      </c>
    </row>
    <row r="991" spans="1:20" x14ac:dyDescent="0.25">
      <c r="A991" t="s">
        <v>2813</v>
      </c>
      <c r="B991" t="s">
        <v>2814</v>
      </c>
      <c r="C991" s="1">
        <v>46028.502847222226</v>
      </c>
      <c r="D991">
        <v>1223</v>
      </c>
      <c r="E991" t="s">
        <v>52</v>
      </c>
      <c r="F991" t="s">
        <v>20</v>
      </c>
      <c r="G991" t="s">
        <v>30</v>
      </c>
      <c r="H991" t="s">
        <v>2815</v>
      </c>
      <c r="I991" t="s">
        <v>4184</v>
      </c>
      <c r="J991" t="s">
        <v>3034</v>
      </c>
      <c r="K991" s="1">
        <v>46028.509791666664</v>
      </c>
      <c r="L991">
        <v>1223</v>
      </c>
      <c r="M991">
        <v>35.770000000000003</v>
      </c>
      <c r="N991">
        <v>1187.23</v>
      </c>
      <c r="O991" t="s">
        <v>52</v>
      </c>
      <c r="P991" t="s">
        <v>3925</v>
      </c>
      <c r="Q991" t="s">
        <v>3036</v>
      </c>
      <c r="R991" t="s">
        <v>4977</v>
      </c>
      <c r="S991" t="s">
        <v>4992</v>
      </c>
      <c r="T991" t="s">
        <v>4992</v>
      </c>
    </row>
    <row r="992" spans="1:20" x14ac:dyDescent="0.25">
      <c r="A992" t="s">
        <v>2816</v>
      </c>
      <c r="B992" t="s">
        <v>2817</v>
      </c>
      <c r="C992" s="1">
        <v>46029.584490740737</v>
      </c>
      <c r="D992">
        <v>673.63</v>
      </c>
      <c r="E992" t="s">
        <v>19</v>
      </c>
      <c r="F992" t="s">
        <v>20</v>
      </c>
      <c r="G992" t="s">
        <v>21</v>
      </c>
      <c r="H992" t="s">
        <v>2818</v>
      </c>
      <c r="I992" t="s">
        <v>4185</v>
      </c>
      <c r="J992" t="s">
        <v>3034</v>
      </c>
      <c r="K992" s="1">
        <v>46029.591435185182</v>
      </c>
      <c r="L992">
        <v>673.63</v>
      </c>
      <c r="M992">
        <v>19.84</v>
      </c>
      <c r="N992">
        <v>653.79</v>
      </c>
      <c r="O992" t="s">
        <v>19</v>
      </c>
      <c r="P992" t="s">
        <v>3927</v>
      </c>
      <c r="Q992" t="s">
        <v>3036</v>
      </c>
      <c r="R992" t="s">
        <v>4977</v>
      </c>
      <c r="S992" t="s">
        <v>4992</v>
      </c>
      <c r="T992" t="s">
        <v>4992</v>
      </c>
    </row>
    <row r="993" spans="1:20" x14ac:dyDescent="0.25">
      <c r="A993" t="s">
        <v>2819</v>
      </c>
      <c r="B993" t="s">
        <v>2820</v>
      </c>
      <c r="C993" s="1">
        <v>46030.683136574073</v>
      </c>
      <c r="D993">
        <v>1154.96</v>
      </c>
      <c r="E993" t="s">
        <v>25</v>
      </c>
      <c r="F993" t="s">
        <v>20</v>
      </c>
      <c r="G993" t="s">
        <v>26</v>
      </c>
      <c r="H993" t="s">
        <v>2821</v>
      </c>
      <c r="I993" t="s">
        <v>4186</v>
      </c>
      <c r="J993" t="s">
        <v>3034</v>
      </c>
      <c r="K993" s="1">
        <v>46030.690081018518</v>
      </c>
      <c r="L993">
        <v>1154.96</v>
      </c>
      <c r="M993">
        <v>33.79</v>
      </c>
      <c r="N993">
        <v>1121.17</v>
      </c>
      <c r="O993" t="s">
        <v>25</v>
      </c>
      <c r="P993" t="s">
        <v>3904</v>
      </c>
      <c r="Q993" t="s">
        <v>3036</v>
      </c>
      <c r="R993" t="s">
        <v>4977</v>
      </c>
      <c r="S993" t="s">
        <v>4992</v>
      </c>
      <c r="T993" t="s">
        <v>4992</v>
      </c>
    </row>
    <row r="994" spans="1:20" x14ac:dyDescent="0.25">
      <c r="A994" t="s">
        <v>2822</v>
      </c>
      <c r="B994" t="s">
        <v>2823</v>
      </c>
      <c r="C994" s="1">
        <v>46031.774884259263</v>
      </c>
      <c r="D994">
        <v>221.56</v>
      </c>
      <c r="E994" t="s">
        <v>25</v>
      </c>
      <c r="F994" t="s">
        <v>20</v>
      </c>
      <c r="G994" t="s">
        <v>30</v>
      </c>
      <c r="H994" t="s">
        <v>2824</v>
      </c>
      <c r="I994" t="s">
        <v>4187</v>
      </c>
      <c r="J994" t="s">
        <v>3034</v>
      </c>
      <c r="K994" s="1">
        <v>46031.781828703701</v>
      </c>
      <c r="L994">
        <v>221.56</v>
      </c>
      <c r="M994">
        <v>6.73</v>
      </c>
      <c r="N994">
        <v>214.83</v>
      </c>
      <c r="O994" t="s">
        <v>25</v>
      </c>
      <c r="P994" t="s">
        <v>3930</v>
      </c>
      <c r="Q994" t="s">
        <v>3036</v>
      </c>
      <c r="R994" t="s">
        <v>4977</v>
      </c>
      <c r="S994" t="s">
        <v>4992</v>
      </c>
      <c r="T994" t="s">
        <v>4992</v>
      </c>
    </row>
    <row r="995" spans="1:20" x14ac:dyDescent="0.25">
      <c r="A995" t="s">
        <v>2825</v>
      </c>
      <c r="B995" t="s">
        <v>2826</v>
      </c>
      <c r="C995" s="1">
        <v>46032.865995370368</v>
      </c>
      <c r="D995">
        <v>311.74</v>
      </c>
      <c r="E995" t="s">
        <v>25</v>
      </c>
      <c r="F995" t="s">
        <v>20</v>
      </c>
      <c r="G995" t="s">
        <v>21</v>
      </c>
      <c r="H995" t="s">
        <v>2827</v>
      </c>
      <c r="I995" t="s">
        <v>4188</v>
      </c>
      <c r="J995" t="s">
        <v>3034</v>
      </c>
      <c r="K995" s="1">
        <v>46032.872939814813</v>
      </c>
      <c r="L995">
        <v>311.74</v>
      </c>
      <c r="M995">
        <v>9.34</v>
      </c>
      <c r="N995">
        <v>302.39999999999998</v>
      </c>
      <c r="O995" t="s">
        <v>25</v>
      </c>
      <c r="P995" t="s">
        <v>3932</v>
      </c>
      <c r="Q995" t="s">
        <v>3036</v>
      </c>
      <c r="R995" t="s">
        <v>4977</v>
      </c>
      <c r="S995" t="s">
        <v>4992</v>
      </c>
      <c r="T995" t="s">
        <v>4992</v>
      </c>
    </row>
    <row r="996" spans="1:20" x14ac:dyDescent="0.25">
      <c r="A996" t="s">
        <v>2828</v>
      </c>
      <c r="B996" t="s">
        <v>2829</v>
      </c>
      <c r="C996" s="1">
        <v>46033.959953703707</v>
      </c>
      <c r="D996">
        <v>329.74</v>
      </c>
      <c r="E996" t="s">
        <v>25</v>
      </c>
      <c r="F996" t="s">
        <v>20</v>
      </c>
      <c r="G996" t="s">
        <v>26</v>
      </c>
      <c r="H996" t="s">
        <v>2830</v>
      </c>
      <c r="I996" t="s">
        <v>4189</v>
      </c>
      <c r="J996" t="s">
        <v>3034</v>
      </c>
      <c r="K996" s="1">
        <v>46033.966898148145</v>
      </c>
      <c r="L996">
        <v>329.74</v>
      </c>
      <c r="M996">
        <v>9.86</v>
      </c>
      <c r="N996">
        <v>319.88</v>
      </c>
      <c r="O996" t="s">
        <v>25</v>
      </c>
      <c r="P996" t="s">
        <v>3934</v>
      </c>
      <c r="Q996" t="s">
        <v>3036</v>
      </c>
      <c r="R996" t="s">
        <v>4977</v>
      </c>
      <c r="S996" t="s">
        <v>4992</v>
      </c>
      <c r="T996" t="s">
        <v>4992</v>
      </c>
    </row>
    <row r="997" spans="1:20" x14ac:dyDescent="0.25">
      <c r="A997" t="s">
        <v>2831</v>
      </c>
      <c r="B997" t="s">
        <v>2832</v>
      </c>
      <c r="C997" s="1">
        <v>46035.042546296296</v>
      </c>
      <c r="D997">
        <v>769.31</v>
      </c>
      <c r="E997" t="s">
        <v>25</v>
      </c>
      <c r="F997" t="s">
        <v>20</v>
      </c>
      <c r="G997" t="s">
        <v>30</v>
      </c>
      <c r="H997" t="s">
        <v>2833</v>
      </c>
      <c r="I997" t="s">
        <v>4190</v>
      </c>
      <c r="J997" t="s">
        <v>3034</v>
      </c>
      <c r="K997" s="1">
        <v>46035.049490740741</v>
      </c>
      <c r="L997">
        <v>769.31</v>
      </c>
      <c r="M997">
        <v>22.61</v>
      </c>
      <c r="N997">
        <v>746.7</v>
      </c>
      <c r="O997" t="s">
        <v>25</v>
      </c>
      <c r="P997" t="s">
        <v>3912</v>
      </c>
      <c r="Q997" t="s">
        <v>3036</v>
      </c>
      <c r="R997" t="s">
        <v>4977</v>
      </c>
      <c r="S997" t="s">
        <v>4992</v>
      </c>
      <c r="T997" t="s">
        <v>4992</v>
      </c>
    </row>
    <row r="998" spans="1:20" x14ac:dyDescent="0.25">
      <c r="A998" t="s">
        <v>2834</v>
      </c>
      <c r="B998" t="s">
        <v>2835</v>
      </c>
      <c r="C998" s="1">
        <v>46036.127766203703</v>
      </c>
      <c r="D998">
        <v>1694.21</v>
      </c>
      <c r="E998" t="s">
        <v>25</v>
      </c>
      <c r="F998" t="s">
        <v>20</v>
      </c>
      <c r="G998" t="s">
        <v>21</v>
      </c>
      <c r="H998" t="s">
        <v>2836</v>
      </c>
      <c r="I998" t="s">
        <v>4191</v>
      </c>
      <c r="J998" t="s">
        <v>3034</v>
      </c>
      <c r="K998" s="1">
        <v>46036.134710648148</v>
      </c>
      <c r="L998">
        <v>1694.21</v>
      </c>
      <c r="M998">
        <v>49.43</v>
      </c>
      <c r="N998">
        <v>1644.78</v>
      </c>
      <c r="O998" t="s">
        <v>25</v>
      </c>
      <c r="P998" t="s">
        <v>3914</v>
      </c>
      <c r="Q998" t="s">
        <v>3036</v>
      </c>
      <c r="R998" t="s">
        <v>4977</v>
      </c>
      <c r="S998" t="s">
        <v>4992</v>
      </c>
      <c r="T998" t="s">
        <v>4992</v>
      </c>
    </row>
    <row r="999" spans="1:20" x14ac:dyDescent="0.25">
      <c r="A999" t="s">
        <v>2837</v>
      </c>
      <c r="B999" t="s">
        <v>2838</v>
      </c>
      <c r="C999" s="1">
        <v>46037.223437499997</v>
      </c>
      <c r="D999">
        <v>1881.46</v>
      </c>
      <c r="E999" t="s">
        <v>25</v>
      </c>
      <c r="F999" t="s">
        <v>20</v>
      </c>
      <c r="G999" t="s">
        <v>26</v>
      </c>
      <c r="H999" t="s">
        <v>2839</v>
      </c>
      <c r="I999" t="s">
        <v>4192</v>
      </c>
      <c r="J999" t="s">
        <v>3034</v>
      </c>
      <c r="K999" s="1">
        <v>46037.230381944442</v>
      </c>
      <c r="L999">
        <v>1881.46</v>
      </c>
      <c r="M999">
        <v>54.86</v>
      </c>
      <c r="N999">
        <v>1826.6</v>
      </c>
      <c r="O999" t="s">
        <v>25</v>
      </c>
      <c r="P999" t="s">
        <v>3916</v>
      </c>
      <c r="Q999" t="s">
        <v>3036</v>
      </c>
      <c r="R999" t="s">
        <v>4977</v>
      </c>
      <c r="S999" t="s">
        <v>4992</v>
      </c>
      <c r="T999" t="s">
        <v>4992</v>
      </c>
    </row>
    <row r="1000" spans="1:20" x14ac:dyDescent="0.25">
      <c r="A1000" t="s">
        <v>2840</v>
      </c>
      <c r="B1000" t="s">
        <v>2841</v>
      </c>
      <c r="C1000" s="1">
        <v>46023.324814814812</v>
      </c>
      <c r="D1000">
        <v>1049.93</v>
      </c>
      <c r="E1000" t="s">
        <v>25</v>
      </c>
      <c r="F1000" t="s">
        <v>20</v>
      </c>
      <c r="G1000" t="s">
        <v>30</v>
      </c>
      <c r="H1000" t="s">
        <v>2842</v>
      </c>
      <c r="I1000" t="s">
        <v>4193</v>
      </c>
      <c r="J1000" t="s">
        <v>3034</v>
      </c>
      <c r="K1000" s="1">
        <v>46023.331759259258</v>
      </c>
      <c r="L1000">
        <v>1049.93</v>
      </c>
      <c r="M1000">
        <v>30.75</v>
      </c>
      <c r="N1000">
        <v>1019.18</v>
      </c>
      <c r="O1000" t="s">
        <v>25</v>
      </c>
      <c r="P1000" t="s">
        <v>3918</v>
      </c>
      <c r="Q1000" t="s">
        <v>3036</v>
      </c>
      <c r="R1000" t="s">
        <v>4977</v>
      </c>
      <c r="S1000" t="s">
        <v>4992</v>
      </c>
      <c r="T1000" t="s">
        <v>4992</v>
      </c>
    </row>
    <row r="1001" spans="1:20" x14ac:dyDescent="0.25">
      <c r="A1001" t="s">
        <v>2843</v>
      </c>
      <c r="B1001" t="s">
        <v>2844</v>
      </c>
      <c r="C1001" s="1">
        <v>46024.414803240739</v>
      </c>
      <c r="D1001">
        <v>1592.93</v>
      </c>
      <c r="E1001" t="s">
        <v>52</v>
      </c>
      <c r="F1001" t="s">
        <v>20</v>
      </c>
      <c r="G1001" t="s">
        <v>21</v>
      </c>
      <c r="H1001" t="s">
        <v>2845</v>
      </c>
      <c r="I1001" t="s">
        <v>4194</v>
      </c>
      <c r="J1001" t="s">
        <v>3034</v>
      </c>
      <c r="K1001" s="1">
        <v>46024.421747685185</v>
      </c>
      <c r="L1001">
        <v>1592.93</v>
      </c>
      <c r="M1001">
        <v>46.49</v>
      </c>
      <c r="N1001">
        <v>1546.44</v>
      </c>
      <c r="O1001" t="s">
        <v>52</v>
      </c>
      <c r="P1001" t="s">
        <v>3941</v>
      </c>
      <c r="Q1001" t="s">
        <v>3036</v>
      </c>
      <c r="R1001" t="s">
        <v>4977</v>
      </c>
      <c r="S1001" t="s">
        <v>4992</v>
      </c>
      <c r="T1001" t="s">
        <v>4992</v>
      </c>
    </row>
    <row r="1002" spans="1:20" x14ac:dyDescent="0.25">
      <c r="A1002" t="s">
        <v>2846</v>
      </c>
      <c r="B1002" t="s">
        <v>2847</v>
      </c>
      <c r="C1002" s="1">
        <v>46025.500648148147</v>
      </c>
      <c r="D1002">
        <v>411.28</v>
      </c>
      <c r="E1002" t="s">
        <v>19</v>
      </c>
      <c r="F1002" t="s">
        <v>20</v>
      </c>
      <c r="G1002" t="s">
        <v>26</v>
      </c>
      <c r="H1002" t="s">
        <v>2848</v>
      </c>
      <c r="I1002" t="s">
        <v>4195</v>
      </c>
      <c r="J1002" t="s">
        <v>3034</v>
      </c>
      <c r="K1002" s="1">
        <v>46025.507592592592</v>
      </c>
      <c r="L1002">
        <v>411.28</v>
      </c>
      <c r="M1002">
        <v>12.23</v>
      </c>
      <c r="N1002">
        <v>399.05</v>
      </c>
      <c r="O1002" t="s">
        <v>19</v>
      </c>
      <c r="P1002" t="s">
        <v>3943</v>
      </c>
      <c r="Q1002" t="s">
        <v>3036</v>
      </c>
      <c r="R1002" t="s">
        <v>4977</v>
      </c>
      <c r="S1002" t="s">
        <v>4992</v>
      </c>
      <c r="T1002" t="s">
        <v>4992</v>
      </c>
    </row>
    <row r="1003" spans="1:20" x14ac:dyDescent="0.25">
      <c r="A1003" t="s">
        <v>2849</v>
      </c>
      <c r="B1003" t="s">
        <v>2850</v>
      </c>
      <c r="C1003" s="1">
        <v>46026.584756944445</v>
      </c>
      <c r="D1003">
        <v>2486.5700000000002</v>
      </c>
      <c r="E1003" t="s">
        <v>25</v>
      </c>
      <c r="F1003" t="s">
        <v>20</v>
      </c>
      <c r="G1003" t="s">
        <v>30</v>
      </c>
      <c r="H1003" t="s">
        <v>2851</v>
      </c>
      <c r="I1003" t="s">
        <v>4196</v>
      </c>
      <c r="J1003" t="s">
        <v>3034</v>
      </c>
      <c r="K1003" s="1">
        <v>46026.59170138889</v>
      </c>
      <c r="L1003">
        <v>2486.5700000000002</v>
      </c>
      <c r="M1003">
        <v>72.41</v>
      </c>
      <c r="N1003">
        <v>2414.16</v>
      </c>
      <c r="O1003" t="s">
        <v>25</v>
      </c>
      <c r="P1003" t="s">
        <v>3896</v>
      </c>
      <c r="Q1003" t="s">
        <v>3036</v>
      </c>
      <c r="R1003" t="s">
        <v>4977</v>
      </c>
      <c r="S1003" t="s">
        <v>4992</v>
      </c>
      <c r="T1003" t="s">
        <v>4992</v>
      </c>
    </row>
    <row r="1004" spans="1:20" x14ac:dyDescent="0.25">
      <c r="A1004" t="s">
        <v>2852</v>
      </c>
      <c r="B1004" t="s">
        <v>2853</v>
      </c>
      <c r="C1004" s="1">
        <v>46027.67496527778</v>
      </c>
      <c r="D1004">
        <v>716.63</v>
      </c>
      <c r="E1004" t="s">
        <v>25</v>
      </c>
      <c r="F1004" t="s">
        <v>20</v>
      </c>
      <c r="G1004" t="s">
        <v>21</v>
      </c>
      <c r="H1004" t="s">
        <v>2854</v>
      </c>
      <c r="I1004" t="s">
        <v>4197</v>
      </c>
      <c r="J1004" t="s">
        <v>3034</v>
      </c>
      <c r="K1004" s="1">
        <v>46027.681909722225</v>
      </c>
      <c r="L1004">
        <v>716.63</v>
      </c>
      <c r="M1004">
        <v>21.08</v>
      </c>
      <c r="N1004">
        <v>695.55</v>
      </c>
      <c r="O1004" t="s">
        <v>25</v>
      </c>
      <c r="P1004" t="s">
        <v>3923</v>
      </c>
      <c r="Q1004" t="s">
        <v>3036</v>
      </c>
      <c r="R1004" t="s">
        <v>4977</v>
      </c>
      <c r="S1004" t="s">
        <v>4992</v>
      </c>
      <c r="T1004" t="s">
        <v>4992</v>
      </c>
    </row>
    <row r="1005" spans="1:20" x14ac:dyDescent="0.25">
      <c r="A1005" t="s">
        <v>2855</v>
      </c>
      <c r="B1005" t="s">
        <v>2856</v>
      </c>
      <c r="C1005" s="1">
        <v>46028.761655092596</v>
      </c>
      <c r="D1005">
        <v>1844.5</v>
      </c>
      <c r="E1005" t="s">
        <v>25</v>
      </c>
      <c r="F1005" t="s">
        <v>20</v>
      </c>
      <c r="G1005" t="s">
        <v>26</v>
      </c>
      <c r="H1005" t="s">
        <v>2857</v>
      </c>
      <c r="I1005" t="s">
        <v>4198</v>
      </c>
      <c r="J1005" t="s">
        <v>3034</v>
      </c>
      <c r="K1005" s="1">
        <v>46028.768599537034</v>
      </c>
      <c r="L1005">
        <v>1844.5</v>
      </c>
      <c r="M1005">
        <v>53.79</v>
      </c>
      <c r="N1005">
        <v>1790.71</v>
      </c>
      <c r="O1005" t="s">
        <v>25</v>
      </c>
      <c r="P1005" t="s">
        <v>3900</v>
      </c>
      <c r="Q1005" t="s">
        <v>3036</v>
      </c>
      <c r="R1005" t="s">
        <v>4977</v>
      </c>
      <c r="S1005" t="s">
        <v>4992</v>
      </c>
      <c r="T1005" t="s">
        <v>4992</v>
      </c>
    </row>
    <row r="1006" spans="1:20" x14ac:dyDescent="0.25">
      <c r="A1006" t="s">
        <v>2858</v>
      </c>
      <c r="B1006" t="s">
        <v>2859</v>
      </c>
      <c r="C1006" s="1">
        <v>46029.851782407408</v>
      </c>
      <c r="D1006">
        <v>148.65</v>
      </c>
      <c r="E1006" t="s">
        <v>25</v>
      </c>
      <c r="F1006" t="s">
        <v>20</v>
      </c>
      <c r="G1006" t="s">
        <v>30</v>
      </c>
      <c r="H1006" t="s">
        <v>2860</v>
      </c>
      <c r="I1006" t="s">
        <v>4199</v>
      </c>
      <c r="J1006" t="s">
        <v>3034</v>
      </c>
      <c r="K1006" s="1">
        <v>46029.858726851853</v>
      </c>
      <c r="L1006">
        <v>148.65</v>
      </c>
      <c r="M1006">
        <v>4.6100000000000003</v>
      </c>
      <c r="N1006">
        <v>144.04</v>
      </c>
      <c r="O1006" t="s">
        <v>25</v>
      </c>
      <c r="P1006" t="s">
        <v>3902</v>
      </c>
      <c r="Q1006" t="s">
        <v>3036</v>
      </c>
      <c r="R1006" t="s">
        <v>4977</v>
      </c>
      <c r="S1006" t="s">
        <v>4992</v>
      </c>
      <c r="T1006" t="s">
        <v>4992</v>
      </c>
    </row>
    <row r="1007" spans="1:20" x14ac:dyDescent="0.25">
      <c r="A1007" t="s">
        <v>2861</v>
      </c>
      <c r="B1007" t="s">
        <v>2862</v>
      </c>
      <c r="C1007" s="1">
        <v>46030.960138888891</v>
      </c>
      <c r="D1007">
        <v>2473.92</v>
      </c>
      <c r="E1007" t="s">
        <v>25</v>
      </c>
      <c r="F1007" t="s">
        <v>20</v>
      </c>
      <c r="G1007" t="s">
        <v>21</v>
      </c>
      <c r="H1007" t="s">
        <v>2863</v>
      </c>
      <c r="I1007" t="s">
        <v>4200</v>
      </c>
      <c r="J1007" t="s">
        <v>3034</v>
      </c>
      <c r="K1007" s="1">
        <v>46030.967083333337</v>
      </c>
      <c r="L1007">
        <v>2473.92</v>
      </c>
      <c r="M1007">
        <v>72.040000000000006</v>
      </c>
      <c r="N1007">
        <v>2401.88</v>
      </c>
      <c r="O1007" t="s">
        <v>25</v>
      </c>
      <c r="P1007" t="s">
        <v>3904</v>
      </c>
      <c r="Q1007" t="s">
        <v>3036</v>
      </c>
      <c r="R1007" t="s">
        <v>4977</v>
      </c>
      <c r="S1007" t="s">
        <v>4992</v>
      </c>
      <c r="T1007" t="s">
        <v>4992</v>
      </c>
    </row>
    <row r="1008" spans="1:20" x14ac:dyDescent="0.25">
      <c r="A1008" t="s">
        <v>2864</v>
      </c>
      <c r="B1008" t="s">
        <v>2865</v>
      </c>
      <c r="C1008" s="1">
        <v>46032.054699074077</v>
      </c>
      <c r="D1008">
        <v>41.4</v>
      </c>
      <c r="E1008" t="s">
        <v>25</v>
      </c>
      <c r="F1008" t="s">
        <v>20</v>
      </c>
      <c r="G1008" t="s">
        <v>26</v>
      </c>
      <c r="H1008" t="s">
        <v>2866</v>
      </c>
      <c r="I1008" t="s">
        <v>4201</v>
      </c>
      <c r="J1008" t="s">
        <v>3034</v>
      </c>
      <c r="K1008" s="1">
        <v>46032.061643518522</v>
      </c>
      <c r="L1008">
        <v>41.4</v>
      </c>
      <c r="M1008">
        <v>1.5</v>
      </c>
      <c r="N1008">
        <v>39.9</v>
      </c>
      <c r="O1008" t="s">
        <v>25</v>
      </c>
      <c r="P1008" t="s">
        <v>3930</v>
      </c>
      <c r="Q1008" t="s">
        <v>3036</v>
      </c>
      <c r="R1008" t="s">
        <v>4977</v>
      </c>
      <c r="S1008" t="s">
        <v>4992</v>
      </c>
      <c r="T1008" t="s">
        <v>4992</v>
      </c>
    </row>
    <row r="1009" spans="1:20" x14ac:dyDescent="0.25">
      <c r="A1009" t="s">
        <v>2864</v>
      </c>
      <c r="B1009" t="s">
        <v>2865</v>
      </c>
      <c r="C1009" s="1">
        <v>46032.054699074077</v>
      </c>
      <c r="D1009">
        <v>41.4</v>
      </c>
      <c r="E1009" t="s">
        <v>25</v>
      </c>
      <c r="F1009" t="s">
        <v>20</v>
      </c>
      <c r="G1009" t="s">
        <v>26</v>
      </c>
      <c r="H1009" t="s">
        <v>2866</v>
      </c>
      <c r="I1009" t="s">
        <v>4201</v>
      </c>
      <c r="J1009" t="s">
        <v>3034</v>
      </c>
      <c r="K1009" s="1">
        <v>46032.061643518522</v>
      </c>
      <c r="L1009">
        <v>41.4</v>
      </c>
      <c r="M1009">
        <v>1.5</v>
      </c>
      <c r="N1009">
        <v>39.9</v>
      </c>
      <c r="O1009" t="s">
        <v>25</v>
      </c>
      <c r="P1009" t="s">
        <v>3930</v>
      </c>
      <c r="Q1009" t="s">
        <v>3036</v>
      </c>
      <c r="R1009" t="s">
        <v>4977</v>
      </c>
      <c r="S1009" t="s">
        <v>4992</v>
      </c>
      <c r="T1009" t="s">
        <v>4992</v>
      </c>
    </row>
    <row r="1010" spans="1:20" x14ac:dyDescent="0.25">
      <c r="A1010" t="s">
        <v>2867</v>
      </c>
      <c r="B1010" t="s">
        <v>2868</v>
      </c>
      <c r="C1010" s="1">
        <v>46033.150659722225</v>
      </c>
      <c r="D1010">
        <v>2400.1799999999998</v>
      </c>
      <c r="E1010" t="s">
        <v>25</v>
      </c>
      <c r="F1010" t="s">
        <v>20</v>
      </c>
      <c r="G1010" t="s">
        <v>30</v>
      </c>
      <c r="H1010" t="s">
        <v>2869</v>
      </c>
      <c r="I1010" t="s">
        <v>4202</v>
      </c>
      <c r="J1010" t="s">
        <v>3034</v>
      </c>
      <c r="K1010" s="1">
        <v>46033.157604166663</v>
      </c>
      <c r="L1010">
        <v>2400.1799999999998</v>
      </c>
      <c r="M1010">
        <v>69.91</v>
      </c>
      <c r="N1010">
        <v>2330.27</v>
      </c>
      <c r="O1010" t="s">
        <v>25</v>
      </c>
      <c r="P1010" t="s">
        <v>3932</v>
      </c>
      <c r="Q1010" t="s">
        <v>3036</v>
      </c>
      <c r="R1010" t="s">
        <v>4977</v>
      </c>
      <c r="S1010" t="s">
        <v>4992</v>
      </c>
      <c r="T1010" t="s">
        <v>4992</v>
      </c>
    </row>
    <row r="1011" spans="1:20" x14ac:dyDescent="0.25">
      <c r="A1011" t="s">
        <v>2870</v>
      </c>
      <c r="B1011" t="s">
        <v>2871</v>
      </c>
      <c r="C1011" s="1">
        <v>46033.241712962961</v>
      </c>
      <c r="D1011">
        <v>2383.04</v>
      </c>
      <c r="E1011" t="s">
        <v>25</v>
      </c>
      <c r="F1011" t="s">
        <v>20</v>
      </c>
      <c r="G1011" t="s">
        <v>21</v>
      </c>
      <c r="H1011" t="s">
        <v>2872</v>
      </c>
      <c r="I1011" t="s">
        <v>4203</v>
      </c>
      <c r="J1011" t="s">
        <v>3034</v>
      </c>
      <c r="K1011" s="1">
        <v>46033.248657407406</v>
      </c>
      <c r="L1011">
        <v>2383.04</v>
      </c>
      <c r="M1011">
        <v>69.41</v>
      </c>
      <c r="N1011">
        <v>2313.63</v>
      </c>
      <c r="O1011" t="s">
        <v>25</v>
      </c>
      <c r="P1011" t="s">
        <v>3934</v>
      </c>
      <c r="Q1011" t="s">
        <v>3036</v>
      </c>
      <c r="R1011" t="s">
        <v>4977</v>
      </c>
      <c r="S1011" t="s">
        <v>4992</v>
      </c>
      <c r="T1011" t="s">
        <v>4992</v>
      </c>
    </row>
    <row r="1012" spans="1:20" x14ac:dyDescent="0.25">
      <c r="A1012" t="s">
        <v>2873</v>
      </c>
      <c r="B1012" t="s">
        <v>2874</v>
      </c>
      <c r="C1012" s="1">
        <v>46034.317511574074</v>
      </c>
      <c r="D1012">
        <v>2473.9</v>
      </c>
      <c r="E1012" t="s">
        <v>52</v>
      </c>
      <c r="F1012" t="s">
        <v>20</v>
      </c>
      <c r="G1012" t="s">
        <v>26</v>
      </c>
      <c r="H1012" t="s">
        <v>2875</v>
      </c>
      <c r="I1012" t="s">
        <v>4204</v>
      </c>
      <c r="J1012" t="s">
        <v>3034</v>
      </c>
      <c r="K1012" s="1">
        <v>46034.324456018519</v>
      </c>
      <c r="L1012">
        <v>2473.9</v>
      </c>
      <c r="M1012">
        <v>72.040000000000006</v>
      </c>
      <c r="N1012">
        <v>2401.86</v>
      </c>
      <c r="O1012" t="s">
        <v>52</v>
      </c>
      <c r="P1012" t="s">
        <v>3954</v>
      </c>
      <c r="Q1012" t="s">
        <v>3036</v>
      </c>
      <c r="R1012" t="s">
        <v>4977</v>
      </c>
      <c r="S1012" t="s">
        <v>4992</v>
      </c>
      <c r="T1012" t="s">
        <v>4992</v>
      </c>
    </row>
    <row r="1013" spans="1:20" x14ac:dyDescent="0.25">
      <c r="A1013" t="s">
        <v>2876</v>
      </c>
      <c r="B1013" t="s">
        <v>2877</v>
      </c>
      <c r="C1013" s="1">
        <v>46035.422650462962</v>
      </c>
      <c r="D1013">
        <v>2058.73</v>
      </c>
      <c r="E1013" t="s">
        <v>19</v>
      </c>
      <c r="F1013" t="s">
        <v>20</v>
      </c>
      <c r="G1013" t="s">
        <v>30</v>
      </c>
      <c r="H1013" t="s">
        <v>2878</v>
      </c>
      <c r="I1013" t="s">
        <v>4205</v>
      </c>
      <c r="J1013" t="s">
        <v>3034</v>
      </c>
      <c r="K1013" s="1">
        <v>46035.429594907408</v>
      </c>
      <c r="L1013">
        <v>2058.73</v>
      </c>
      <c r="M1013">
        <v>60</v>
      </c>
      <c r="N1013">
        <v>1998.73</v>
      </c>
      <c r="O1013" t="s">
        <v>19</v>
      </c>
      <c r="P1013" t="s">
        <v>4125</v>
      </c>
      <c r="Q1013" t="s">
        <v>3036</v>
      </c>
      <c r="R1013" t="s">
        <v>4977</v>
      </c>
      <c r="S1013" t="s">
        <v>4992</v>
      </c>
      <c r="T1013" t="s">
        <v>4992</v>
      </c>
    </row>
    <row r="1014" spans="1:20" x14ac:dyDescent="0.25">
      <c r="A1014" t="s">
        <v>2879</v>
      </c>
      <c r="B1014" t="s">
        <v>2880</v>
      </c>
      <c r="C1014" s="1">
        <v>46036.523495370369</v>
      </c>
      <c r="D1014">
        <v>2423</v>
      </c>
      <c r="E1014" t="s">
        <v>25</v>
      </c>
      <c r="F1014" t="s">
        <v>20</v>
      </c>
      <c r="G1014" t="s">
        <v>21</v>
      </c>
      <c r="H1014" t="s">
        <v>2881</v>
      </c>
      <c r="I1014" t="s">
        <v>4206</v>
      </c>
      <c r="J1014" t="s">
        <v>3034</v>
      </c>
      <c r="K1014" s="1">
        <v>46036.530439814815</v>
      </c>
      <c r="L1014">
        <v>2423</v>
      </c>
      <c r="M1014">
        <v>70.569999999999993</v>
      </c>
      <c r="N1014">
        <v>2352.4299999999998</v>
      </c>
      <c r="O1014" t="s">
        <v>25</v>
      </c>
      <c r="P1014" t="s">
        <v>3916</v>
      </c>
      <c r="Q1014" t="s">
        <v>3036</v>
      </c>
      <c r="R1014" t="s">
        <v>4977</v>
      </c>
      <c r="S1014" t="s">
        <v>4992</v>
      </c>
      <c r="T1014" t="s">
        <v>4992</v>
      </c>
    </row>
    <row r="1015" spans="1:20" x14ac:dyDescent="0.25">
      <c r="A1015" t="s">
        <v>2882</v>
      </c>
      <c r="B1015" t="s">
        <v>2883</v>
      </c>
      <c r="C1015" s="1">
        <v>46023.59684027778</v>
      </c>
      <c r="D1015">
        <v>849.21</v>
      </c>
      <c r="E1015" t="s">
        <v>25</v>
      </c>
      <c r="F1015" t="s">
        <v>20</v>
      </c>
      <c r="G1015" t="s">
        <v>26</v>
      </c>
      <c r="H1015" t="s">
        <v>2884</v>
      </c>
      <c r="I1015" t="s">
        <v>4207</v>
      </c>
      <c r="J1015" t="s">
        <v>3034</v>
      </c>
      <c r="K1015" s="1">
        <v>46023.603784722225</v>
      </c>
      <c r="L1015">
        <v>849.21</v>
      </c>
      <c r="M1015">
        <v>24.93</v>
      </c>
      <c r="N1015">
        <v>824.28</v>
      </c>
      <c r="O1015" t="s">
        <v>25</v>
      </c>
      <c r="P1015" t="s">
        <v>3918</v>
      </c>
      <c r="Q1015" t="s">
        <v>3036</v>
      </c>
      <c r="R1015" t="s">
        <v>4977</v>
      </c>
      <c r="S1015" t="s">
        <v>4992</v>
      </c>
      <c r="T1015" t="s">
        <v>4992</v>
      </c>
    </row>
    <row r="1016" spans="1:20" x14ac:dyDescent="0.25">
      <c r="A1016" t="s">
        <v>2885</v>
      </c>
      <c r="B1016" t="s">
        <v>2886</v>
      </c>
      <c r="C1016" s="1">
        <v>46024.673055555555</v>
      </c>
      <c r="D1016">
        <v>191.72</v>
      </c>
      <c r="E1016" t="s">
        <v>25</v>
      </c>
      <c r="F1016" t="s">
        <v>20</v>
      </c>
      <c r="G1016" t="s">
        <v>30</v>
      </c>
      <c r="H1016" t="s">
        <v>2887</v>
      </c>
      <c r="I1016" t="s">
        <v>4208</v>
      </c>
      <c r="J1016" t="s">
        <v>3034</v>
      </c>
      <c r="K1016" s="1">
        <v>46024.68</v>
      </c>
      <c r="L1016">
        <v>192.83</v>
      </c>
      <c r="M1016">
        <v>5.89</v>
      </c>
      <c r="N1016">
        <v>186.94</v>
      </c>
      <c r="O1016" t="s">
        <v>25</v>
      </c>
      <c r="P1016" t="s">
        <v>3890</v>
      </c>
      <c r="Q1016" t="s">
        <v>3036</v>
      </c>
      <c r="R1016" t="s">
        <v>4977</v>
      </c>
      <c r="S1016" t="s">
        <v>4991</v>
      </c>
      <c r="T1016" t="s">
        <v>4992</v>
      </c>
    </row>
    <row r="1017" spans="1:20" x14ac:dyDescent="0.25">
      <c r="A1017" t="s">
        <v>2888</v>
      </c>
      <c r="B1017" t="s">
        <v>2889</v>
      </c>
      <c r="C1017" s="1">
        <v>46025.798831018517</v>
      </c>
      <c r="D1017">
        <v>1615.86</v>
      </c>
      <c r="E1017" t="s">
        <v>25</v>
      </c>
      <c r="F1017" t="s">
        <v>20</v>
      </c>
      <c r="G1017" t="s">
        <v>21</v>
      </c>
      <c r="H1017" t="s">
        <v>2890</v>
      </c>
      <c r="I1017" t="s">
        <v>4209</v>
      </c>
      <c r="J1017" t="s">
        <v>3034</v>
      </c>
      <c r="K1017" s="1">
        <v>46025.805775462963</v>
      </c>
      <c r="L1017">
        <v>1615.86</v>
      </c>
      <c r="M1017">
        <v>47.16</v>
      </c>
      <c r="N1017">
        <v>1568.7</v>
      </c>
      <c r="O1017" t="s">
        <v>25</v>
      </c>
      <c r="P1017" t="s">
        <v>3894</v>
      </c>
      <c r="Q1017" t="s">
        <v>3036</v>
      </c>
      <c r="R1017" t="s">
        <v>4977</v>
      </c>
      <c r="S1017" t="s">
        <v>4992</v>
      </c>
      <c r="T1017" t="s">
        <v>4992</v>
      </c>
    </row>
    <row r="1018" spans="1:20" x14ac:dyDescent="0.25">
      <c r="A1018" t="s">
        <v>2891</v>
      </c>
      <c r="B1018" t="s">
        <v>2892</v>
      </c>
      <c r="C1018" s="1">
        <v>46026.875833333332</v>
      </c>
      <c r="D1018">
        <v>1709.24</v>
      </c>
      <c r="E1018" t="s">
        <v>25</v>
      </c>
      <c r="F1018" t="s">
        <v>20</v>
      </c>
      <c r="G1018" t="s">
        <v>26</v>
      </c>
      <c r="H1018" t="s">
        <v>2893</v>
      </c>
      <c r="I1018" t="s">
        <v>4210</v>
      </c>
      <c r="J1018" t="s">
        <v>3034</v>
      </c>
      <c r="K1018" s="1">
        <v>46026.882777777777</v>
      </c>
      <c r="L1018">
        <v>1709.24</v>
      </c>
      <c r="M1018">
        <v>50.24</v>
      </c>
      <c r="N1018">
        <v>1659</v>
      </c>
      <c r="O1018" t="s">
        <v>25</v>
      </c>
      <c r="P1018" t="s">
        <v>3896</v>
      </c>
      <c r="Q1018" t="s">
        <v>3036</v>
      </c>
      <c r="R1018" t="s">
        <v>4977</v>
      </c>
      <c r="S1018" t="s">
        <v>4992</v>
      </c>
      <c r="T1018" t="s">
        <v>4992</v>
      </c>
    </row>
    <row r="1019" spans="1:20" x14ac:dyDescent="0.25">
      <c r="A1019" t="s">
        <v>2894</v>
      </c>
      <c r="B1019" t="s">
        <v>2895</v>
      </c>
      <c r="C1019" s="1">
        <v>46027.947881944441</v>
      </c>
      <c r="D1019">
        <v>815.7</v>
      </c>
      <c r="E1019" t="s">
        <v>25</v>
      </c>
      <c r="F1019" t="s">
        <v>20</v>
      </c>
      <c r="G1019" t="s">
        <v>30</v>
      </c>
      <c r="H1019" t="s">
        <v>2896</v>
      </c>
      <c r="I1019" t="s">
        <v>4211</v>
      </c>
      <c r="J1019" t="s">
        <v>3034</v>
      </c>
      <c r="K1019" s="1">
        <v>46027.954826388886</v>
      </c>
      <c r="L1019">
        <v>815.7</v>
      </c>
      <c r="M1019">
        <v>23.96</v>
      </c>
      <c r="N1019">
        <v>791.74</v>
      </c>
      <c r="O1019" t="s">
        <v>25</v>
      </c>
      <c r="P1019" t="s">
        <v>3923</v>
      </c>
      <c r="Q1019" t="s">
        <v>3036</v>
      </c>
      <c r="R1019" t="s">
        <v>4977</v>
      </c>
      <c r="S1019" t="s">
        <v>4992</v>
      </c>
      <c r="T1019" t="s">
        <v>4992</v>
      </c>
    </row>
    <row r="1020" spans="1:20" x14ac:dyDescent="0.25">
      <c r="A1020" t="s">
        <v>2897</v>
      </c>
      <c r="B1020" t="s">
        <v>2898</v>
      </c>
      <c r="C1020" s="1">
        <v>46029.076192129629</v>
      </c>
      <c r="D1020">
        <v>1060.3900000000001</v>
      </c>
      <c r="E1020" t="s">
        <v>25</v>
      </c>
      <c r="F1020" t="s">
        <v>20</v>
      </c>
      <c r="G1020" t="s">
        <v>21</v>
      </c>
      <c r="H1020" t="s">
        <v>2899</v>
      </c>
      <c r="I1020" t="s">
        <v>4212</v>
      </c>
      <c r="J1020" t="s">
        <v>3034</v>
      </c>
      <c r="K1020" s="1">
        <v>46029.083136574074</v>
      </c>
      <c r="L1020">
        <v>1060.3900000000001</v>
      </c>
      <c r="M1020">
        <v>31.05</v>
      </c>
      <c r="N1020">
        <v>1029.3399999999999</v>
      </c>
      <c r="O1020" t="s">
        <v>25</v>
      </c>
      <c r="P1020" t="s">
        <v>3900</v>
      </c>
      <c r="Q1020" t="s">
        <v>3036</v>
      </c>
      <c r="R1020" t="s">
        <v>4977</v>
      </c>
      <c r="S1020" t="s">
        <v>4992</v>
      </c>
      <c r="T1020" t="s">
        <v>4992</v>
      </c>
    </row>
    <row r="1021" spans="1:20" x14ac:dyDescent="0.25">
      <c r="A1021" t="s">
        <v>2900</v>
      </c>
      <c r="B1021" t="s">
        <v>2901</v>
      </c>
      <c r="C1021" s="1">
        <v>46030.148125</v>
      </c>
      <c r="D1021">
        <v>1660.49</v>
      </c>
      <c r="E1021" t="s">
        <v>25</v>
      </c>
      <c r="F1021" t="s">
        <v>20</v>
      </c>
      <c r="G1021" t="s">
        <v>26</v>
      </c>
      <c r="H1021" t="s">
        <v>2902</v>
      </c>
      <c r="I1021" t="s">
        <v>4213</v>
      </c>
      <c r="J1021" t="s">
        <v>3034</v>
      </c>
      <c r="K1021" s="1">
        <v>46030.155069444445</v>
      </c>
      <c r="L1021">
        <v>1661.6</v>
      </c>
      <c r="M1021">
        <v>48.49</v>
      </c>
      <c r="N1021">
        <v>1613.11</v>
      </c>
      <c r="O1021" t="s">
        <v>25</v>
      </c>
      <c r="P1021" t="s">
        <v>3902</v>
      </c>
      <c r="Q1021" t="s">
        <v>3036</v>
      </c>
      <c r="R1021" t="s">
        <v>4977</v>
      </c>
      <c r="S1021" t="s">
        <v>4991</v>
      </c>
      <c r="T1021" t="s">
        <v>4992</v>
      </c>
    </row>
    <row r="1022" spans="1:20" x14ac:dyDescent="0.25">
      <c r="A1022" t="s">
        <v>2903</v>
      </c>
      <c r="B1022" t="s">
        <v>2904</v>
      </c>
      <c r="C1022" s="1">
        <v>46031.225162037037</v>
      </c>
      <c r="D1022">
        <v>333.63</v>
      </c>
      <c r="E1022" t="s">
        <v>52</v>
      </c>
      <c r="F1022" t="s">
        <v>20</v>
      </c>
      <c r="G1022" t="s">
        <v>30</v>
      </c>
      <c r="H1022" t="s">
        <v>2905</v>
      </c>
      <c r="I1022" t="s">
        <v>4214</v>
      </c>
      <c r="J1022" t="s">
        <v>3034</v>
      </c>
      <c r="K1022" s="1">
        <v>46031.232106481482</v>
      </c>
      <c r="L1022">
        <v>333.63</v>
      </c>
      <c r="M1022">
        <v>9.98</v>
      </c>
      <c r="N1022">
        <v>323.64999999999998</v>
      </c>
      <c r="O1022" t="s">
        <v>52</v>
      </c>
      <c r="P1022" t="s">
        <v>3968</v>
      </c>
      <c r="Q1022" t="s">
        <v>3036</v>
      </c>
      <c r="R1022" t="s">
        <v>4977</v>
      </c>
      <c r="S1022" t="s">
        <v>4992</v>
      </c>
      <c r="T1022" t="s">
        <v>4992</v>
      </c>
    </row>
    <row r="1023" spans="1:20" x14ac:dyDescent="0.25">
      <c r="A1023" t="s">
        <v>2906</v>
      </c>
      <c r="B1023" t="s">
        <v>2907</v>
      </c>
      <c r="C1023" s="1">
        <v>46031.337430555555</v>
      </c>
      <c r="D1023">
        <v>296.55</v>
      </c>
      <c r="E1023" t="s">
        <v>19</v>
      </c>
      <c r="F1023" t="s">
        <v>20</v>
      </c>
      <c r="G1023" t="s">
        <v>21</v>
      </c>
      <c r="H1023" t="s">
        <v>2908</v>
      </c>
      <c r="I1023" t="s">
        <v>4215</v>
      </c>
      <c r="J1023" t="s">
        <v>3034</v>
      </c>
      <c r="K1023" s="1">
        <v>46031.344375000001</v>
      </c>
      <c r="L1023">
        <v>296.55</v>
      </c>
      <c r="M1023">
        <v>8.9</v>
      </c>
      <c r="N1023">
        <v>287.64999999999998</v>
      </c>
      <c r="O1023" t="s">
        <v>19</v>
      </c>
      <c r="P1023" t="s">
        <v>3970</v>
      </c>
      <c r="Q1023" t="s">
        <v>3036</v>
      </c>
      <c r="R1023" t="s">
        <v>4977</v>
      </c>
      <c r="S1023" t="s">
        <v>4992</v>
      </c>
      <c r="T1023" t="s">
        <v>4992</v>
      </c>
    </row>
    <row r="1024" spans="1:20" x14ac:dyDescent="0.25">
      <c r="A1024" t="s">
        <v>2909</v>
      </c>
      <c r="B1024" t="s">
        <v>2910</v>
      </c>
      <c r="C1024" s="1">
        <v>46032.404930555553</v>
      </c>
      <c r="D1024">
        <v>1142.1600000000001</v>
      </c>
      <c r="E1024" t="s">
        <v>25</v>
      </c>
      <c r="F1024" t="s">
        <v>20</v>
      </c>
      <c r="G1024" t="s">
        <v>26</v>
      </c>
      <c r="H1024" t="s">
        <v>2911</v>
      </c>
      <c r="I1024" t="s">
        <v>4216</v>
      </c>
      <c r="J1024" t="s">
        <v>3034</v>
      </c>
      <c r="K1024" s="1">
        <v>46032.411874999998</v>
      </c>
      <c r="L1024">
        <v>1142.1600000000001</v>
      </c>
      <c r="M1024">
        <v>33.42</v>
      </c>
      <c r="N1024">
        <v>1108.74</v>
      </c>
      <c r="O1024" t="s">
        <v>25</v>
      </c>
      <c r="P1024" t="s">
        <v>3932</v>
      </c>
      <c r="Q1024" t="s">
        <v>3036</v>
      </c>
      <c r="R1024" t="s">
        <v>4977</v>
      </c>
      <c r="S1024" t="s">
        <v>4992</v>
      </c>
      <c r="T1024" t="s">
        <v>4992</v>
      </c>
    </row>
    <row r="1025" spans="1:20" x14ac:dyDescent="0.25">
      <c r="A1025" t="s">
        <v>2912</v>
      </c>
      <c r="B1025" t="s">
        <v>2913</v>
      </c>
      <c r="C1025" s="1">
        <v>46033.533252314817</v>
      </c>
      <c r="D1025">
        <v>30.89</v>
      </c>
      <c r="E1025" t="s">
        <v>25</v>
      </c>
      <c r="F1025" t="s">
        <v>20</v>
      </c>
      <c r="G1025" t="s">
        <v>30</v>
      </c>
      <c r="H1025" t="s">
        <v>2914</v>
      </c>
      <c r="I1025" t="s">
        <v>4217</v>
      </c>
      <c r="J1025" t="s">
        <v>3034</v>
      </c>
      <c r="K1025" s="1">
        <v>46033.540196759262</v>
      </c>
      <c r="L1025">
        <v>30.89</v>
      </c>
      <c r="M1025">
        <v>1.2</v>
      </c>
      <c r="N1025">
        <v>29.69</v>
      </c>
      <c r="O1025" t="s">
        <v>25</v>
      </c>
      <c r="P1025" t="s">
        <v>4218</v>
      </c>
      <c r="Q1025" t="s">
        <v>3036</v>
      </c>
      <c r="R1025" t="s">
        <v>4977</v>
      </c>
      <c r="S1025" t="s">
        <v>4992</v>
      </c>
      <c r="T1025" t="s">
        <v>4992</v>
      </c>
    </row>
    <row r="1026" spans="1:20" x14ac:dyDescent="0.25">
      <c r="A1026" t="s">
        <v>2915</v>
      </c>
      <c r="B1026" t="s">
        <v>2916</v>
      </c>
      <c r="C1026" s="1">
        <v>46034.610821759263</v>
      </c>
      <c r="D1026">
        <v>2370.34</v>
      </c>
      <c r="E1026" t="s">
        <v>25</v>
      </c>
      <c r="F1026" t="s">
        <v>20</v>
      </c>
      <c r="G1026" t="s">
        <v>21</v>
      </c>
      <c r="H1026" t="s">
        <v>2917</v>
      </c>
      <c r="I1026" t="s">
        <v>4219</v>
      </c>
      <c r="J1026" t="s">
        <v>3034</v>
      </c>
      <c r="K1026" s="1">
        <v>46034.617766203701</v>
      </c>
      <c r="L1026">
        <v>2370.34</v>
      </c>
      <c r="M1026">
        <v>69.040000000000006</v>
      </c>
      <c r="N1026">
        <v>2301.3000000000002</v>
      </c>
      <c r="O1026" t="s">
        <v>25</v>
      </c>
      <c r="P1026" t="s">
        <v>3912</v>
      </c>
      <c r="Q1026" t="s">
        <v>3036</v>
      </c>
      <c r="R1026" t="s">
        <v>4977</v>
      </c>
      <c r="S1026" t="s">
        <v>4992</v>
      </c>
      <c r="T1026" t="s">
        <v>4992</v>
      </c>
    </row>
    <row r="1027" spans="1:20" x14ac:dyDescent="0.25">
      <c r="A1027" t="s">
        <v>2918</v>
      </c>
      <c r="B1027" t="s">
        <v>2919</v>
      </c>
      <c r="C1027" s="1">
        <v>46035.682233796295</v>
      </c>
      <c r="D1027">
        <v>1976.69</v>
      </c>
      <c r="E1027" t="s">
        <v>25</v>
      </c>
      <c r="F1027" t="s">
        <v>20</v>
      </c>
      <c r="G1027" t="s">
        <v>26</v>
      </c>
      <c r="H1027" t="s">
        <v>2920</v>
      </c>
      <c r="I1027" t="s">
        <v>4220</v>
      </c>
      <c r="J1027" t="s">
        <v>3034</v>
      </c>
      <c r="K1027" s="1">
        <v>46035.68917824074</v>
      </c>
      <c r="L1027">
        <v>1977.8</v>
      </c>
      <c r="M1027">
        <v>57.66</v>
      </c>
      <c r="N1027">
        <v>1920.14</v>
      </c>
      <c r="O1027" t="s">
        <v>25</v>
      </c>
      <c r="P1027" t="s">
        <v>3914</v>
      </c>
      <c r="Q1027" t="s">
        <v>3036</v>
      </c>
      <c r="R1027" t="s">
        <v>4977</v>
      </c>
      <c r="S1027" t="s">
        <v>4991</v>
      </c>
      <c r="T1027" t="s">
        <v>4992</v>
      </c>
    </row>
    <row r="1028" spans="1:20" x14ac:dyDescent="0.25">
      <c r="A1028" t="s">
        <v>2921</v>
      </c>
      <c r="B1028" t="s">
        <v>2922</v>
      </c>
      <c r="C1028" s="1">
        <v>46036.799930555557</v>
      </c>
      <c r="D1028">
        <v>1501.12</v>
      </c>
      <c r="E1028" t="s">
        <v>25</v>
      </c>
      <c r="F1028" t="s">
        <v>20</v>
      </c>
      <c r="G1028" t="s">
        <v>30</v>
      </c>
      <c r="H1028" t="s">
        <v>2923</v>
      </c>
      <c r="I1028" t="s">
        <v>4221</v>
      </c>
      <c r="J1028" t="s">
        <v>3034</v>
      </c>
      <c r="K1028" s="1">
        <v>46036.806875000002</v>
      </c>
      <c r="L1028">
        <v>1501.12</v>
      </c>
      <c r="M1028">
        <v>43.83</v>
      </c>
      <c r="N1028">
        <v>1457.29</v>
      </c>
      <c r="O1028" t="s">
        <v>25</v>
      </c>
      <c r="P1028" t="s">
        <v>4222</v>
      </c>
      <c r="Q1028" t="s">
        <v>3036</v>
      </c>
      <c r="R1028" t="s">
        <v>4977</v>
      </c>
      <c r="S1028" t="s">
        <v>4992</v>
      </c>
      <c r="T1028" t="s">
        <v>4992</v>
      </c>
    </row>
    <row r="1029" spans="1:20" x14ac:dyDescent="0.25">
      <c r="A1029" t="s">
        <v>2924</v>
      </c>
      <c r="B1029" t="s">
        <v>2925</v>
      </c>
      <c r="C1029" s="1">
        <v>46023.873784722222</v>
      </c>
      <c r="D1029">
        <v>406.11</v>
      </c>
      <c r="E1029" t="s">
        <v>25</v>
      </c>
      <c r="F1029" t="s">
        <v>20</v>
      </c>
      <c r="G1029" t="s">
        <v>21</v>
      </c>
      <c r="H1029" t="s">
        <v>2926</v>
      </c>
      <c r="I1029" t="s">
        <v>4223</v>
      </c>
      <c r="J1029" t="s">
        <v>3034</v>
      </c>
      <c r="K1029" s="1">
        <v>46023.880729166667</v>
      </c>
      <c r="L1029">
        <v>406.11</v>
      </c>
      <c r="M1029">
        <v>12.08</v>
      </c>
      <c r="N1029">
        <v>394.03</v>
      </c>
      <c r="O1029" t="s">
        <v>25</v>
      </c>
      <c r="P1029" t="s">
        <v>3918</v>
      </c>
      <c r="Q1029" t="s">
        <v>3036</v>
      </c>
      <c r="R1029" t="s">
        <v>4977</v>
      </c>
      <c r="S1029" t="s">
        <v>4992</v>
      </c>
      <c r="T1029" t="s">
        <v>4992</v>
      </c>
    </row>
    <row r="1030" spans="1:20" x14ac:dyDescent="0.25">
      <c r="A1030" t="s">
        <v>2927</v>
      </c>
      <c r="B1030" t="s">
        <v>2928</v>
      </c>
      <c r="C1030" s="1">
        <v>46024.968321759261</v>
      </c>
      <c r="D1030">
        <v>2055.44</v>
      </c>
      <c r="E1030" t="s">
        <v>25</v>
      </c>
      <c r="F1030" t="s">
        <v>20</v>
      </c>
      <c r="G1030" t="s">
        <v>26</v>
      </c>
      <c r="H1030" t="s">
        <v>2929</v>
      </c>
      <c r="I1030" t="s">
        <v>4224</v>
      </c>
      <c r="J1030" t="s">
        <v>3034</v>
      </c>
      <c r="K1030" s="1">
        <v>46024.975266203706</v>
      </c>
      <c r="L1030">
        <v>2056.5500000000002</v>
      </c>
      <c r="M1030">
        <v>59.94</v>
      </c>
      <c r="N1030">
        <v>1996.61</v>
      </c>
      <c r="O1030" t="s">
        <v>25</v>
      </c>
      <c r="P1030" t="s">
        <v>3890</v>
      </c>
      <c r="Q1030" t="s">
        <v>3036</v>
      </c>
      <c r="R1030" t="s">
        <v>4977</v>
      </c>
      <c r="S1030" t="s">
        <v>4991</v>
      </c>
      <c r="T1030" t="s">
        <v>4992</v>
      </c>
    </row>
    <row r="1031" spans="1:20" x14ac:dyDescent="0.25">
      <c r="A1031" t="s">
        <v>2930</v>
      </c>
      <c r="B1031" t="s">
        <v>2931</v>
      </c>
      <c r="C1031" s="1">
        <v>46026.057650462964</v>
      </c>
      <c r="D1031">
        <v>1466.89</v>
      </c>
      <c r="E1031" t="s">
        <v>25</v>
      </c>
      <c r="F1031" t="s">
        <v>20</v>
      </c>
      <c r="G1031" t="s">
        <v>30</v>
      </c>
      <c r="H1031" t="s">
        <v>2932</v>
      </c>
      <c r="I1031" t="s">
        <v>4225</v>
      </c>
      <c r="J1031" t="s">
        <v>3034</v>
      </c>
      <c r="K1031" s="1">
        <v>46026.06459490741</v>
      </c>
      <c r="L1031">
        <v>1466.89</v>
      </c>
      <c r="M1031">
        <v>42.84</v>
      </c>
      <c r="N1031">
        <v>1424.05</v>
      </c>
      <c r="O1031" t="s">
        <v>25</v>
      </c>
      <c r="P1031" t="s">
        <v>3894</v>
      </c>
      <c r="Q1031" t="s">
        <v>3036</v>
      </c>
      <c r="R1031" t="s">
        <v>4977</v>
      </c>
      <c r="S1031" t="s">
        <v>4992</v>
      </c>
      <c r="T1031" t="s">
        <v>4992</v>
      </c>
    </row>
    <row r="1032" spans="1:20" x14ac:dyDescent="0.25">
      <c r="A1032" t="s">
        <v>2933</v>
      </c>
      <c r="B1032" t="s">
        <v>2934</v>
      </c>
      <c r="C1032" s="1">
        <v>46027.141481481478</v>
      </c>
      <c r="D1032">
        <v>1956.65</v>
      </c>
      <c r="E1032" t="s">
        <v>52</v>
      </c>
      <c r="F1032" t="s">
        <v>20</v>
      </c>
      <c r="G1032" t="s">
        <v>21</v>
      </c>
      <c r="H1032" t="s">
        <v>2935</v>
      </c>
      <c r="I1032" t="s">
        <v>4226</v>
      </c>
      <c r="J1032" t="s">
        <v>3034</v>
      </c>
      <c r="K1032" s="1">
        <v>46027.148425925923</v>
      </c>
      <c r="L1032">
        <v>1956.65</v>
      </c>
      <c r="M1032">
        <v>57.04</v>
      </c>
      <c r="N1032">
        <v>1899.61</v>
      </c>
      <c r="O1032" t="s">
        <v>52</v>
      </c>
      <c r="P1032" t="s">
        <v>3984</v>
      </c>
      <c r="Q1032" t="s">
        <v>3036</v>
      </c>
      <c r="R1032" t="s">
        <v>4977</v>
      </c>
      <c r="S1032" t="s">
        <v>4992</v>
      </c>
      <c r="T1032" t="s">
        <v>4992</v>
      </c>
    </row>
    <row r="1033" spans="1:20" x14ac:dyDescent="0.25">
      <c r="A1033" t="s">
        <v>2936</v>
      </c>
      <c r="B1033" t="s">
        <v>2937</v>
      </c>
      <c r="C1033" s="1">
        <v>46028.226504629631</v>
      </c>
      <c r="D1033">
        <v>345.23</v>
      </c>
      <c r="E1033" t="s">
        <v>19</v>
      </c>
      <c r="F1033" t="s">
        <v>20</v>
      </c>
      <c r="G1033" t="s">
        <v>26</v>
      </c>
      <c r="H1033" t="s">
        <v>2938</v>
      </c>
      <c r="I1033" t="s">
        <v>4227</v>
      </c>
      <c r="J1033" t="s">
        <v>3034</v>
      </c>
      <c r="K1033" s="1">
        <v>46028.233449074076</v>
      </c>
      <c r="L1033">
        <v>345.23</v>
      </c>
      <c r="M1033">
        <v>10.31</v>
      </c>
      <c r="N1033">
        <v>334.92</v>
      </c>
      <c r="O1033" t="s">
        <v>19</v>
      </c>
      <c r="P1033" t="s">
        <v>3986</v>
      </c>
      <c r="Q1033" t="s">
        <v>3036</v>
      </c>
      <c r="R1033" t="s">
        <v>4977</v>
      </c>
      <c r="S1033" t="s">
        <v>4992</v>
      </c>
      <c r="T1033" t="s">
        <v>4992</v>
      </c>
    </row>
    <row r="1034" spans="1:20" x14ac:dyDescent="0.25">
      <c r="A1034" t="s">
        <v>2939</v>
      </c>
      <c r="B1034" t="s">
        <v>2940</v>
      </c>
      <c r="C1034" s="1">
        <v>46028.346226851849</v>
      </c>
      <c r="D1034">
        <v>458.25</v>
      </c>
      <c r="E1034" t="s">
        <v>25</v>
      </c>
      <c r="F1034" t="s">
        <v>20</v>
      </c>
      <c r="G1034" t="s">
        <v>30</v>
      </c>
      <c r="H1034" t="s">
        <v>2941</v>
      </c>
      <c r="I1034" t="s">
        <v>4228</v>
      </c>
      <c r="J1034" t="s">
        <v>3034</v>
      </c>
      <c r="K1034" s="1">
        <v>46028.353171296294</v>
      </c>
      <c r="L1034">
        <v>458.25</v>
      </c>
      <c r="M1034">
        <v>13.59</v>
      </c>
      <c r="N1034">
        <v>444.66</v>
      </c>
      <c r="O1034" t="s">
        <v>25</v>
      </c>
      <c r="P1034" t="s">
        <v>3900</v>
      </c>
      <c r="Q1034" t="s">
        <v>3036</v>
      </c>
      <c r="R1034" t="s">
        <v>4977</v>
      </c>
      <c r="S1034" t="s">
        <v>4992</v>
      </c>
      <c r="T1034" t="s">
        <v>4992</v>
      </c>
    </row>
    <row r="1035" spans="1:20" x14ac:dyDescent="0.25">
      <c r="A1035" t="s">
        <v>2942</v>
      </c>
      <c r="B1035" t="s">
        <v>2943</v>
      </c>
      <c r="C1035" s="1">
        <v>46029.433865740742</v>
      </c>
      <c r="D1035">
        <v>1404.71</v>
      </c>
      <c r="E1035" t="s">
        <v>25</v>
      </c>
      <c r="F1035" t="s">
        <v>20</v>
      </c>
      <c r="G1035" t="s">
        <v>21</v>
      </c>
      <c r="H1035" t="s">
        <v>2944</v>
      </c>
      <c r="I1035" t="s">
        <v>4229</v>
      </c>
      <c r="J1035" t="s">
        <v>3034</v>
      </c>
      <c r="K1035" s="1">
        <v>46029.440810185188</v>
      </c>
      <c r="L1035">
        <v>1404.71</v>
      </c>
      <c r="M1035">
        <v>41.04</v>
      </c>
      <c r="N1035">
        <v>1363.67</v>
      </c>
      <c r="O1035" t="s">
        <v>25</v>
      </c>
      <c r="P1035" t="s">
        <v>3902</v>
      </c>
      <c r="Q1035" t="s">
        <v>3036</v>
      </c>
      <c r="R1035" t="s">
        <v>4977</v>
      </c>
      <c r="S1035" t="s">
        <v>4992</v>
      </c>
      <c r="T1035" t="s">
        <v>4992</v>
      </c>
    </row>
    <row r="1036" spans="1:20" x14ac:dyDescent="0.25">
      <c r="A1036" t="s">
        <v>2945</v>
      </c>
      <c r="B1036" t="s">
        <v>2946</v>
      </c>
      <c r="C1036" s="1">
        <v>46030.525057870371</v>
      </c>
      <c r="D1036">
        <v>1977.38</v>
      </c>
      <c r="E1036" t="s">
        <v>25</v>
      </c>
      <c r="F1036" t="s">
        <v>20</v>
      </c>
      <c r="G1036" t="s">
        <v>26</v>
      </c>
      <c r="H1036" t="s">
        <v>2947</v>
      </c>
      <c r="I1036" t="s">
        <v>4230</v>
      </c>
      <c r="J1036" t="s">
        <v>3034</v>
      </c>
      <c r="K1036" s="1">
        <v>46030.532002314816</v>
      </c>
      <c r="L1036">
        <v>1977.38</v>
      </c>
      <c r="M1036">
        <v>57.64</v>
      </c>
      <c r="N1036">
        <v>1919.74</v>
      </c>
      <c r="O1036" t="s">
        <v>25</v>
      </c>
      <c r="P1036" t="s">
        <v>3904</v>
      </c>
      <c r="Q1036" t="s">
        <v>3036</v>
      </c>
      <c r="R1036" t="s">
        <v>4977</v>
      </c>
      <c r="S1036" t="s">
        <v>4992</v>
      </c>
      <c r="T1036" t="s">
        <v>4992</v>
      </c>
    </row>
    <row r="1037" spans="1:20" x14ac:dyDescent="0.25">
      <c r="A1037" t="s">
        <v>2948</v>
      </c>
      <c r="B1037" t="s">
        <v>2949</v>
      </c>
      <c r="C1037" s="1">
        <v>46031.616076388891</v>
      </c>
      <c r="D1037">
        <v>1668.19</v>
      </c>
      <c r="E1037" t="s">
        <v>25</v>
      </c>
      <c r="F1037" t="s">
        <v>20</v>
      </c>
      <c r="G1037" t="s">
        <v>30</v>
      </c>
      <c r="H1037" t="s">
        <v>2950</v>
      </c>
      <c r="I1037" t="s">
        <v>4231</v>
      </c>
      <c r="J1037" t="s">
        <v>3034</v>
      </c>
      <c r="K1037" s="1">
        <v>46031.623020833336</v>
      </c>
      <c r="L1037">
        <v>1668.19</v>
      </c>
      <c r="M1037">
        <v>48.68</v>
      </c>
      <c r="N1037">
        <v>1619.51</v>
      </c>
      <c r="O1037" t="s">
        <v>25</v>
      </c>
      <c r="P1037" t="s">
        <v>3930</v>
      </c>
      <c r="Q1037" t="s">
        <v>3036</v>
      </c>
      <c r="R1037" t="s">
        <v>4977</v>
      </c>
      <c r="S1037" t="s">
        <v>4992</v>
      </c>
      <c r="T1037" t="s">
        <v>4992</v>
      </c>
    </row>
    <row r="1038" spans="1:20" x14ac:dyDescent="0.25">
      <c r="A1038" t="s">
        <v>2951</v>
      </c>
      <c r="B1038" t="s">
        <v>2952</v>
      </c>
      <c r="C1038" s="1">
        <v>46032.709432870368</v>
      </c>
      <c r="D1038">
        <v>621.58000000000004</v>
      </c>
      <c r="E1038" t="s">
        <v>25</v>
      </c>
      <c r="F1038" t="s">
        <v>20</v>
      </c>
      <c r="G1038" t="s">
        <v>21</v>
      </c>
      <c r="H1038" t="s">
        <v>2953</v>
      </c>
      <c r="I1038" t="s">
        <v>4232</v>
      </c>
      <c r="J1038" t="s">
        <v>3034</v>
      </c>
      <c r="K1038" s="1">
        <v>46032.716377314813</v>
      </c>
      <c r="L1038">
        <v>621.58000000000004</v>
      </c>
      <c r="M1038">
        <v>18.329999999999998</v>
      </c>
      <c r="N1038">
        <v>603.25</v>
      </c>
      <c r="O1038" t="s">
        <v>25</v>
      </c>
      <c r="P1038" t="s">
        <v>3932</v>
      </c>
      <c r="Q1038" t="s">
        <v>3036</v>
      </c>
      <c r="R1038" t="s">
        <v>4977</v>
      </c>
      <c r="S1038" t="s">
        <v>4992</v>
      </c>
      <c r="T1038" t="s">
        <v>4992</v>
      </c>
    </row>
    <row r="1039" spans="1:20" x14ac:dyDescent="0.25">
      <c r="A1039" t="s">
        <v>2954</v>
      </c>
      <c r="B1039" t="s">
        <v>2955</v>
      </c>
      <c r="C1039" s="1">
        <v>46033.794814814813</v>
      </c>
      <c r="D1039">
        <v>2334.73</v>
      </c>
      <c r="E1039" t="s">
        <v>25</v>
      </c>
      <c r="F1039" t="s">
        <v>20</v>
      </c>
      <c r="G1039" t="s">
        <v>26</v>
      </c>
      <c r="H1039" t="s">
        <v>2956</v>
      </c>
      <c r="I1039" t="s">
        <v>4233</v>
      </c>
      <c r="J1039" t="s">
        <v>3034</v>
      </c>
      <c r="K1039" s="1">
        <v>46033.801759259259</v>
      </c>
      <c r="L1039">
        <v>2334.73</v>
      </c>
      <c r="M1039">
        <v>68.010000000000005</v>
      </c>
      <c r="N1039">
        <v>2266.7199999999998</v>
      </c>
      <c r="O1039" t="s">
        <v>25</v>
      </c>
      <c r="P1039" t="s">
        <v>3934</v>
      </c>
      <c r="Q1039" t="s">
        <v>3036</v>
      </c>
      <c r="R1039" t="s">
        <v>4977</v>
      </c>
      <c r="S1039" t="s">
        <v>4992</v>
      </c>
      <c r="T1039" t="s">
        <v>4992</v>
      </c>
    </row>
    <row r="1040" spans="1:20" x14ac:dyDescent="0.25">
      <c r="A1040" t="s">
        <v>2957</v>
      </c>
      <c r="B1040" t="s">
        <v>2958</v>
      </c>
      <c r="C1040" s="1">
        <v>46034.881493055553</v>
      </c>
      <c r="D1040">
        <v>1327.88</v>
      </c>
      <c r="E1040" t="s">
        <v>25</v>
      </c>
      <c r="F1040" t="s">
        <v>20</v>
      </c>
      <c r="G1040" t="s">
        <v>30</v>
      </c>
      <c r="H1040" t="s">
        <v>2959</v>
      </c>
      <c r="I1040" t="s">
        <v>4234</v>
      </c>
      <c r="J1040" t="s">
        <v>3034</v>
      </c>
      <c r="K1040" s="1">
        <v>46034.888437499998</v>
      </c>
      <c r="L1040">
        <v>1327.88</v>
      </c>
      <c r="M1040">
        <v>38.81</v>
      </c>
      <c r="N1040">
        <v>1289.07</v>
      </c>
      <c r="O1040" t="s">
        <v>25</v>
      </c>
      <c r="P1040" t="s">
        <v>3912</v>
      </c>
      <c r="Q1040" t="s">
        <v>3036</v>
      </c>
      <c r="R1040" t="s">
        <v>4977</v>
      </c>
      <c r="S1040" t="s">
        <v>4992</v>
      </c>
      <c r="T1040" t="s">
        <v>4992</v>
      </c>
    </row>
    <row r="1041" spans="1:20" x14ac:dyDescent="0.25">
      <c r="A1041" t="s">
        <v>2960</v>
      </c>
      <c r="B1041" t="s">
        <v>2961</v>
      </c>
      <c r="C1041" s="1">
        <v>46035.993310185186</v>
      </c>
      <c r="D1041">
        <v>2187.69</v>
      </c>
      <c r="E1041" t="s">
        <v>25</v>
      </c>
      <c r="F1041" t="s">
        <v>20</v>
      </c>
      <c r="G1041" t="s">
        <v>21</v>
      </c>
      <c r="H1041" t="s">
        <v>2962</v>
      </c>
      <c r="I1041" t="s">
        <v>4235</v>
      </c>
      <c r="J1041" t="s">
        <v>3034</v>
      </c>
      <c r="K1041" s="1">
        <v>46036.000254629631</v>
      </c>
      <c r="L1041">
        <v>2187.69</v>
      </c>
      <c r="M1041">
        <v>63.74</v>
      </c>
      <c r="N1041">
        <v>2123.9499999999998</v>
      </c>
      <c r="O1041" t="s">
        <v>25</v>
      </c>
      <c r="P1041" t="s">
        <v>3914</v>
      </c>
      <c r="Q1041" t="s">
        <v>3036</v>
      </c>
      <c r="R1041" t="s">
        <v>4977</v>
      </c>
      <c r="S1041" t="s">
        <v>4992</v>
      </c>
      <c r="T1041" t="s">
        <v>4992</v>
      </c>
    </row>
    <row r="1042" spans="1:20" x14ac:dyDescent="0.25">
      <c r="A1042" t="s">
        <v>2969</v>
      </c>
      <c r="B1042" t="s">
        <v>2970</v>
      </c>
      <c r="C1042" s="1">
        <v>46024.271064814813</v>
      </c>
      <c r="D1042">
        <v>2170.7199999999998</v>
      </c>
      <c r="E1042" t="s">
        <v>25</v>
      </c>
      <c r="F1042" t="s">
        <v>20</v>
      </c>
      <c r="G1042" t="s">
        <v>21</v>
      </c>
      <c r="H1042" t="s">
        <v>2971</v>
      </c>
      <c r="I1042" t="s">
        <v>4236</v>
      </c>
      <c r="J1042" t="s">
        <v>3034</v>
      </c>
      <c r="K1042" s="1">
        <v>46024.278009259258</v>
      </c>
      <c r="L1042">
        <v>2170.7199999999998</v>
      </c>
      <c r="M1042">
        <v>63.25</v>
      </c>
      <c r="N1042">
        <v>2107.4699999999998</v>
      </c>
      <c r="O1042" t="s">
        <v>25</v>
      </c>
      <c r="P1042" t="s">
        <v>3890</v>
      </c>
      <c r="Q1042" t="s">
        <v>3036</v>
      </c>
      <c r="R1042" t="s">
        <v>4977</v>
      </c>
      <c r="S1042" t="s">
        <v>4992</v>
      </c>
      <c r="T1042" t="s">
        <v>4992</v>
      </c>
    </row>
    <row r="1043" spans="1:20" x14ac:dyDescent="0.25">
      <c r="A1043" t="s">
        <v>2972</v>
      </c>
      <c r="B1043" t="s">
        <v>2973</v>
      </c>
      <c r="C1043" s="1">
        <v>46025.351805555554</v>
      </c>
      <c r="D1043">
        <v>2353.33</v>
      </c>
      <c r="E1043" t="s">
        <v>25</v>
      </c>
      <c r="F1043" t="s">
        <v>20</v>
      </c>
      <c r="G1043" t="s">
        <v>26</v>
      </c>
      <c r="H1043" t="s">
        <v>2974</v>
      </c>
      <c r="I1043" t="s">
        <v>4237</v>
      </c>
      <c r="J1043" t="s">
        <v>3034</v>
      </c>
      <c r="K1043" s="1">
        <v>46025.358749999999</v>
      </c>
      <c r="L1043">
        <v>2353.33</v>
      </c>
      <c r="M1043">
        <v>68.55</v>
      </c>
      <c r="N1043">
        <v>2284.7800000000002</v>
      </c>
      <c r="O1043" t="s">
        <v>25</v>
      </c>
      <c r="P1043" t="s">
        <v>3894</v>
      </c>
      <c r="Q1043" t="s">
        <v>3036</v>
      </c>
      <c r="R1043" t="s">
        <v>4977</v>
      </c>
      <c r="S1043" t="s">
        <v>4992</v>
      </c>
      <c r="T1043" t="s">
        <v>4992</v>
      </c>
    </row>
    <row r="1044" spans="1:20" x14ac:dyDescent="0.25">
      <c r="A1044" t="s">
        <v>2975</v>
      </c>
      <c r="B1044" t="s">
        <v>2976</v>
      </c>
      <c r="C1044" s="1">
        <v>46026.428553240738</v>
      </c>
      <c r="D1044">
        <v>299.7</v>
      </c>
      <c r="E1044" t="s">
        <v>25</v>
      </c>
      <c r="F1044" t="s">
        <v>20</v>
      </c>
      <c r="G1044" t="s">
        <v>30</v>
      </c>
      <c r="H1044" t="s">
        <v>2977</v>
      </c>
      <c r="I1044" t="s">
        <v>4238</v>
      </c>
      <c r="J1044" t="s">
        <v>3034</v>
      </c>
      <c r="K1044" s="1">
        <v>46026.435497685183</v>
      </c>
      <c r="L1044">
        <v>299.7</v>
      </c>
      <c r="M1044">
        <v>8.99</v>
      </c>
      <c r="N1044">
        <v>290.70999999999998</v>
      </c>
      <c r="O1044" t="s">
        <v>25</v>
      </c>
      <c r="P1044" t="s">
        <v>3896</v>
      </c>
      <c r="Q1044" t="s">
        <v>3036</v>
      </c>
      <c r="R1044" t="s">
        <v>4977</v>
      </c>
      <c r="S1044" t="s">
        <v>4992</v>
      </c>
      <c r="T1044" t="s">
        <v>4992</v>
      </c>
    </row>
    <row r="1045" spans="1:20" x14ac:dyDescent="0.25">
      <c r="A1045" t="s">
        <v>2978</v>
      </c>
      <c r="B1045" t="s">
        <v>2979</v>
      </c>
      <c r="C1045" s="1">
        <v>46027.513368055559</v>
      </c>
      <c r="D1045">
        <v>2499.8000000000002</v>
      </c>
      <c r="E1045" t="s">
        <v>25</v>
      </c>
      <c r="F1045" t="s">
        <v>20</v>
      </c>
      <c r="G1045" t="s">
        <v>21</v>
      </c>
      <c r="H1045" t="s">
        <v>2980</v>
      </c>
      <c r="I1045" t="s">
        <v>4239</v>
      </c>
      <c r="J1045" t="s">
        <v>3034</v>
      </c>
      <c r="K1045" s="1">
        <v>46027.520312499997</v>
      </c>
      <c r="L1045">
        <v>2499.8000000000002</v>
      </c>
      <c r="M1045">
        <v>72.790000000000006</v>
      </c>
      <c r="N1045">
        <v>2427.0100000000002</v>
      </c>
      <c r="O1045" t="s">
        <v>25</v>
      </c>
      <c r="P1045" t="s">
        <v>3923</v>
      </c>
      <c r="Q1045" t="s">
        <v>3036</v>
      </c>
      <c r="R1045" t="s">
        <v>4977</v>
      </c>
      <c r="S1045" t="s">
        <v>4992</v>
      </c>
      <c r="T1045" t="s">
        <v>4992</v>
      </c>
    </row>
    <row r="1046" spans="1:20" x14ac:dyDescent="0.25">
      <c r="A1046" t="s">
        <v>2981</v>
      </c>
      <c r="B1046" t="s">
        <v>2982</v>
      </c>
      <c r="C1046" s="1">
        <v>46028.605358796296</v>
      </c>
      <c r="D1046">
        <v>303.45999999999998</v>
      </c>
      <c r="E1046" t="s">
        <v>25</v>
      </c>
      <c r="F1046" t="s">
        <v>20</v>
      </c>
      <c r="G1046" t="s">
        <v>26</v>
      </c>
      <c r="H1046" t="s">
        <v>2983</v>
      </c>
      <c r="I1046" t="s">
        <v>4240</v>
      </c>
      <c r="J1046" t="s">
        <v>3034</v>
      </c>
      <c r="K1046" s="1">
        <v>46028.612303240741</v>
      </c>
      <c r="L1046">
        <v>303.45999999999998</v>
      </c>
      <c r="M1046">
        <v>9.1</v>
      </c>
      <c r="N1046">
        <v>294.36</v>
      </c>
      <c r="O1046" t="s">
        <v>25</v>
      </c>
      <c r="P1046" t="s">
        <v>4241</v>
      </c>
      <c r="Q1046" t="s">
        <v>3036</v>
      </c>
      <c r="R1046" t="s">
        <v>4977</v>
      </c>
      <c r="S1046" t="s">
        <v>4992</v>
      </c>
      <c r="T1046" t="s">
        <v>4992</v>
      </c>
    </row>
    <row r="1047" spans="1:20" x14ac:dyDescent="0.25">
      <c r="A1047" t="s">
        <v>2984</v>
      </c>
      <c r="B1047" t="s">
        <v>2985</v>
      </c>
      <c r="C1047" s="1">
        <v>46029.717800925922</v>
      </c>
      <c r="D1047">
        <v>1780.67</v>
      </c>
      <c r="E1047" t="s">
        <v>25</v>
      </c>
      <c r="F1047" t="s">
        <v>20</v>
      </c>
      <c r="G1047" t="s">
        <v>30</v>
      </c>
      <c r="H1047" t="s">
        <v>2986</v>
      </c>
      <c r="I1047" t="s">
        <v>4242</v>
      </c>
      <c r="J1047" t="s">
        <v>3034</v>
      </c>
      <c r="K1047" s="1">
        <v>46029.724745370368</v>
      </c>
      <c r="L1047">
        <v>1780.67</v>
      </c>
      <c r="M1047">
        <v>51.94</v>
      </c>
      <c r="N1047">
        <v>1728.73</v>
      </c>
      <c r="O1047" t="s">
        <v>25</v>
      </c>
      <c r="P1047" t="s">
        <v>3902</v>
      </c>
      <c r="Q1047" t="s">
        <v>3036</v>
      </c>
      <c r="R1047" t="s">
        <v>4977</v>
      </c>
      <c r="S1047" t="s">
        <v>4992</v>
      </c>
      <c r="T1047" t="s">
        <v>4992</v>
      </c>
    </row>
    <row r="1048" spans="1:20" x14ac:dyDescent="0.25">
      <c r="A1048" t="s">
        <v>2987</v>
      </c>
      <c r="B1048" t="s">
        <v>2988</v>
      </c>
      <c r="C1048" s="1">
        <v>46030.786238425928</v>
      </c>
      <c r="D1048">
        <v>990.99</v>
      </c>
      <c r="E1048" t="s">
        <v>25</v>
      </c>
      <c r="F1048" t="s">
        <v>20</v>
      </c>
      <c r="G1048" t="s">
        <v>21</v>
      </c>
      <c r="H1048" t="s">
        <v>2989</v>
      </c>
      <c r="I1048" t="s">
        <v>4243</v>
      </c>
      <c r="J1048" t="s">
        <v>3034</v>
      </c>
      <c r="K1048" s="1">
        <v>46030.793182870373</v>
      </c>
      <c r="L1048">
        <v>990.99</v>
      </c>
      <c r="M1048">
        <v>29.04</v>
      </c>
      <c r="N1048">
        <v>961.95</v>
      </c>
      <c r="O1048" t="s">
        <v>25</v>
      </c>
      <c r="P1048" t="s">
        <v>3904</v>
      </c>
      <c r="Q1048" t="s">
        <v>3036</v>
      </c>
      <c r="R1048" t="s">
        <v>4977</v>
      </c>
      <c r="S1048" t="s">
        <v>4992</v>
      </c>
      <c r="T1048" t="s">
        <v>4992</v>
      </c>
    </row>
    <row r="1049" spans="1:20" x14ac:dyDescent="0.25">
      <c r="A1049" t="s">
        <v>2990</v>
      </c>
      <c r="B1049" t="s">
        <v>2991</v>
      </c>
      <c r="C1049" s="1">
        <v>46031.888287037036</v>
      </c>
      <c r="D1049">
        <v>1495.87</v>
      </c>
      <c r="E1049" t="s">
        <v>25</v>
      </c>
      <c r="F1049" t="s">
        <v>92</v>
      </c>
      <c r="G1049" t="s">
        <v>26</v>
      </c>
      <c r="H1049" t="s">
        <v>2992</v>
      </c>
      <c r="I1049" t="s">
        <v>4244</v>
      </c>
      <c r="J1049" t="s">
        <v>3034</v>
      </c>
      <c r="K1049" s="1">
        <v>46031.895231481481</v>
      </c>
      <c r="L1049">
        <v>1495.87</v>
      </c>
      <c r="M1049">
        <v>43.68</v>
      </c>
      <c r="N1049">
        <v>1452.19</v>
      </c>
      <c r="O1049" t="s">
        <v>25</v>
      </c>
      <c r="P1049" t="s">
        <v>3930</v>
      </c>
      <c r="Q1049" t="s">
        <v>3036</v>
      </c>
      <c r="R1049" t="s">
        <v>4977</v>
      </c>
      <c r="S1049" t="s">
        <v>4992</v>
      </c>
      <c r="T1049" t="s">
        <v>4992</v>
      </c>
    </row>
    <row r="1050" spans="1:20" x14ac:dyDescent="0.25">
      <c r="A1050" t="s">
        <v>2990</v>
      </c>
      <c r="B1050" t="s">
        <v>2991</v>
      </c>
      <c r="C1050" s="1">
        <v>46031.888287037036</v>
      </c>
      <c r="D1050">
        <v>1495.87</v>
      </c>
      <c r="E1050" t="s">
        <v>25</v>
      </c>
      <c r="F1050" t="s">
        <v>92</v>
      </c>
      <c r="G1050" t="s">
        <v>26</v>
      </c>
      <c r="H1050" t="s">
        <v>2992</v>
      </c>
      <c r="I1050" t="s">
        <v>4245</v>
      </c>
      <c r="J1050" t="s">
        <v>3076</v>
      </c>
      <c r="K1050" s="1">
        <v>46032.888287037036</v>
      </c>
      <c r="L1050">
        <v>-747.94</v>
      </c>
      <c r="M1050">
        <v>0</v>
      </c>
      <c r="N1050">
        <v>-747.94</v>
      </c>
      <c r="O1050" t="s">
        <v>25</v>
      </c>
      <c r="P1050" t="s">
        <v>4246</v>
      </c>
      <c r="Q1050" t="s">
        <v>3036</v>
      </c>
      <c r="R1050" t="s">
        <v>4977</v>
      </c>
      <c r="S1050" t="s">
        <v>4991</v>
      </c>
      <c r="T1050" t="s">
        <v>4992</v>
      </c>
    </row>
    <row r="1051" spans="1:20" x14ac:dyDescent="0.25">
      <c r="A1051" t="s">
        <v>2993</v>
      </c>
      <c r="B1051" t="s">
        <v>2994</v>
      </c>
      <c r="C1051" s="1">
        <v>46033.00136574074</v>
      </c>
      <c r="D1051">
        <v>2151.5100000000002</v>
      </c>
      <c r="E1051" t="s">
        <v>52</v>
      </c>
      <c r="F1051" t="s">
        <v>20</v>
      </c>
      <c r="G1051" t="s">
        <v>30</v>
      </c>
      <c r="H1051" t="s">
        <v>2995</v>
      </c>
      <c r="I1051" t="s">
        <v>4247</v>
      </c>
      <c r="J1051" t="s">
        <v>3034</v>
      </c>
      <c r="K1051" s="1">
        <v>46033.008310185185</v>
      </c>
      <c r="L1051">
        <v>2151.5100000000002</v>
      </c>
      <c r="M1051">
        <v>62.69</v>
      </c>
      <c r="N1051">
        <v>2088.8200000000002</v>
      </c>
      <c r="O1051" t="s">
        <v>52</v>
      </c>
      <c r="P1051" t="s">
        <v>3908</v>
      </c>
      <c r="Q1051" t="s">
        <v>3036</v>
      </c>
      <c r="R1051" t="s">
        <v>4977</v>
      </c>
      <c r="S1051" t="s">
        <v>4992</v>
      </c>
      <c r="T1051" t="s">
        <v>4992</v>
      </c>
    </row>
    <row r="1052" spans="1:20" x14ac:dyDescent="0.25">
      <c r="A1052" t="s">
        <v>2996</v>
      </c>
      <c r="B1052" t="s">
        <v>2997</v>
      </c>
      <c r="C1052" s="1">
        <v>46034.082986111112</v>
      </c>
      <c r="D1052">
        <v>977.86</v>
      </c>
      <c r="E1052" t="s">
        <v>19</v>
      </c>
      <c r="F1052" t="s">
        <v>20</v>
      </c>
      <c r="G1052" t="s">
        <v>21</v>
      </c>
      <c r="H1052" t="s">
        <v>2998</v>
      </c>
      <c r="I1052" t="s">
        <v>4248</v>
      </c>
      <c r="J1052" t="s">
        <v>3034</v>
      </c>
      <c r="K1052" s="1">
        <v>46034.089930555558</v>
      </c>
      <c r="L1052">
        <v>977.86</v>
      </c>
      <c r="M1052">
        <v>28.66</v>
      </c>
      <c r="N1052">
        <v>949.2</v>
      </c>
      <c r="O1052" t="s">
        <v>19</v>
      </c>
      <c r="P1052" t="s">
        <v>4249</v>
      </c>
      <c r="Q1052" t="s">
        <v>3036</v>
      </c>
      <c r="R1052" t="s">
        <v>4977</v>
      </c>
      <c r="S1052" t="s">
        <v>4992</v>
      </c>
      <c r="T1052" t="s">
        <v>4992</v>
      </c>
    </row>
    <row r="1053" spans="1:20" x14ac:dyDescent="0.25">
      <c r="A1053" t="s">
        <v>2999</v>
      </c>
      <c r="B1053" t="s">
        <v>3000</v>
      </c>
      <c r="C1053" s="1">
        <v>46035.186226851853</v>
      </c>
      <c r="D1053">
        <v>2225.9499999999998</v>
      </c>
      <c r="E1053" t="s">
        <v>25</v>
      </c>
      <c r="F1053" t="s">
        <v>20</v>
      </c>
      <c r="G1053" t="s">
        <v>26</v>
      </c>
      <c r="H1053" t="s">
        <v>3001</v>
      </c>
      <c r="I1053" t="s">
        <v>4250</v>
      </c>
      <c r="J1053" t="s">
        <v>3034</v>
      </c>
      <c r="K1053" s="1">
        <v>46035.193171296298</v>
      </c>
      <c r="L1053">
        <v>2225.9499999999998</v>
      </c>
      <c r="M1053">
        <v>64.849999999999994</v>
      </c>
      <c r="N1053">
        <v>2161.1</v>
      </c>
      <c r="O1053" t="s">
        <v>25</v>
      </c>
      <c r="P1053" t="s">
        <v>3912</v>
      </c>
      <c r="Q1053" t="s">
        <v>3036</v>
      </c>
      <c r="R1053" t="s">
        <v>4977</v>
      </c>
      <c r="S1053" t="s">
        <v>4992</v>
      </c>
      <c r="T1053" t="s">
        <v>4992</v>
      </c>
    </row>
    <row r="1054" spans="1:20" x14ac:dyDescent="0.25">
      <c r="A1054" t="s">
        <v>3002</v>
      </c>
      <c r="B1054" t="s">
        <v>3003</v>
      </c>
      <c r="C1054" s="1">
        <v>46035.259085648147</v>
      </c>
      <c r="D1054">
        <v>969.94</v>
      </c>
      <c r="E1054" t="s">
        <v>25</v>
      </c>
      <c r="F1054" t="s">
        <v>20</v>
      </c>
      <c r="G1054" t="s">
        <v>30</v>
      </c>
      <c r="H1054" t="s">
        <v>3004</v>
      </c>
      <c r="I1054" t="s">
        <v>4251</v>
      </c>
      <c r="J1054" t="s">
        <v>3034</v>
      </c>
      <c r="K1054" s="1">
        <v>46035.266030092593</v>
      </c>
      <c r="L1054">
        <v>969.94</v>
      </c>
      <c r="M1054">
        <v>28.43</v>
      </c>
      <c r="N1054">
        <v>941.51</v>
      </c>
      <c r="O1054" t="s">
        <v>25</v>
      </c>
      <c r="P1054" t="s">
        <v>3914</v>
      </c>
      <c r="Q1054" t="s">
        <v>3036</v>
      </c>
      <c r="R1054" t="s">
        <v>4977</v>
      </c>
      <c r="S1054" t="s">
        <v>4992</v>
      </c>
      <c r="T1054" t="s">
        <v>4992</v>
      </c>
    </row>
    <row r="1055" spans="1:20" x14ac:dyDescent="0.25">
      <c r="A1055" t="s">
        <v>3005</v>
      </c>
      <c r="B1055" t="s">
        <v>3006</v>
      </c>
      <c r="C1055" s="1">
        <v>46036.35601851852</v>
      </c>
      <c r="D1055">
        <v>548.24</v>
      </c>
      <c r="E1055" t="s">
        <v>25</v>
      </c>
      <c r="F1055" t="s">
        <v>20</v>
      </c>
      <c r="G1055" t="s">
        <v>21</v>
      </c>
      <c r="H1055" t="s">
        <v>3007</v>
      </c>
      <c r="I1055" t="s">
        <v>4252</v>
      </c>
      <c r="J1055" t="s">
        <v>3034</v>
      </c>
      <c r="K1055" s="1">
        <v>46036.362962962965</v>
      </c>
      <c r="L1055">
        <v>548.24</v>
      </c>
      <c r="M1055">
        <v>16.57</v>
      </c>
      <c r="N1055">
        <v>531.66999999999996</v>
      </c>
      <c r="O1055" t="s">
        <v>25</v>
      </c>
      <c r="P1055" t="s">
        <v>3916</v>
      </c>
      <c r="Q1055" t="s">
        <v>3036</v>
      </c>
      <c r="R1055" t="s">
        <v>4977</v>
      </c>
      <c r="S1055" t="s">
        <v>4992</v>
      </c>
      <c r="T1055" t="s">
        <v>4992</v>
      </c>
    </row>
    <row r="1056" spans="1:20" x14ac:dyDescent="0.25">
      <c r="A1056" t="s">
        <v>3008</v>
      </c>
      <c r="B1056" t="s">
        <v>3009</v>
      </c>
      <c r="C1056" s="1">
        <v>46023.435717592591</v>
      </c>
      <c r="D1056">
        <v>1906.98</v>
      </c>
      <c r="E1056" t="s">
        <v>25</v>
      </c>
      <c r="F1056" t="s">
        <v>429</v>
      </c>
      <c r="G1056" t="s">
        <v>26</v>
      </c>
      <c r="H1056" t="s">
        <v>3010</v>
      </c>
      <c r="I1056" t="s">
        <v>4253</v>
      </c>
      <c r="J1056" t="s">
        <v>3034</v>
      </c>
      <c r="K1056" s="1">
        <v>46023.442662037036</v>
      </c>
      <c r="L1056">
        <v>1906.98</v>
      </c>
      <c r="M1056">
        <v>55.6</v>
      </c>
      <c r="N1056">
        <v>1851.38</v>
      </c>
      <c r="O1056" t="s">
        <v>25</v>
      </c>
      <c r="P1056" t="s">
        <v>3918</v>
      </c>
      <c r="Q1056" t="s">
        <v>3036</v>
      </c>
      <c r="R1056" t="s">
        <v>4977</v>
      </c>
      <c r="S1056" t="s">
        <v>4992</v>
      </c>
      <c r="T1056" t="s">
        <v>4992</v>
      </c>
    </row>
    <row r="1057" spans="1:20" x14ac:dyDescent="0.25">
      <c r="A1057" t="s">
        <v>3008</v>
      </c>
      <c r="B1057" t="s">
        <v>3009</v>
      </c>
      <c r="C1057" s="1">
        <v>46023.435717592591</v>
      </c>
      <c r="D1057">
        <v>1906.98</v>
      </c>
      <c r="E1057" t="s">
        <v>25</v>
      </c>
      <c r="F1057" t="s">
        <v>429</v>
      </c>
      <c r="G1057" t="s">
        <v>26</v>
      </c>
      <c r="H1057" t="s">
        <v>3010</v>
      </c>
      <c r="I1057" t="s">
        <v>4254</v>
      </c>
      <c r="J1057" t="s">
        <v>3076</v>
      </c>
      <c r="K1057" s="1">
        <v>46024.435717592591</v>
      </c>
      <c r="L1057">
        <v>-1906.98</v>
      </c>
      <c r="M1057">
        <v>0</v>
      </c>
      <c r="N1057">
        <v>-1906.98</v>
      </c>
      <c r="O1057" t="s">
        <v>25</v>
      </c>
      <c r="P1057" t="s">
        <v>4255</v>
      </c>
      <c r="Q1057" t="s">
        <v>3036</v>
      </c>
      <c r="R1057" t="s">
        <v>4977</v>
      </c>
      <c r="S1057" t="s">
        <v>4991</v>
      </c>
      <c r="T1057" t="s">
        <v>4992</v>
      </c>
    </row>
    <row r="1058" spans="1:20" x14ac:dyDescent="0.25">
      <c r="A1058" t="s">
        <v>3014</v>
      </c>
      <c r="B1058" t="s">
        <v>3015</v>
      </c>
      <c r="C1058" s="1">
        <v>46025.612233796295</v>
      </c>
      <c r="D1058">
        <v>1860.07</v>
      </c>
      <c r="E1058" t="s">
        <v>25</v>
      </c>
      <c r="F1058" t="s">
        <v>20</v>
      </c>
      <c r="G1058" t="s">
        <v>21</v>
      </c>
      <c r="H1058" t="s">
        <v>3016</v>
      </c>
      <c r="I1058" t="s">
        <v>4256</v>
      </c>
      <c r="J1058" t="s">
        <v>3034</v>
      </c>
      <c r="K1058" s="1">
        <v>46025.61917824074</v>
      </c>
      <c r="L1058">
        <v>1860.07</v>
      </c>
      <c r="M1058">
        <v>54.24</v>
      </c>
      <c r="N1058">
        <v>1805.83</v>
      </c>
      <c r="O1058" t="s">
        <v>25</v>
      </c>
      <c r="P1058" t="s">
        <v>3894</v>
      </c>
      <c r="Q1058" t="s">
        <v>3036</v>
      </c>
      <c r="R1058" t="s">
        <v>4977</v>
      </c>
      <c r="S1058" t="s">
        <v>4992</v>
      </c>
      <c r="T1058" t="s">
        <v>4992</v>
      </c>
    </row>
    <row r="1059" spans="1:20" x14ac:dyDescent="0.25">
      <c r="A1059" t="s">
        <v>3017</v>
      </c>
      <c r="B1059" t="s">
        <v>3018</v>
      </c>
      <c r="C1059" s="1">
        <v>46026.741423611114</v>
      </c>
      <c r="D1059">
        <v>1051.23</v>
      </c>
      <c r="E1059" t="s">
        <v>25</v>
      </c>
      <c r="F1059" t="s">
        <v>20</v>
      </c>
      <c r="G1059" t="s">
        <v>26</v>
      </c>
      <c r="H1059" t="s">
        <v>3019</v>
      </c>
      <c r="I1059" t="s">
        <v>4257</v>
      </c>
      <c r="J1059" t="s">
        <v>3034</v>
      </c>
      <c r="K1059" s="1">
        <v>46026.748368055552</v>
      </c>
      <c r="L1059">
        <v>1051.23</v>
      </c>
      <c r="M1059">
        <v>30.79</v>
      </c>
      <c r="N1059">
        <v>1020.44</v>
      </c>
      <c r="O1059" t="s">
        <v>25</v>
      </c>
      <c r="P1059" t="s">
        <v>3896</v>
      </c>
      <c r="Q1059" t="s">
        <v>3036</v>
      </c>
      <c r="R1059" t="s">
        <v>4977</v>
      </c>
      <c r="S1059" t="s">
        <v>4992</v>
      </c>
      <c r="T1059" t="s">
        <v>4992</v>
      </c>
    </row>
    <row r="1060" spans="1:20" x14ac:dyDescent="0.25">
      <c r="A1060" t="s">
        <v>3020</v>
      </c>
      <c r="B1060" t="s">
        <v>3021</v>
      </c>
      <c r="C1060" s="1">
        <v>46027.801458333335</v>
      </c>
      <c r="D1060">
        <v>2350.64</v>
      </c>
      <c r="E1060" t="s">
        <v>25</v>
      </c>
      <c r="F1060" t="s">
        <v>20</v>
      </c>
      <c r="G1060" t="s">
        <v>30</v>
      </c>
      <c r="H1060" t="s">
        <v>3022</v>
      </c>
      <c r="I1060" t="s">
        <v>4258</v>
      </c>
      <c r="J1060" t="s">
        <v>3034</v>
      </c>
      <c r="K1060" s="1">
        <v>46027.80840277778</v>
      </c>
      <c r="L1060">
        <v>2350.64</v>
      </c>
      <c r="M1060">
        <v>68.47</v>
      </c>
      <c r="N1060">
        <v>2282.17</v>
      </c>
      <c r="O1060" t="s">
        <v>25</v>
      </c>
      <c r="P1060" t="s">
        <v>3923</v>
      </c>
      <c r="Q1060" t="s">
        <v>3036</v>
      </c>
      <c r="R1060" t="s">
        <v>4977</v>
      </c>
      <c r="S1060" t="s">
        <v>4992</v>
      </c>
      <c r="T1060" t="s">
        <v>4992</v>
      </c>
    </row>
    <row r="1061" spans="1:20" x14ac:dyDescent="0.25">
      <c r="A1061" t="s">
        <v>3023</v>
      </c>
      <c r="B1061" t="s">
        <v>3024</v>
      </c>
      <c r="C1061" s="1">
        <v>46028.914803240739</v>
      </c>
      <c r="D1061">
        <v>1943.93</v>
      </c>
      <c r="E1061" t="s">
        <v>52</v>
      </c>
      <c r="F1061" t="s">
        <v>20</v>
      </c>
      <c r="G1061" t="s">
        <v>21</v>
      </c>
      <c r="H1061" t="s">
        <v>3025</v>
      </c>
      <c r="I1061" t="s">
        <v>4259</v>
      </c>
      <c r="J1061" t="s">
        <v>3034</v>
      </c>
      <c r="K1061" s="1">
        <v>46028.921747685185</v>
      </c>
      <c r="L1061">
        <v>1945.04</v>
      </c>
      <c r="M1061">
        <v>56.71</v>
      </c>
      <c r="N1061">
        <v>1888.33</v>
      </c>
      <c r="O1061" t="s">
        <v>52</v>
      </c>
      <c r="P1061" t="s">
        <v>3925</v>
      </c>
      <c r="Q1061" t="s">
        <v>3036</v>
      </c>
      <c r="R1061" t="s">
        <v>4977</v>
      </c>
      <c r="S1061" t="s">
        <v>4991</v>
      </c>
      <c r="T1061" t="s">
        <v>4992</v>
      </c>
    </row>
    <row r="1062" spans="1:20" x14ac:dyDescent="0.25">
      <c r="A1062" t="s">
        <v>69</v>
      </c>
      <c r="B1062" t="s">
        <v>70</v>
      </c>
      <c r="C1062" s="1">
        <v>46024.697858796295</v>
      </c>
      <c r="D1062">
        <v>1287.29</v>
      </c>
      <c r="E1062" t="s">
        <v>25</v>
      </c>
      <c r="F1062" t="s">
        <v>20</v>
      </c>
      <c r="G1062" t="s">
        <v>21</v>
      </c>
      <c r="H1062" t="s">
        <v>71</v>
      </c>
      <c r="K1062" s="1"/>
      <c r="R1062" t="s">
        <v>4978</v>
      </c>
      <c r="S1062" t="s">
        <v>4978</v>
      </c>
      <c r="T1062" t="s">
        <v>4978</v>
      </c>
    </row>
    <row r="1063" spans="1:20" x14ac:dyDescent="0.25">
      <c r="A1063" t="s">
        <v>268</v>
      </c>
      <c r="B1063" t="s">
        <v>269</v>
      </c>
      <c r="C1063" s="1">
        <v>46034.751342592594</v>
      </c>
      <c r="D1063">
        <v>2461.94</v>
      </c>
      <c r="E1063" t="s">
        <v>25</v>
      </c>
      <c r="F1063" t="s">
        <v>20</v>
      </c>
      <c r="G1063" t="s">
        <v>21</v>
      </c>
      <c r="H1063" t="s">
        <v>270</v>
      </c>
      <c r="K1063" s="1"/>
      <c r="R1063" t="s">
        <v>4978</v>
      </c>
      <c r="S1063" t="s">
        <v>4978</v>
      </c>
      <c r="T1063" t="s">
        <v>4978</v>
      </c>
    </row>
    <row r="1064" spans="1:20" x14ac:dyDescent="0.25">
      <c r="A1064" t="s">
        <v>304</v>
      </c>
      <c r="B1064" t="s">
        <v>305</v>
      </c>
      <c r="C1064" s="1">
        <v>46032.886319444442</v>
      </c>
      <c r="D1064">
        <v>511.15</v>
      </c>
      <c r="E1064" t="s">
        <v>25</v>
      </c>
      <c r="F1064" t="s">
        <v>20</v>
      </c>
      <c r="G1064" t="s">
        <v>21</v>
      </c>
      <c r="H1064" t="s">
        <v>306</v>
      </c>
      <c r="K1064" s="1"/>
      <c r="R1064" t="s">
        <v>4978</v>
      </c>
      <c r="S1064" t="s">
        <v>4978</v>
      </c>
      <c r="T1064" t="s">
        <v>4978</v>
      </c>
    </row>
    <row r="1065" spans="1:20" x14ac:dyDescent="0.25">
      <c r="A1065" t="s">
        <v>494</v>
      </c>
      <c r="B1065" t="s">
        <v>495</v>
      </c>
      <c r="C1065" s="1">
        <v>46025.626921296294</v>
      </c>
      <c r="D1065">
        <v>1479.44</v>
      </c>
      <c r="E1065" t="s">
        <v>25</v>
      </c>
      <c r="F1065" t="s">
        <v>20</v>
      </c>
      <c r="G1065" t="s">
        <v>21</v>
      </c>
      <c r="H1065" t="s">
        <v>496</v>
      </c>
      <c r="K1065" s="1"/>
      <c r="R1065" t="s">
        <v>4978</v>
      </c>
      <c r="S1065" t="s">
        <v>4978</v>
      </c>
      <c r="T1065" t="s">
        <v>4978</v>
      </c>
    </row>
    <row r="1066" spans="1:20" x14ac:dyDescent="0.25">
      <c r="A1066" t="s">
        <v>704</v>
      </c>
      <c r="B1066" t="s">
        <v>705</v>
      </c>
      <c r="C1066" s="1">
        <v>46026.052442129629</v>
      </c>
      <c r="D1066">
        <v>1454.17</v>
      </c>
      <c r="E1066" t="s">
        <v>25</v>
      </c>
      <c r="F1066" t="s">
        <v>20</v>
      </c>
      <c r="G1066" t="s">
        <v>26</v>
      </c>
      <c r="H1066" t="s">
        <v>706</v>
      </c>
      <c r="K1066" s="1"/>
      <c r="R1066" t="s">
        <v>4978</v>
      </c>
      <c r="S1066" t="s">
        <v>4978</v>
      </c>
      <c r="T1066" t="s">
        <v>4978</v>
      </c>
    </row>
    <row r="1067" spans="1:20" x14ac:dyDescent="0.25">
      <c r="A1067" t="s">
        <v>1028</v>
      </c>
      <c r="B1067" t="s">
        <v>1029</v>
      </c>
      <c r="C1067" s="1">
        <v>46035.966377314813</v>
      </c>
      <c r="D1067">
        <v>1717.52</v>
      </c>
      <c r="E1067" t="s">
        <v>25</v>
      </c>
      <c r="F1067" t="s">
        <v>20</v>
      </c>
      <c r="G1067" t="s">
        <v>26</v>
      </c>
      <c r="H1067" t="s">
        <v>1030</v>
      </c>
      <c r="K1067" s="1"/>
      <c r="R1067" t="s">
        <v>4978</v>
      </c>
      <c r="S1067" t="s">
        <v>4978</v>
      </c>
      <c r="T1067" t="s">
        <v>4978</v>
      </c>
    </row>
    <row r="1068" spans="1:20" x14ac:dyDescent="0.25">
      <c r="A1068" t="s">
        <v>1388</v>
      </c>
      <c r="B1068" t="s">
        <v>1389</v>
      </c>
      <c r="C1068" s="1">
        <v>46029.962581018517</v>
      </c>
      <c r="D1068">
        <v>2090.86</v>
      </c>
      <c r="E1068" t="s">
        <v>25</v>
      </c>
      <c r="F1068" t="s">
        <v>20</v>
      </c>
      <c r="G1068" t="s">
        <v>26</v>
      </c>
      <c r="H1068" t="s">
        <v>1390</v>
      </c>
      <c r="K1068" s="1"/>
      <c r="R1068" t="s">
        <v>4978</v>
      </c>
      <c r="S1068" t="s">
        <v>4978</v>
      </c>
      <c r="T1068" t="s">
        <v>4978</v>
      </c>
    </row>
    <row r="1069" spans="1:20" x14ac:dyDescent="0.25">
      <c r="A1069" t="s">
        <v>1418</v>
      </c>
      <c r="B1069" t="s">
        <v>1419</v>
      </c>
      <c r="C1069" s="1">
        <v>46025.869699074072</v>
      </c>
      <c r="D1069">
        <v>809.07</v>
      </c>
      <c r="E1069" t="s">
        <v>25</v>
      </c>
      <c r="F1069" t="s">
        <v>20</v>
      </c>
      <c r="G1069" t="s">
        <v>30</v>
      </c>
      <c r="H1069" t="s">
        <v>1420</v>
      </c>
      <c r="K1069" s="1"/>
      <c r="R1069" t="s">
        <v>4978</v>
      </c>
      <c r="S1069" t="s">
        <v>4978</v>
      </c>
      <c r="T1069" t="s">
        <v>4978</v>
      </c>
    </row>
    <row r="1070" spans="1:20" x14ac:dyDescent="0.25">
      <c r="A1070" t="s">
        <v>1427</v>
      </c>
      <c r="B1070" t="s">
        <v>1428</v>
      </c>
      <c r="C1070" s="1">
        <v>46029.123854166668</v>
      </c>
      <c r="D1070">
        <v>1823.14</v>
      </c>
      <c r="E1070" t="s">
        <v>25</v>
      </c>
      <c r="F1070" t="s">
        <v>20</v>
      </c>
      <c r="G1070" t="s">
        <v>30</v>
      </c>
      <c r="H1070" t="s">
        <v>1429</v>
      </c>
      <c r="K1070" s="1"/>
      <c r="R1070" t="s">
        <v>4978</v>
      </c>
      <c r="S1070" t="s">
        <v>4978</v>
      </c>
      <c r="T1070" t="s">
        <v>4978</v>
      </c>
    </row>
    <row r="1071" spans="1:20" x14ac:dyDescent="0.25">
      <c r="A1071" t="s">
        <v>1493</v>
      </c>
      <c r="B1071" t="s">
        <v>1494</v>
      </c>
      <c r="C1071" s="1">
        <v>46037.170532407406</v>
      </c>
      <c r="D1071">
        <v>1907.21</v>
      </c>
      <c r="E1071" t="s">
        <v>52</v>
      </c>
      <c r="F1071" t="s">
        <v>20</v>
      </c>
      <c r="G1071" t="s">
        <v>21</v>
      </c>
      <c r="H1071" t="s">
        <v>1495</v>
      </c>
      <c r="K1071" s="1"/>
      <c r="R1071" t="s">
        <v>4978</v>
      </c>
      <c r="S1071" t="s">
        <v>4978</v>
      </c>
      <c r="T1071" t="s">
        <v>4978</v>
      </c>
    </row>
    <row r="1072" spans="1:20" x14ac:dyDescent="0.25">
      <c r="A1072" t="s">
        <v>1604</v>
      </c>
      <c r="B1072" t="s">
        <v>1605</v>
      </c>
      <c r="C1072" s="1">
        <v>46031.555092592593</v>
      </c>
      <c r="D1072">
        <v>1883.5</v>
      </c>
      <c r="E1072" t="s">
        <v>25</v>
      </c>
      <c r="F1072" t="s">
        <v>20</v>
      </c>
      <c r="G1072" t="s">
        <v>26</v>
      </c>
      <c r="H1072" t="s">
        <v>1606</v>
      </c>
      <c r="K1072" s="1"/>
      <c r="R1072" t="s">
        <v>4978</v>
      </c>
      <c r="S1072" t="s">
        <v>4978</v>
      </c>
      <c r="T1072" t="s">
        <v>4978</v>
      </c>
    </row>
    <row r="1073" spans="1:20" x14ac:dyDescent="0.25">
      <c r="A1073" t="s">
        <v>1712</v>
      </c>
      <c r="B1073" t="s">
        <v>1713</v>
      </c>
      <c r="C1073" s="1">
        <v>46025.861354166664</v>
      </c>
      <c r="D1073">
        <v>370.67</v>
      </c>
      <c r="E1073" t="s">
        <v>25</v>
      </c>
      <c r="F1073" t="s">
        <v>20</v>
      </c>
      <c r="G1073" t="s">
        <v>26</v>
      </c>
      <c r="H1073" t="s">
        <v>1714</v>
      </c>
      <c r="K1073" s="1"/>
      <c r="R1073" t="s">
        <v>4978</v>
      </c>
      <c r="S1073" t="s">
        <v>4978</v>
      </c>
      <c r="T1073" t="s">
        <v>4978</v>
      </c>
    </row>
    <row r="1074" spans="1:20" x14ac:dyDescent="0.25">
      <c r="A1074" t="s">
        <v>2051</v>
      </c>
      <c r="B1074" t="s">
        <v>2052</v>
      </c>
      <c r="C1074" s="1">
        <v>46027.223969907405</v>
      </c>
      <c r="D1074">
        <v>88.44</v>
      </c>
      <c r="E1074" t="s">
        <v>25</v>
      </c>
      <c r="F1074" t="s">
        <v>20</v>
      </c>
      <c r="G1074" t="s">
        <v>21</v>
      </c>
      <c r="H1074" t="s">
        <v>2053</v>
      </c>
      <c r="K1074" s="1"/>
      <c r="R1074" t="s">
        <v>4978</v>
      </c>
      <c r="S1074" t="s">
        <v>4978</v>
      </c>
      <c r="T1074" t="s">
        <v>4978</v>
      </c>
    </row>
    <row r="1075" spans="1:20" x14ac:dyDescent="0.25">
      <c r="A1075" t="s">
        <v>2417</v>
      </c>
      <c r="B1075" t="s">
        <v>2418</v>
      </c>
      <c r="C1075" s="1">
        <v>46036.39267361111</v>
      </c>
      <c r="D1075">
        <v>1562.03</v>
      </c>
      <c r="E1075" t="s">
        <v>25</v>
      </c>
      <c r="F1075" t="s">
        <v>20</v>
      </c>
      <c r="G1075" t="s">
        <v>30</v>
      </c>
      <c r="H1075" t="s">
        <v>2419</v>
      </c>
      <c r="K1075" s="1"/>
      <c r="R1075" t="s">
        <v>4978</v>
      </c>
      <c r="S1075" t="s">
        <v>4978</v>
      </c>
      <c r="T1075" t="s">
        <v>4978</v>
      </c>
    </row>
    <row r="1076" spans="1:20" x14ac:dyDescent="0.25">
      <c r="A1076" t="s">
        <v>2555</v>
      </c>
      <c r="B1076" t="s">
        <v>2556</v>
      </c>
      <c r="C1076" s="1">
        <v>46026.600937499999</v>
      </c>
      <c r="D1076">
        <v>2191.5500000000002</v>
      </c>
      <c r="E1076" t="s">
        <v>25</v>
      </c>
      <c r="F1076" t="s">
        <v>20</v>
      </c>
      <c r="G1076" t="s">
        <v>21</v>
      </c>
      <c r="H1076" t="s">
        <v>2557</v>
      </c>
      <c r="K1076" s="1"/>
      <c r="R1076" t="s">
        <v>4978</v>
      </c>
      <c r="S1076" t="s">
        <v>4978</v>
      </c>
      <c r="T1076" t="s">
        <v>4978</v>
      </c>
    </row>
    <row r="1077" spans="1:20" x14ac:dyDescent="0.25">
      <c r="A1077" t="s">
        <v>2669</v>
      </c>
      <c r="B1077" t="s">
        <v>2670</v>
      </c>
      <c r="C1077" s="1">
        <v>46037.097349537034</v>
      </c>
      <c r="D1077">
        <v>2223.6</v>
      </c>
      <c r="E1077" t="s">
        <v>25</v>
      </c>
      <c r="F1077" t="s">
        <v>20</v>
      </c>
      <c r="G1077" t="s">
        <v>30</v>
      </c>
      <c r="H1077" t="s">
        <v>2671</v>
      </c>
      <c r="K1077" s="1"/>
      <c r="R1077" t="s">
        <v>4978</v>
      </c>
      <c r="S1077" t="s">
        <v>4978</v>
      </c>
      <c r="T1077" t="s">
        <v>4978</v>
      </c>
    </row>
    <row r="1078" spans="1:20" x14ac:dyDescent="0.25">
      <c r="A1078" t="s">
        <v>2684</v>
      </c>
      <c r="B1078" t="s">
        <v>2685</v>
      </c>
      <c r="C1078" s="1">
        <v>46027.531215277777</v>
      </c>
      <c r="D1078">
        <v>1964.34</v>
      </c>
      <c r="E1078" t="s">
        <v>25</v>
      </c>
      <c r="F1078" t="s">
        <v>20</v>
      </c>
      <c r="G1078" t="s">
        <v>26</v>
      </c>
      <c r="H1078" t="s">
        <v>2686</v>
      </c>
      <c r="K1078" s="1"/>
      <c r="R1078" t="s">
        <v>4978</v>
      </c>
      <c r="S1078" t="s">
        <v>4978</v>
      </c>
      <c r="T1078" t="s">
        <v>4978</v>
      </c>
    </row>
    <row r="1079" spans="1:20" x14ac:dyDescent="0.25">
      <c r="A1079" t="s">
        <v>2963</v>
      </c>
      <c r="B1079" t="s">
        <v>2964</v>
      </c>
      <c r="C1079" s="1">
        <v>46037.089085648149</v>
      </c>
      <c r="D1079">
        <v>971.85</v>
      </c>
      <c r="E1079" t="s">
        <v>52</v>
      </c>
      <c r="F1079" t="s">
        <v>20</v>
      </c>
      <c r="G1079" t="s">
        <v>26</v>
      </c>
      <c r="H1079" t="s">
        <v>2965</v>
      </c>
      <c r="K1079" s="1"/>
      <c r="R1079" t="s">
        <v>4978</v>
      </c>
      <c r="S1079" t="s">
        <v>4978</v>
      </c>
      <c r="T1079" t="s">
        <v>4978</v>
      </c>
    </row>
    <row r="1080" spans="1:20" x14ac:dyDescent="0.25">
      <c r="A1080" t="s">
        <v>2966</v>
      </c>
      <c r="B1080" t="s">
        <v>2967</v>
      </c>
      <c r="C1080" s="1">
        <v>46024.181377314817</v>
      </c>
      <c r="D1080">
        <v>1487.31</v>
      </c>
      <c r="E1080" t="s">
        <v>19</v>
      </c>
      <c r="F1080" t="s">
        <v>20</v>
      </c>
      <c r="G1080" t="s">
        <v>30</v>
      </c>
      <c r="H1080" t="s">
        <v>2968</v>
      </c>
      <c r="K1080" s="1"/>
      <c r="R1080" t="s">
        <v>4978</v>
      </c>
      <c r="S1080" t="s">
        <v>4978</v>
      </c>
      <c r="T1080" t="s">
        <v>4978</v>
      </c>
    </row>
    <row r="1081" spans="1:20" x14ac:dyDescent="0.25">
      <c r="A1081" t="s">
        <v>3011</v>
      </c>
      <c r="B1081" t="s">
        <v>3012</v>
      </c>
      <c r="C1081" s="1">
        <v>46024.536238425928</v>
      </c>
      <c r="D1081">
        <v>1177.99</v>
      </c>
      <c r="E1081" t="s">
        <v>25</v>
      </c>
      <c r="F1081" t="s">
        <v>20</v>
      </c>
      <c r="G1081" t="s">
        <v>30</v>
      </c>
      <c r="H1081" t="s">
        <v>3013</v>
      </c>
      <c r="K1081" s="1"/>
      <c r="R1081" t="s">
        <v>4978</v>
      </c>
      <c r="S1081" t="s">
        <v>4978</v>
      </c>
      <c r="T1081" t="s">
        <v>4978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B1C9-07FB-4D93-99C1-77331EFE5AED}">
  <dimension ref="A1:H1011"/>
  <sheetViews>
    <sheetView workbookViewId="0">
      <selection activeCell="C14" sqref="C14"/>
    </sheetView>
  </sheetViews>
  <sheetFormatPr defaultRowHeight="15" x14ac:dyDescent="0.25"/>
  <cols>
    <col min="1" max="1" width="21.85546875" bestFit="1" customWidth="1"/>
    <col min="2" max="2" width="20.42578125" bestFit="1" customWidth="1"/>
    <col min="3" max="3" width="15.5703125" bestFit="1" customWidth="1"/>
    <col min="4" max="4" width="16" bestFit="1" customWidth="1"/>
    <col min="5" max="5" width="11.140625" bestFit="1" customWidth="1"/>
    <col min="6" max="7" width="20.42578125" bestFit="1" customWidth="1"/>
    <col min="8" max="8" width="31.42578125" bestFit="1" customWidth="1"/>
  </cols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17</v>
      </c>
      <c r="B2" t="s">
        <v>18</v>
      </c>
      <c r="C2" s="1">
        <v>46023.331759259258</v>
      </c>
      <c r="D2">
        <v>1278.74</v>
      </c>
      <c r="E2" t="s">
        <v>19</v>
      </c>
      <c r="F2" t="s">
        <v>20</v>
      </c>
      <c r="G2" t="s">
        <v>21</v>
      </c>
      <c r="H2" t="s">
        <v>22</v>
      </c>
    </row>
    <row r="3" spans="1:8" x14ac:dyDescent="0.25">
      <c r="A3" t="s">
        <v>23</v>
      </c>
      <c r="B3" t="s">
        <v>24</v>
      </c>
      <c r="C3" s="1">
        <v>46024.443518518521</v>
      </c>
      <c r="D3">
        <v>959.03</v>
      </c>
      <c r="E3" t="s">
        <v>25</v>
      </c>
      <c r="F3" t="s">
        <v>20</v>
      </c>
      <c r="G3" t="s">
        <v>26</v>
      </c>
      <c r="H3" t="s">
        <v>27</v>
      </c>
    </row>
    <row r="4" spans="1:8" x14ac:dyDescent="0.25">
      <c r="A4" t="s">
        <v>28</v>
      </c>
      <c r="B4" t="s">
        <v>29</v>
      </c>
      <c r="C4" s="1">
        <v>46025.52416666667</v>
      </c>
      <c r="D4">
        <v>1304.44</v>
      </c>
      <c r="E4" t="s">
        <v>25</v>
      </c>
      <c r="F4" t="s">
        <v>20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s="1">
        <v>46026.604513888888</v>
      </c>
      <c r="D5">
        <v>1506.47</v>
      </c>
      <c r="E5" t="s">
        <v>25</v>
      </c>
      <c r="F5" t="s">
        <v>20</v>
      </c>
      <c r="G5" t="s">
        <v>21</v>
      </c>
      <c r="H5" t="s">
        <v>34</v>
      </c>
    </row>
    <row r="6" spans="1:8" x14ac:dyDescent="0.25">
      <c r="A6" t="s">
        <v>35</v>
      </c>
      <c r="B6" t="s">
        <v>36</v>
      </c>
      <c r="C6" s="1">
        <v>46027.693078703705</v>
      </c>
      <c r="D6">
        <v>2052.98</v>
      </c>
      <c r="E6" t="s">
        <v>25</v>
      </c>
      <c r="F6" t="s">
        <v>20</v>
      </c>
      <c r="G6" t="s">
        <v>26</v>
      </c>
      <c r="H6" t="s">
        <v>37</v>
      </c>
    </row>
    <row r="7" spans="1:8" x14ac:dyDescent="0.25">
      <c r="A7" t="s">
        <v>38</v>
      </c>
      <c r="B7" t="s">
        <v>39</v>
      </c>
      <c r="C7" s="1">
        <v>46028.814085648148</v>
      </c>
      <c r="D7">
        <v>2487.4299999999998</v>
      </c>
      <c r="E7" t="s">
        <v>25</v>
      </c>
      <c r="F7" t="s">
        <v>20</v>
      </c>
      <c r="G7" t="s">
        <v>30</v>
      </c>
      <c r="H7" t="s">
        <v>40</v>
      </c>
    </row>
    <row r="8" spans="1:8" x14ac:dyDescent="0.25">
      <c r="A8" t="s">
        <v>41</v>
      </c>
      <c r="B8" t="s">
        <v>42</v>
      </c>
      <c r="C8" s="1">
        <v>46029.87939814815</v>
      </c>
      <c r="D8">
        <v>765.03</v>
      </c>
      <c r="E8" t="s">
        <v>25</v>
      </c>
      <c r="F8" t="s">
        <v>20</v>
      </c>
      <c r="G8" t="s">
        <v>21</v>
      </c>
      <c r="H8" t="s">
        <v>43</v>
      </c>
    </row>
    <row r="9" spans="1:8" x14ac:dyDescent="0.25">
      <c r="A9" t="s">
        <v>44</v>
      </c>
      <c r="B9" t="s">
        <v>45</v>
      </c>
      <c r="C9" s="1">
        <v>46030.993252314816</v>
      </c>
      <c r="D9">
        <v>2425.3200000000002</v>
      </c>
      <c r="E9" t="s">
        <v>25</v>
      </c>
      <c r="F9" t="s">
        <v>20</v>
      </c>
      <c r="G9" t="s">
        <v>26</v>
      </c>
      <c r="H9" t="s">
        <v>46</v>
      </c>
    </row>
    <row r="10" spans="1:8" x14ac:dyDescent="0.25">
      <c r="A10" t="s">
        <v>47</v>
      </c>
      <c r="B10" t="s">
        <v>48</v>
      </c>
      <c r="C10" s="1">
        <v>46032.086817129632</v>
      </c>
      <c r="D10">
        <v>335.41</v>
      </c>
      <c r="E10" t="s">
        <v>25</v>
      </c>
      <c r="F10" t="s">
        <v>20</v>
      </c>
      <c r="G10" t="s">
        <v>30</v>
      </c>
      <c r="H10" t="s">
        <v>49</v>
      </c>
    </row>
    <row r="11" spans="1:8" x14ac:dyDescent="0.25">
      <c r="A11" t="s">
        <v>50</v>
      </c>
      <c r="B11" t="s">
        <v>51</v>
      </c>
      <c r="C11" s="1">
        <v>46033.172384259262</v>
      </c>
      <c r="D11">
        <v>2485.5</v>
      </c>
      <c r="E11" t="s">
        <v>52</v>
      </c>
      <c r="F11" t="s">
        <v>20</v>
      </c>
      <c r="G11" t="s">
        <v>21</v>
      </c>
      <c r="H11" t="s">
        <v>53</v>
      </c>
    </row>
    <row r="12" spans="1:8" x14ac:dyDescent="0.25">
      <c r="A12" t="s">
        <v>54</v>
      </c>
      <c r="B12" t="s">
        <v>55</v>
      </c>
      <c r="C12" s="1">
        <v>46033.263067129628</v>
      </c>
      <c r="D12">
        <v>2445.44</v>
      </c>
      <c r="E12" t="s">
        <v>19</v>
      </c>
      <c r="F12" t="s">
        <v>20</v>
      </c>
      <c r="G12" t="s">
        <v>26</v>
      </c>
      <c r="H12" t="s">
        <v>56</v>
      </c>
    </row>
    <row r="13" spans="1:8" x14ac:dyDescent="0.25">
      <c r="A13" t="s">
        <v>57</v>
      </c>
      <c r="B13" t="s">
        <v>58</v>
      </c>
      <c r="C13" s="1">
        <v>46034.359861111108</v>
      </c>
      <c r="D13">
        <v>2081.4299999999998</v>
      </c>
      <c r="E13" t="s">
        <v>25</v>
      </c>
      <c r="F13" t="s">
        <v>20</v>
      </c>
      <c r="G13" t="s">
        <v>30</v>
      </c>
      <c r="H13" t="s">
        <v>59</v>
      </c>
    </row>
    <row r="14" spans="1:8" x14ac:dyDescent="0.25">
      <c r="A14" t="s">
        <v>60</v>
      </c>
      <c r="B14" t="s">
        <v>61</v>
      </c>
      <c r="C14" s="1">
        <v>46035.434479166666</v>
      </c>
      <c r="D14">
        <v>913.23</v>
      </c>
      <c r="E14" t="s">
        <v>25</v>
      </c>
      <c r="F14" t="s">
        <v>20</v>
      </c>
      <c r="G14" t="s">
        <v>21</v>
      </c>
      <c r="H14" t="s">
        <v>62</v>
      </c>
    </row>
    <row r="15" spans="1:8" x14ac:dyDescent="0.25">
      <c r="A15" t="s">
        <v>63</v>
      </c>
      <c r="B15" t="s">
        <v>64</v>
      </c>
      <c r="C15" s="1">
        <v>46036.518067129633</v>
      </c>
      <c r="D15">
        <v>337.01</v>
      </c>
      <c r="E15" t="s">
        <v>25</v>
      </c>
      <c r="F15" t="s">
        <v>20</v>
      </c>
      <c r="G15" t="s">
        <v>26</v>
      </c>
      <c r="H15" t="s">
        <v>65</v>
      </c>
    </row>
    <row r="16" spans="1:8" x14ac:dyDescent="0.25">
      <c r="A16" t="s">
        <v>66</v>
      </c>
      <c r="B16" t="s">
        <v>67</v>
      </c>
      <c r="C16" s="1">
        <v>46023.630671296298</v>
      </c>
      <c r="D16">
        <v>2300.7199999999998</v>
      </c>
      <c r="E16" t="s">
        <v>25</v>
      </c>
      <c r="F16" t="s">
        <v>20</v>
      </c>
      <c r="G16" t="s">
        <v>30</v>
      </c>
      <c r="H16" t="s">
        <v>68</v>
      </c>
    </row>
    <row r="17" spans="1:8" x14ac:dyDescent="0.25">
      <c r="A17" t="s">
        <v>69</v>
      </c>
      <c r="B17" t="s">
        <v>70</v>
      </c>
      <c r="C17" s="1">
        <v>46024.697858796295</v>
      </c>
      <c r="D17">
        <v>1287.29</v>
      </c>
      <c r="E17" t="s">
        <v>25</v>
      </c>
      <c r="F17" t="s">
        <v>20</v>
      </c>
      <c r="G17" t="s">
        <v>21</v>
      </c>
      <c r="H17" t="s">
        <v>71</v>
      </c>
    </row>
    <row r="18" spans="1:8" x14ac:dyDescent="0.25">
      <c r="A18" t="s">
        <v>72</v>
      </c>
      <c r="B18" t="s">
        <v>73</v>
      </c>
      <c r="C18" s="1">
        <v>46025.792847222219</v>
      </c>
      <c r="D18">
        <v>761.14</v>
      </c>
      <c r="E18" t="s">
        <v>25</v>
      </c>
      <c r="F18" t="s">
        <v>20</v>
      </c>
      <c r="G18" t="s">
        <v>26</v>
      </c>
      <c r="H18" t="s">
        <v>74</v>
      </c>
    </row>
    <row r="19" spans="1:8" x14ac:dyDescent="0.25">
      <c r="A19" t="s">
        <v>75</v>
      </c>
      <c r="B19" t="s">
        <v>76</v>
      </c>
      <c r="C19" s="1">
        <v>46026.91878472222</v>
      </c>
      <c r="D19">
        <v>1163.21</v>
      </c>
      <c r="E19" t="s">
        <v>25</v>
      </c>
      <c r="F19" t="s">
        <v>20</v>
      </c>
      <c r="G19" t="s">
        <v>30</v>
      </c>
      <c r="H19" t="s">
        <v>77</v>
      </c>
    </row>
    <row r="20" spans="1:8" x14ac:dyDescent="0.25">
      <c r="A20" t="s">
        <v>78</v>
      </c>
      <c r="B20" t="s">
        <v>79</v>
      </c>
      <c r="C20" s="1">
        <v>46028.008761574078</v>
      </c>
      <c r="D20">
        <v>1073.8</v>
      </c>
      <c r="E20" t="s">
        <v>25</v>
      </c>
      <c r="F20" t="s">
        <v>20</v>
      </c>
      <c r="G20" t="s">
        <v>21</v>
      </c>
      <c r="H20" t="s">
        <v>80</v>
      </c>
    </row>
    <row r="21" spans="1:8" x14ac:dyDescent="0.25">
      <c r="A21" t="s">
        <v>81</v>
      </c>
      <c r="B21" t="s">
        <v>82</v>
      </c>
      <c r="C21" s="1">
        <v>46029.076180555552</v>
      </c>
      <c r="D21">
        <v>48.73</v>
      </c>
      <c r="E21" t="s">
        <v>52</v>
      </c>
      <c r="F21" t="s">
        <v>20</v>
      </c>
      <c r="G21" t="s">
        <v>26</v>
      </c>
      <c r="H21" t="s">
        <v>83</v>
      </c>
    </row>
    <row r="22" spans="1:8" x14ac:dyDescent="0.25">
      <c r="A22" t="s">
        <v>84</v>
      </c>
      <c r="B22" t="s">
        <v>85</v>
      </c>
      <c r="C22" s="1">
        <v>46030.16165509259</v>
      </c>
      <c r="D22">
        <v>729.25</v>
      </c>
      <c r="E22" t="s">
        <v>19</v>
      </c>
      <c r="F22" t="s">
        <v>20</v>
      </c>
      <c r="G22" t="s">
        <v>30</v>
      </c>
      <c r="H22" t="s">
        <v>86</v>
      </c>
    </row>
    <row r="23" spans="1:8" x14ac:dyDescent="0.25">
      <c r="A23" t="s">
        <v>87</v>
      </c>
      <c r="B23" t="s">
        <v>88</v>
      </c>
      <c r="C23" s="1">
        <v>46030.24863425926</v>
      </c>
      <c r="D23">
        <v>1387.06</v>
      </c>
      <c r="E23" t="s">
        <v>25</v>
      </c>
      <c r="F23" t="s">
        <v>20</v>
      </c>
      <c r="G23" t="s">
        <v>21</v>
      </c>
      <c r="H23" t="s">
        <v>89</v>
      </c>
    </row>
    <row r="24" spans="1:8" x14ac:dyDescent="0.25">
      <c r="A24" t="s">
        <v>90</v>
      </c>
      <c r="B24" t="s">
        <v>91</v>
      </c>
      <c r="C24" s="1">
        <v>46031.340995370374</v>
      </c>
      <c r="D24">
        <v>1437.16</v>
      </c>
      <c r="E24" t="s">
        <v>25</v>
      </c>
      <c r="F24" t="s">
        <v>92</v>
      </c>
      <c r="G24" t="s">
        <v>26</v>
      </c>
      <c r="H24" t="s">
        <v>93</v>
      </c>
    </row>
    <row r="25" spans="1:8" x14ac:dyDescent="0.25">
      <c r="A25" t="s">
        <v>94</v>
      </c>
      <c r="B25" t="s">
        <v>95</v>
      </c>
      <c r="C25" s="1">
        <v>46032.456979166665</v>
      </c>
      <c r="D25">
        <v>1268.9000000000001</v>
      </c>
      <c r="E25" t="s">
        <v>25</v>
      </c>
      <c r="F25" t="s">
        <v>20</v>
      </c>
      <c r="G25" t="s">
        <v>30</v>
      </c>
      <c r="H25" t="s">
        <v>96</v>
      </c>
    </row>
    <row r="26" spans="1:8" x14ac:dyDescent="0.25">
      <c r="A26" t="s">
        <v>97</v>
      </c>
      <c r="B26" t="s">
        <v>98</v>
      </c>
      <c r="C26" s="1">
        <v>46033.536365740743</v>
      </c>
      <c r="D26">
        <v>1602.31</v>
      </c>
      <c r="E26" t="s">
        <v>25</v>
      </c>
      <c r="F26" t="s">
        <v>20</v>
      </c>
      <c r="G26" t="s">
        <v>21</v>
      </c>
      <c r="H26" t="s">
        <v>99</v>
      </c>
    </row>
    <row r="27" spans="1:8" x14ac:dyDescent="0.25">
      <c r="A27" t="s">
        <v>100</v>
      </c>
      <c r="B27" t="s">
        <v>101</v>
      </c>
      <c r="C27" s="1">
        <v>46034.634467592594</v>
      </c>
      <c r="D27">
        <v>2124.09</v>
      </c>
      <c r="E27" t="s">
        <v>25</v>
      </c>
      <c r="F27" t="s">
        <v>20</v>
      </c>
      <c r="G27" t="s">
        <v>26</v>
      </c>
      <c r="H27" t="s">
        <v>102</v>
      </c>
    </row>
    <row r="28" spans="1:8" x14ac:dyDescent="0.25">
      <c r="A28" t="s">
        <v>103</v>
      </c>
      <c r="B28" t="s">
        <v>104</v>
      </c>
      <c r="C28" s="1">
        <v>46035.718819444446</v>
      </c>
      <c r="D28">
        <v>2255.6799999999998</v>
      </c>
      <c r="E28" t="s">
        <v>25</v>
      </c>
      <c r="F28" t="s">
        <v>20</v>
      </c>
      <c r="G28" t="s">
        <v>30</v>
      </c>
      <c r="H28" t="s">
        <v>105</v>
      </c>
    </row>
    <row r="29" spans="1:8" x14ac:dyDescent="0.25">
      <c r="A29" t="s">
        <v>106</v>
      </c>
      <c r="B29" t="s">
        <v>107</v>
      </c>
      <c r="C29" s="1">
        <v>46036.833715277775</v>
      </c>
      <c r="D29">
        <v>1215.6199999999999</v>
      </c>
      <c r="E29" t="s">
        <v>25</v>
      </c>
      <c r="F29" t="s">
        <v>92</v>
      </c>
      <c r="G29" t="s">
        <v>21</v>
      </c>
      <c r="H29" t="s">
        <v>108</v>
      </c>
    </row>
    <row r="30" spans="1:8" x14ac:dyDescent="0.25">
      <c r="A30" t="s">
        <v>109</v>
      </c>
      <c r="B30" t="s">
        <v>110</v>
      </c>
      <c r="C30" s="1">
        <v>46023.92046296296</v>
      </c>
      <c r="D30">
        <v>2232.77</v>
      </c>
      <c r="E30" t="s">
        <v>25</v>
      </c>
      <c r="F30" t="s">
        <v>20</v>
      </c>
      <c r="G30" t="s">
        <v>26</v>
      </c>
      <c r="H30" t="s">
        <v>111</v>
      </c>
    </row>
    <row r="31" spans="1:8" x14ac:dyDescent="0.25">
      <c r="A31" t="s">
        <v>112</v>
      </c>
      <c r="B31" t="s">
        <v>113</v>
      </c>
      <c r="C31" s="1">
        <v>46024.99082175926</v>
      </c>
      <c r="D31">
        <v>1815.34</v>
      </c>
      <c r="E31" t="s">
        <v>52</v>
      </c>
      <c r="F31" t="s">
        <v>20</v>
      </c>
      <c r="G31" t="s">
        <v>30</v>
      </c>
      <c r="H31" t="s">
        <v>114</v>
      </c>
    </row>
    <row r="32" spans="1:8" x14ac:dyDescent="0.25">
      <c r="A32" t="s">
        <v>115</v>
      </c>
      <c r="B32" t="s">
        <v>116</v>
      </c>
      <c r="C32" s="1">
        <v>46026.079398148147</v>
      </c>
      <c r="D32">
        <v>571.97</v>
      </c>
      <c r="E32" t="s">
        <v>19</v>
      </c>
      <c r="F32" t="s">
        <v>20</v>
      </c>
      <c r="G32" t="s">
        <v>21</v>
      </c>
      <c r="H32" t="s">
        <v>117</v>
      </c>
    </row>
    <row r="33" spans="1:8" x14ac:dyDescent="0.25">
      <c r="A33" t="s">
        <v>118</v>
      </c>
      <c r="B33" t="s">
        <v>119</v>
      </c>
      <c r="C33" s="1">
        <v>46027.166631944441</v>
      </c>
      <c r="D33">
        <v>1173.1300000000001</v>
      </c>
      <c r="E33" t="s">
        <v>25</v>
      </c>
      <c r="F33" t="s">
        <v>20</v>
      </c>
      <c r="G33" t="s">
        <v>26</v>
      </c>
      <c r="H33" t="s">
        <v>120</v>
      </c>
    </row>
    <row r="34" spans="1:8" x14ac:dyDescent="0.25">
      <c r="A34" t="s">
        <v>121</v>
      </c>
      <c r="B34" t="s">
        <v>122</v>
      </c>
      <c r="C34" s="1">
        <v>46027.257962962962</v>
      </c>
      <c r="D34">
        <v>1959.72</v>
      </c>
      <c r="E34" t="s">
        <v>25</v>
      </c>
      <c r="F34" t="s">
        <v>20</v>
      </c>
      <c r="G34" t="s">
        <v>30</v>
      </c>
      <c r="H34" t="s">
        <v>123</v>
      </c>
    </row>
    <row r="35" spans="1:8" x14ac:dyDescent="0.25">
      <c r="A35" t="s">
        <v>124</v>
      </c>
      <c r="B35" t="s">
        <v>125</v>
      </c>
      <c r="C35" s="1">
        <v>46028.361493055556</v>
      </c>
      <c r="D35">
        <v>1682.53</v>
      </c>
      <c r="E35" t="s">
        <v>25</v>
      </c>
      <c r="F35" t="s">
        <v>20</v>
      </c>
      <c r="G35" t="s">
        <v>21</v>
      </c>
      <c r="H35" t="s">
        <v>126</v>
      </c>
    </row>
    <row r="36" spans="1:8" x14ac:dyDescent="0.25">
      <c r="A36" t="s">
        <v>127</v>
      </c>
      <c r="B36" t="s">
        <v>128</v>
      </c>
      <c r="C36" s="1">
        <v>46029.467314814814</v>
      </c>
      <c r="D36">
        <v>440.56</v>
      </c>
      <c r="E36" t="s">
        <v>25</v>
      </c>
      <c r="F36" t="s">
        <v>20</v>
      </c>
      <c r="G36" t="s">
        <v>26</v>
      </c>
      <c r="H36" t="s">
        <v>129</v>
      </c>
    </row>
    <row r="37" spans="1:8" x14ac:dyDescent="0.25">
      <c r="A37" t="s">
        <v>130</v>
      </c>
      <c r="B37" t="s">
        <v>131</v>
      </c>
      <c r="C37" s="1">
        <v>46030.529826388891</v>
      </c>
      <c r="D37">
        <v>1204.1199999999999</v>
      </c>
      <c r="E37" t="s">
        <v>25</v>
      </c>
      <c r="F37" t="s">
        <v>20</v>
      </c>
      <c r="G37" t="s">
        <v>30</v>
      </c>
      <c r="H37" t="s">
        <v>132</v>
      </c>
    </row>
    <row r="38" spans="1:8" x14ac:dyDescent="0.25">
      <c r="A38" t="s">
        <v>133</v>
      </c>
      <c r="B38" t="s">
        <v>134</v>
      </c>
      <c r="C38" s="1">
        <v>46031.656770833331</v>
      </c>
      <c r="D38">
        <v>1174.22</v>
      </c>
      <c r="E38" t="s">
        <v>25</v>
      </c>
      <c r="F38" t="s">
        <v>20</v>
      </c>
      <c r="G38" t="s">
        <v>21</v>
      </c>
      <c r="H38" t="s">
        <v>135</v>
      </c>
    </row>
    <row r="39" spans="1:8" x14ac:dyDescent="0.25">
      <c r="A39" t="s">
        <v>136</v>
      </c>
      <c r="B39" t="s">
        <v>137</v>
      </c>
      <c r="C39" s="1">
        <v>46032.746481481481</v>
      </c>
      <c r="D39">
        <v>1871.76</v>
      </c>
      <c r="E39" t="s">
        <v>25</v>
      </c>
      <c r="F39" t="s">
        <v>20</v>
      </c>
      <c r="G39" t="s">
        <v>26</v>
      </c>
      <c r="H39" t="s">
        <v>138</v>
      </c>
    </row>
    <row r="40" spans="1:8" x14ac:dyDescent="0.25">
      <c r="A40" t="s">
        <v>139</v>
      </c>
      <c r="B40" t="s">
        <v>140</v>
      </c>
      <c r="C40" s="1">
        <v>46033.806574074071</v>
      </c>
      <c r="D40">
        <v>722</v>
      </c>
      <c r="E40" t="s">
        <v>25</v>
      </c>
      <c r="F40" t="s">
        <v>20</v>
      </c>
      <c r="G40" t="s">
        <v>30</v>
      </c>
      <c r="H40" t="s">
        <v>141</v>
      </c>
    </row>
    <row r="41" spans="1:8" x14ac:dyDescent="0.25">
      <c r="A41" t="s">
        <v>139</v>
      </c>
      <c r="B41" t="s">
        <v>140</v>
      </c>
      <c r="C41" s="1">
        <v>46033.806574074071</v>
      </c>
      <c r="D41">
        <v>722</v>
      </c>
      <c r="E41" t="s">
        <v>25</v>
      </c>
      <c r="F41" t="s">
        <v>20</v>
      </c>
      <c r="G41" t="s">
        <v>30</v>
      </c>
      <c r="H41" t="s">
        <v>141</v>
      </c>
    </row>
    <row r="42" spans="1:8" x14ac:dyDescent="0.25">
      <c r="A42" t="s">
        <v>142</v>
      </c>
      <c r="B42" t="s">
        <v>143</v>
      </c>
      <c r="C42" s="1">
        <v>46034.930520833332</v>
      </c>
      <c r="D42">
        <v>445.09</v>
      </c>
      <c r="E42" t="s">
        <v>52</v>
      </c>
      <c r="F42" t="s">
        <v>20</v>
      </c>
      <c r="G42" t="s">
        <v>21</v>
      </c>
      <c r="H42" t="s">
        <v>144</v>
      </c>
    </row>
    <row r="43" spans="1:8" x14ac:dyDescent="0.25">
      <c r="A43" t="s">
        <v>145</v>
      </c>
      <c r="B43" t="s">
        <v>146</v>
      </c>
      <c r="C43" s="1">
        <v>46035.994780092595</v>
      </c>
      <c r="D43">
        <v>2333.15</v>
      </c>
      <c r="E43" t="s">
        <v>19</v>
      </c>
      <c r="F43" t="s">
        <v>20</v>
      </c>
      <c r="G43" t="s">
        <v>26</v>
      </c>
      <c r="H43" t="s">
        <v>147</v>
      </c>
    </row>
    <row r="44" spans="1:8" x14ac:dyDescent="0.25">
      <c r="A44" t="s">
        <v>148</v>
      </c>
      <c r="B44" t="s">
        <v>149</v>
      </c>
      <c r="C44" s="1">
        <v>46037.085358796299</v>
      </c>
      <c r="D44">
        <v>802.72</v>
      </c>
      <c r="E44" t="s">
        <v>25</v>
      </c>
      <c r="F44" t="s">
        <v>20</v>
      </c>
      <c r="G44" t="s">
        <v>30</v>
      </c>
      <c r="H44" t="s">
        <v>150</v>
      </c>
    </row>
    <row r="45" spans="1:8" x14ac:dyDescent="0.25">
      <c r="A45" t="s">
        <v>151</v>
      </c>
      <c r="B45" t="s">
        <v>152</v>
      </c>
      <c r="C45" s="1">
        <v>46024.199745370373</v>
      </c>
      <c r="D45">
        <v>596.11</v>
      </c>
      <c r="E45" t="s">
        <v>25</v>
      </c>
      <c r="F45" t="s">
        <v>20</v>
      </c>
      <c r="G45" t="s">
        <v>21</v>
      </c>
      <c r="H45" t="s">
        <v>153</v>
      </c>
    </row>
    <row r="46" spans="1:8" x14ac:dyDescent="0.25">
      <c r="A46" t="s">
        <v>154</v>
      </c>
      <c r="B46" t="s">
        <v>155</v>
      </c>
      <c r="C46" s="1">
        <v>46024.286550925928</v>
      </c>
      <c r="D46">
        <v>888.02</v>
      </c>
      <c r="E46" t="s">
        <v>25</v>
      </c>
      <c r="F46" t="s">
        <v>20</v>
      </c>
      <c r="G46" t="s">
        <v>26</v>
      </c>
      <c r="H46" t="s">
        <v>156</v>
      </c>
    </row>
    <row r="47" spans="1:8" x14ac:dyDescent="0.25">
      <c r="A47" t="s">
        <v>157</v>
      </c>
      <c r="B47" t="s">
        <v>158</v>
      </c>
      <c r="C47" s="1">
        <v>46025.386944444443</v>
      </c>
      <c r="D47">
        <v>308.61</v>
      </c>
      <c r="E47" t="s">
        <v>25</v>
      </c>
      <c r="F47" t="s">
        <v>20</v>
      </c>
      <c r="G47" t="s">
        <v>30</v>
      </c>
      <c r="H47" t="s">
        <v>159</v>
      </c>
    </row>
    <row r="48" spans="1:8" x14ac:dyDescent="0.25">
      <c r="A48" t="s">
        <v>160</v>
      </c>
      <c r="B48" t="s">
        <v>161</v>
      </c>
      <c r="C48" s="1">
        <v>46026.451261574075</v>
      </c>
      <c r="D48">
        <v>1365.15</v>
      </c>
      <c r="E48" t="s">
        <v>25</v>
      </c>
      <c r="F48" t="s">
        <v>20</v>
      </c>
      <c r="G48" t="s">
        <v>21</v>
      </c>
      <c r="H48" t="s">
        <v>162</v>
      </c>
    </row>
    <row r="49" spans="1:8" x14ac:dyDescent="0.25">
      <c r="A49" t="s">
        <v>163</v>
      </c>
      <c r="B49" t="s">
        <v>164</v>
      </c>
      <c r="C49" s="1">
        <v>46027.57408564815</v>
      </c>
      <c r="D49">
        <v>2191.81</v>
      </c>
      <c r="E49" t="s">
        <v>25</v>
      </c>
      <c r="F49" t="s">
        <v>20</v>
      </c>
      <c r="G49" t="s">
        <v>26</v>
      </c>
      <c r="H49" t="s">
        <v>165</v>
      </c>
    </row>
    <row r="50" spans="1:8" x14ac:dyDescent="0.25">
      <c r="A50" t="s">
        <v>166</v>
      </c>
      <c r="B50" t="s">
        <v>167</v>
      </c>
      <c r="C50" s="1">
        <v>46028.664652777778</v>
      </c>
      <c r="D50">
        <v>460.95</v>
      </c>
      <c r="E50" t="s">
        <v>25</v>
      </c>
      <c r="F50" t="s">
        <v>20</v>
      </c>
      <c r="G50" t="s">
        <v>30</v>
      </c>
      <c r="H50" t="s">
        <v>168</v>
      </c>
    </row>
    <row r="51" spans="1:8" x14ac:dyDescent="0.25">
      <c r="A51" t="s">
        <v>169</v>
      </c>
      <c r="B51" t="s">
        <v>170</v>
      </c>
      <c r="C51" s="1">
        <v>46029.737372685187</v>
      </c>
      <c r="D51">
        <v>1040.18</v>
      </c>
      <c r="E51" t="s">
        <v>25</v>
      </c>
      <c r="F51" t="s">
        <v>20</v>
      </c>
      <c r="G51" t="s">
        <v>21</v>
      </c>
      <c r="H51" t="s">
        <v>171</v>
      </c>
    </row>
    <row r="52" spans="1:8" x14ac:dyDescent="0.25">
      <c r="A52" t="s">
        <v>172</v>
      </c>
      <c r="B52" t="s">
        <v>173</v>
      </c>
      <c r="C52" s="1">
        <v>46030.835949074077</v>
      </c>
      <c r="D52">
        <v>89.08</v>
      </c>
      <c r="E52" t="s">
        <v>52</v>
      </c>
      <c r="F52" t="s">
        <v>20</v>
      </c>
      <c r="G52" t="s">
        <v>26</v>
      </c>
      <c r="H52" t="s">
        <v>174</v>
      </c>
    </row>
    <row r="53" spans="1:8" x14ac:dyDescent="0.25">
      <c r="A53" t="s">
        <v>175</v>
      </c>
      <c r="B53" t="s">
        <v>176</v>
      </c>
      <c r="C53" s="1">
        <v>46031.929305555554</v>
      </c>
      <c r="D53">
        <v>1615.84</v>
      </c>
      <c r="E53" t="s">
        <v>19</v>
      </c>
      <c r="F53" t="s">
        <v>20</v>
      </c>
      <c r="G53" t="s">
        <v>30</v>
      </c>
      <c r="H53" t="s">
        <v>177</v>
      </c>
    </row>
    <row r="54" spans="1:8" x14ac:dyDescent="0.25">
      <c r="A54" t="s">
        <v>178</v>
      </c>
      <c r="B54" t="s">
        <v>179</v>
      </c>
      <c r="C54" s="1">
        <v>46033.033761574072</v>
      </c>
      <c r="D54">
        <v>212.38</v>
      </c>
      <c r="E54" t="s">
        <v>25</v>
      </c>
      <c r="F54" t="s">
        <v>20</v>
      </c>
      <c r="G54" t="s">
        <v>21</v>
      </c>
      <c r="H54" t="s">
        <v>180</v>
      </c>
    </row>
    <row r="55" spans="1:8" x14ac:dyDescent="0.25">
      <c r="A55" t="s">
        <v>181</v>
      </c>
      <c r="B55" t="s">
        <v>182</v>
      </c>
      <c r="C55" s="1">
        <v>46034.094467592593</v>
      </c>
      <c r="D55">
        <v>2297.9699999999998</v>
      </c>
      <c r="E55" t="s">
        <v>25</v>
      </c>
      <c r="F55" t="s">
        <v>20</v>
      </c>
      <c r="G55" t="s">
        <v>26</v>
      </c>
      <c r="H55" t="s">
        <v>183</v>
      </c>
    </row>
    <row r="56" spans="1:8" x14ac:dyDescent="0.25">
      <c r="A56" t="s">
        <v>184</v>
      </c>
      <c r="B56" t="s">
        <v>185</v>
      </c>
      <c r="C56" s="1">
        <v>46035.216643518521</v>
      </c>
      <c r="D56">
        <v>1077.69</v>
      </c>
      <c r="E56" t="s">
        <v>25</v>
      </c>
      <c r="F56" t="s">
        <v>20</v>
      </c>
      <c r="G56" t="s">
        <v>30</v>
      </c>
      <c r="H56" t="s">
        <v>186</v>
      </c>
    </row>
    <row r="57" spans="1:8" x14ac:dyDescent="0.25">
      <c r="A57" t="s">
        <v>187</v>
      </c>
      <c r="B57" t="s">
        <v>188</v>
      </c>
      <c r="C57" s="1">
        <v>46035.303090277775</v>
      </c>
      <c r="D57">
        <v>1653.82</v>
      </c>
      <c r="E57" t="s">
        <v>25</v>
      </c>
      <c r="F57" t="s">
        <v>20</v>
      </c>
      <c r="G57" t="s">
        <v>21</v>
      </c>
      <c r="H57" t="s">
        <v>189</v>
      </c>
    </row>
    <row r="58" spans="1:8" x14ac:dyDescent="0.25">
      <c r="A58" t="s">
        <v>190</v>
      </c>
      <c r="B58" t="s">
        <v>191</v>
      </c>
      <c r="C58" s="1">
        <v>46036.39271990741</v>
      </c>
      <c r="D58">
        <v>1581.67</v>
      </c>
      <c r="E58" t="s">
        <v>25</v>
      </c>
      <c r="F58" t="s">
        <v>20</v>
      </c>
      <c r="G58" t="s">
        <v>26</v>
      </c>
      <c r="H58" t="s">
        <v>192</v>
      </c>
    </row>
    <row r="59" spans="1:8" x14ac:dyDescent="0.25">
      <c r="A59" t="s">
        <v>193</v>
      </c>
      <c r="B59" t="s">
        <v>194</v>
      </c>
      <c r="C59" s="1">
        <v>46023.484780092593</v>
      </c>
      <c r="D59">
        <v>277.33</v>
      </c>
      <c r="E59" t="s">
        <v>25</v>
      </c>
      <c r="F59" t="s">
        <v>20</v>
      </c>
      <c r="G59" t="s">
        <v>30</v>
      </c>
      <c r="H59" t="s">
        <v>195</v>
      </c>
    </row>
    <row r="60" spans="1:8" x14ac:dyDescent="0.25">
      <c r="A60" t="s">
        <v>196</v>
      </c>
      <c r="B60" t="s">
        <v>197</v>
      </c>
      <c r="C60" s="1">
        <v>46024.584490740737</v>
      </c>
      <c r="D60">
        <v>1903.21</v>
      </c>
      <c r="E60" t="s">
        <v>25</v>
      </c>
      <c r="F60" t="s">
        <v>20</v>
      </c>
      <c r="G60" t="s">
        <v>21</v>
      </c>
      <c r="H60" t="s">
        <v>198</v>
      </c>
    </row>
    <row r="61" spans="1:8" x14ac:dyDescent="0.25">
      <c r="A61" t="s">
        <v>199</v>
      </c>
      <c r="B61" t="s">
        <v>200</v>
      </c>
      <c r="C61" s="1">
        <v>46025.654050925928</v>
      </c>
      <c r="D61">
        <v>2495.8000000000002</v>
      </c>
      <c r="E61" t="s">
        <v>25</v>
      </c>
      <c r="F61" t="s">
        <v>20</v>
      </c>
      <c r="G61" t="s">
        <v>26</v>
      </c>
      <c r="H61" t="s">
        <v>201</v>
      </c>
    </row>
    <row r="62" spans="1:8" x14ac:dyDescent="0.25">
      <c r="A62" t="s">
        <v>202</v>
      </c>
      <c r="B62" t="s">
        <v>203</v>
      </c>
      <c r="C62" s="1">
        <v>46026.758483796293</v>
      </c>
      <c r="D62">
        <v>714.24</v>
      </c>
      <c r="E62" t="s">
        <v>52</v>
      </c>
      <c r="F62" t="s">
        <v>20</v>
      </c>
      <c r="G62" t="s">
        <v>30</v>
      </c>
      <c r="H62" t="s">
        <v>204</v>
      </c>
    </row>
    <row r="63" spans="1:8" x14ac:dyDescent="0.25">
      <c r="A63" t="s">
        <v>205</v>
      </c>
      <c r="B63" t="s">
        <v>206</v>
      </c>
      <c r="C63" s="1">
        <v>46027.84951388889</v>
      </c>
      <c r="D63">
        <v>1271.68</v>
      </c>
      <c r="E63" t="s">
        <v>19</v>
      </c>
      <c r="F63" t="s">
        <v>20</v>
      </c>
      <c r="G63" t="s">
        <v>21</v>
      </c>
      <c r="H63" t="s">
        <v>207</v>
      </c>
    </row>
    <row r="64" spans="1:8" x14ac:dyDescent="0.25">
      <c r="A64" t="s">
        <v>208</v>
      </c>
      <c r="B64" t="s">
        <v>209</v>
      </c>
      <c r="C64" s="1">
        <v>46028.942974537036</v>
      </c>
      <c r="D64">
        <v>1839.72</v>
      </c>
      <c r="E64" t="s">
        <v>25</v>
      </c>
      <c r="F64" t="s">
        <v>20</v>
      </c>
      <c r="G64" t="s">
        <v>26</v>
      </c>
      <c r="H64" t="s">
        <v>210</v>
      </c>
    </row>
    <row r="65" spans="1:8" x14ac:dyDescent="0.25">
      <c r="A65" t="s">
        <v>211</v>
      </c>
      <c r="B65" t="s">
        <v>212</v>
      </c>
      <c r="C65" s="1">
        <v>46030.044814814813</v>
      </c>
      <c r="D65">
        <v>2472.3200000000002</v>
      </c>
      <c r="E65" t="s">
        <v>25</v>
      </c>
      <c r="F65" t="s">
        <v>20</v>
      </c>
      <c r="G65" t="s">
        <v>30</v>
      </c>
      <c r="H65" t="s">
        <v>213</v>
      </c>
    </row>
    <row r="66" spans="1:8" x14ac:dyDescent="0.25">
      <c r="A66" t="s">
        <v>214</v>
      </c>
      <c r="B66" t="s">
        <v>215</v>
      </c>
      <c r="C66" s="1">
        <v>46031.134953703702</v>
      </c>
      <c r="D66">
        <v>133</v>
      </c>
      <c r="E66" t="s">
        <v>25</v>
      </c>
      <c r="F66" t="s">
        <v>20</v>
      </c>
      <c r="G66" t="s">
        <v>21</v>
      </c>
      <c r="H66" t="s">
        <v>216</v>
      </c>
    </row>
    <row r="67" spans="1:8" x14ac:dyDescent="0.25">
      <c r="A67" t="s">
        <v>217</v>
      </c>
      <c r="B67" t="s">
        <v>218</v>
      </c>
      <c r="C67" s="1">
        <v>46032.200486111113</v>
      </c>
      <c r="D67">
        <v>1473.4</v>
      </c>
      <c r="E67" t="s">
        <v>25</v>
      </c>
      <c r="F67" t="s">
        <v>20</v>
      </c>
      <c r="G67" t="s">
        <v>26</v>
      </c>
      <c r="H67" t="s">
        <v>219</v>
      </c>
    </row>
    <row r="68" spans="1:8" x14ac:dyDescent="0.25">
      <c r="A68" t="s">
        <v>220</v>
      </c>
      <c r="B68" t="s">
        <v>221</v>
      </c>
      <c r="C68" s="1">
        <v>46032.311898148146</v>
      </c>
      <c r="D68">
        <v>1256.1199999999999</v>
      </c>
      <c r="E68" t="s">
        <v>25</v>
      </c>
      <c r="F68" t="s">
        <v>20</v>
      </c>
      <c r="G68" t="s">
        <v>30</v>
      </c>
      <c r="H68" t="s">
        <v>222</v>
      </c>
    </row>
    <row r="69" spans="1:8" x14ac:dyDescent="0.25">
      <c r="A69" t="s">
        <v>223</v>
      </c>
      <c r="B69" t="s">
        <v>224</v>
      </c>
      <c r="C69" s="1">
        <v>46033.39702546296</v>
      </c>
      <c r="D69">
        <v>99.91</v>
      </c>
      <c r="E69" t="s">
        <v>25</v>
      </c>
      <c r="F69" t="s">
        <v>20</v>
      </c>
      <c r="G69" t="s">
        <v>21</v>
      </c>
      <c r="H69" t="s">
        <v>225</v>
      </c>
    </row>
    <row r="70" spans="1:8" x14ac:dyDescent="0.25">
      <c r="A70" t="s">
        <v>226</v>
      </c>
      <c r="B70" t="s">
        <v>227</v>
      </c>
      <c r="C70" s="1">
        <v>46034.471053240741</v>
      </c>
      <c r="D70">
        <v>770.25</v>
      </c>
      <c r="E70" t="s">
        <v>25</v>
      </c>
      <c r="F70" t="s">
        <v>20</v>
      </c>
      <c r="G70" t="s">
        <v>26</v>
      </c>
      <c r="H70" t="s">
        <v>228</v>
      </c>
    </row>
    <row r="71" spans="1:8" x14ac:dyDescent="0.25">
      <c r="A71" t="s">
        <v>229</v>
      </c>
      <c r="B71" t="s">
        <v>230</v>
      </c>
      <c r="C71" s="1">
        <v>46035.591319444444</v>
      </c>
      <c r="D71">
        <v>532.47</v>
      </c>
      <c r="E71" t="s">
        <v>25</v>
      </c>
      <c r="F71" t="s">
        <v>20</v>
      </c>
      <c r="G71" t="s">
        <v>30</v>
      </c>
      <c r="H71" t="s">
        <v>231</v>
      </c>
    </row>
    <row r="72" spans="1:8" x14ac:dyDescent="0.25">
      <c r="A72" t="s">
        <v>232</v>
      </c>
      <c r="B72" t="s">
        <v>233</v>
      </c>
      <c r="C72" s="1">
        <v>46036.674814814818</v>
      </c>
      <c r="D72">
        <v>378.23</v>
      </c>
      <c r="E72" t="s">
        <v>52</v>
      </c>
      <c r="F72" t="s">
        <v>20</v>
      </c>
      <c r="G72" t="s">
        <v>21</v>
      </c>
      <c r="H72" t="s">
        <v>234</v>
      </c>
    </row>
    <row r="73" spans="1:8" x14ac:dyDescent="0.25">
      <c r="A73" t="s">
        <v>235</v>
      </c>
      <c r="B73" t="s">
        <v>236</v>
      </c>
      <c r="C73" s="1">
        <v>46023.774560185186</v>
      </c>
      <c r="D73">
        <v>132.62</v>
      </c>
      <c r="E73" t="s">
        <v>19</v>
      </c>
      <c r="F73" t="s">
        <v>20</v>
      </c>
      <c r="G73" t="s">
        <v>26</v>
      </c>
      <c r="H73" t="s">
        <v>237</v>
      </c>
    </row>
    <row r="74" spans="1:8" x14ac:dyDescent="0.25">
      <c r="A74" t="s">
        <v>238</v>
      </c>
      <c r="B74" t="s">
        <v>239</v>
      </c>
      <c r="C74" s="1">
        <v>46024.866875</v>
      </c>
      <c r="D74">
        <v>625.41999999999996</v>
      </c>
      <c r="E74" t="s">
        <v>25</v>
      </c>
      <c r="F74" t="s">
        <v>20</v>
      </c>
      <c r="G74" t="s">
        <v>30</v>
      </c>
      <c r="H74" t="s">
        <v>240</v>
      </c>
    </row>
    <row r="75" spans="1:8" x14ac:dyDescent="0.25">
      <c r="A75" t="s">
        <v>241</v>
      </c>
      <c r="B75" t="s">
        <v>242</v>
      </c>
      <c r="C75" s="1">
        <v>46025.957962962966</v>
      </c>
      <c r="D75">
        <v>1889.05</v>
      </c>
      <c r="E75" t="s">
        <v>25</v>
      </c>
      <c r="F75" t="s">
        <v>20</v>
      </c>
      <c r="G75" t="s">
        <v>21</v>
      </c>
      <c r="H75" t="s">
        <v>243</v>
      </c>
    </row>
    <row r="76" spans="1:8" x14ac:dyDescent="0.25">
      <c r="A76" t="s">
        <v>244</v>
      </c>
      <c r="B76" t="s">
        <v>245</v>
      </c>
      <c r="C76" s="1">
        <v>46027.024143518516</v>
      </c>
      <c r="D76">
        <v>538.35</v>
      </c>
      <c r="E76" t="s">
        <v>25</v>
      </c>
      <c r="F76" t="s">
        <v>20</v>
      </c>
      <c r="G76" t="s">
        <v>26</v>
      </c>
      <c r="H76" t="s">
        <v>246</v>
      </c>
    </row>
    <row r="77" spans="1:8" x14ac:dyDescent="0.25">
      <c r="A77" t="s">
        <v>247</v>
      </c>
      <c r="B77" t="s">
        <v>248</v>
      </c>
      <c r="C77" s="1">
        <v>46028.107488425929</v>
      </c>
      <c r="D77">
        <v>370.45</v>
      </c>
      <c r="E77" t="s">
        <v>25</v>
      </c>
      <c r="F77" t="s">
        <v>20</v>
      </c>
      <c r="G77" t="s">
        <v>30</v>
      </c>
      <c r="H77" t="s">
        <v>249</v>
      </c>
    </row>
    <row r="78" spans="1:8" x14ac:dyDescent="0.25">
      <c r="A78" t="s">
        <v>250</v>
      </c>
      <c r="B78" t="s">
        <v>251</v>
      </c>
      <c r="C78" s="1">
        <v>46029.204756944448</v>
      </c>
      <c r="D78">
        <v>119.49</v>
      </c>
      <c r="E78" t="s">
        <v>25</v>
      </c>
      <c r="F78" t="s">
        <v>20</v>
      </c>
      <c r="G78" t="s">
        <v>21</v>
      </c>
      <c r="H78" t="s">
        <v>252</v>
      </c>
    </row>
    <row r="79" spans="1:8" x14ac:dyDescent="0.25">
      <c r="A79" t="s">
        <v>253</v>
      </c>
      <c r="B79" t="s">
        <v>254</v>
      </c>
      <c r="C79" s="1">
        <v>46029.312407407408</v>
      </c>
      <c r="D79">
        <v>1805.83</v>
      </c>
      <c r="E79" t="s">
        <v>25</v>
      </c>
      <c r="F79" t="s">
        <v>20</v>
      </c>
      <c r="G79" t="s">
        <v>26</v>
      </c>
      <c r="H79" t="s">
        <v>255</v>
      </c>
    </row>
    <row r="80" spans="1:8" x14ac:dyDescent="0.25">
      <c r="A80" t="s">
        <v>256</v>
      </c>
      <c r="B80" t="s">
        <v>257</v>
      </c>
      <c r="C80" s="1">
        <v>46030.408125000002</v>
      </c>
      <c r="D80">
        <v>970.87</v>
      </c>
      <c r="E80" t="s">
        <v>25</v>
      </c>
      <c r="F80" t="s">
        <v>20</v>
      </c>
      <c r="G80" t="s">
        <v>30</v>
      </c>
      <c r="H80" t="s">
        <v>258</v>
      </c>
    </row>
    <row r="81" spans="1:8" x14ac:dyDescent="0.25">
      <c r="A81" t="s">
        <v>259</v>
      </c>
      <c r="B81" t="s">
        <v>260</v>
      </c>
      <c r="C81" s="1">
        <v>46031.472511574073</v>
      </c>
      <c r="D81">
        <v>317.72000000000003</v>
      </c>
      <c r="E81" t="s">
        <v>25</v>
      </c>
      <c r="F81" t="s">
        <v>20</v>
      </c>
      <c r="G81" t="s">
        <v>21</v>
      </c>
      <c r="H81" t="s">
        <v>261</v>
      </c>
    </row>
    <row r="82" spans="1:8" x14ac:dyDescent="0.25">
      <c r="A82" t="s">
        <v>262</v>
      </c>
      <c r="B82" t="s">
        <v>263</v>
      </c>
      <c r="C82" s="1">
        <v>46032.600902777776</v>
      </c>
      <c r="D82">
        <v>418.48</v>
      </c>
      <c r="E82" t="s">
        <v>52</v>
      </c>
      <c r="F82" t="s">
        <v>20</v>
      </c>
      <c r="G82" t="s">
        <v>26</v>
      </c>
      <c r="H82" t="s">
        <v>264</v>
      </c>
    </row>
    <row r="83" spans="1:8" x14ac:dyDescent="0.25">
      <c r="A83" t="s">
        <v>265</v>
      </c>
      <c r="B83" t="s">
        <v>266</v>
      </c>
      <c r="C83" s="1">
        <v>46033.675069444442</v>
      </c>
      <c r="D83">
        <v>1853.19</v>
      </c>
      <c r="E83" t="s">
        <v>19</v>
      </c>
      <c r="F83" t="s">
        <v>20</v>
      </c>
      <c r="G83" t="s">
        <v>30</v>
      </c>
      <c r="H83" t="s">
        <v>267</v>
      </c>
    </row>
    <row r="84" spans="1:8" x14ac:dyDescent="0.25">
      <c r="A84" t="s">
        <v>268</v>
      </c>
      <c r="B84" t="s">
        <v>269</v>
      </c>
      <c r="C84" s="1">
        <v>46034.751342592594</v>
      </c>
      <c r="D84">
        <v>2461.94</v>
      </c>
      <c r="E84" t="s">
        <v>25</v>
      </c>
      <c r="F84" t="s">
        <v>20</v>
      </c>
      <c r="G84" t="s">
        <v>21</v>
      </c>
      <c r="H84" t="s">
        <v>270</v>
      </c>
    </row>
    <row r="85" spans="1:8" x14ac:dyDescent="0.25">
      <c r="A85" t="s">
        <v>271</v>
      </c>
      <c r="B85" t="s">
        <v>272</v>
      </c>
      <c r="C85" s="1">
        <v>46035.84715277778</v>
      </c>
      <c r="D85">
        <v>1566.81</v>
      </c>
      <c r="E85" t="s">
        <v>25</v>
      </c>
      <c r="F85" t="s">
        <v>20</v>
      </c>
      <c r="G85" t="s">
        <v>26</v>
      </c>
      <c r="H85" t="s">
        <v>273</v>
      </c>
    </row>
    <row r="86" spans="1:8" x14ac:dyDescent="0.25">
      <c r="A86" t="s">
        <v>274</v>
      </c>
      <c r="B86" t="s">
        <v>275</v>
      </c>
      <c r="C86" s="1">
        <v>46036.946168981478</v>
      </c>
      <c r="D86">
        <v>1437.79</v>
      </c>
      <c r="E86" t="s">
        <v>25</v>
      </c>
      <c r="F86" t="s">
        <v>20</v>
      </c>
      <c r="G86" t="s">
        <v>30</v>
      </c>
      <c r="H86" t="s">
        <v>276</v>
      </c>
    </row>
    <row r="87" spans="1:8" x14ac:dyDescent="0.25">
      <c r="A87" t="s">
        <v>277</v>
      </c>
      <c r="B87" t="s">
        <v>278</v>
      </c>
      <c r="C87" s="1">
        <v>46024.051504629628</v>
      </c>
      <c r="D87">
        <v>1706.24</v>
      </c>
      <c r="E87" t="s">
        <v>25</v>
      </c>
      <c r="F87" t="s">
        <v>20</v>
      </c>
      <c r="G87" t="s">
        <v>21</v>
      </c>
      <c r="H87" t="s">
        <v>279</v>
      </c>
    </row>
    <row r="88" spans="1:8" x14ac:dyDescent="0.25">
      <c r="A88" t="s">
        <v>280</v>
      </c>
      <c r="B88" t="s">
        <v>281</v>
      </c>
      <c r="C88" s="1">
        <v>46025.133784722224</v>
      </c>
      <c r="D88">
        <v>2382.2399999999998</v>
      </c>
      <c r="E88" t="s">
        <v>25</v>
      </c>
      <c r="F88" t="s">
        <v>20</v>
      </c>
      <c r="G88" t="s">
        <v>26</v>
      </c>
      <c r="H88" t="s">
        <v>282</v>
      </c>
    </row>
    <row r="89" spans="1:8" x14ac:dyDescent="0.25">
      <c r="A89" t="s">
        <v>283</v>
      </c>
      <c r="B89" t="s">
        <v>284</v>
      </c>
      <c r="C89" s="1">
        <v>46025.240127314813</v>
      </c>
      <c r="D89">
        <v>467.12</v>
      </c>
      <c r="E89" t="s">
        <v>25</v>
      </c>
      <c r="F89" t="s">
        <v>20</v>
      </c>
      <c r="G89" t="s">
        <v>30</v>
      </c>
      <c r="H89" t="s">
        <v>285</v>
      </c>
    </row>
    <row r="90" spans="1:8" x14ac:dyDescent="0.25">
      <c r="A90" t="s">
        <v>286</v>
      </c>
      <c r="B90" t="s">
        <v>287</v>
      </c>
      <c r="C90" s="1">
        <v>46026.307280092595</v>
      </c>
      <c r="D90">
        <v>1359.12</v>
      </c>
      <c r="E90" t="s">
        <v>25</v>
      </c>
      <c r="F90" t="s">
        <v>20</v>
      </c>
      <c r="G90" t="s">
        <v>21</v>
      </c>
      <c r="H90" t="s">
        <v>288</v>
      </c>
    </row>
    <row r="91" spans="1:8" x14ac:dyDescent="0.25">
      <c r="A91" t="s">
        <v>289</v>
      </c>
      <c r="B91" t="s">
        <v>290</v>
      </c>
      <c r="C91" s="1">
        <v>46027.40896990741</v>
      </c>
      <c r="D91">
        <v>616.07000000000005</v>
      </c>
      <c r="E91" t="s">
        <v>25</v>
      </c>
      <c r="F91" t="s">
        <v>20</v>
      </c>
      <c r="G91" t="s">
        <v>26</v>
      </c>
      <c r="H91" t="s">
        <v>291</v>
      </c>
    </row>
    <row r="92" spans="1:8" x14ac:dyDescent="0.25">
      <c r="A92" t="s">
        <v>292</v>
      </c>
      <c r="B92" t="s">
        <v>293</v>
      </c>
      <c r="C92" s="1">
        <v>46028.501909722225</v>
      </c>
      <c r="D92">
        <v>2369.81</v>
      </c>
      <c r="E92" t="s">
        <v>52</v>
      </c>
      <c r="F92" t="s">
        <v>20</v>
      </c>
      <c r="G92" t="s">
        <v>30</v>
      </c>
      <c r="H92" t="s">
        <v>294</v>
      </c>
    </row>
    <row r="93" spans="1:8" x14ac:dyDescent="0.25">
      <c r="A93" t="s">
        <v>295</v>
      </c>
      <c r="B93" t="s">
        <v>296</v>
      </c>
      <c r="C93" s="1">
        <v>46029.595370370371</v>
      </c>
      <c r="D93">
        <v>1918.27</v>
      </c>
      <c r="E93" t="s">
        <v>19</v>
      </c>
      <c r="F93" t="s">
        <v>20</v>
      </c>
      <c r="G93" t="s">
        <v>21</v>
      </c>
      <c r="H93" t="s">
        <v>297</v>
      </c>
    </row>
    <row r="94" spans="1:8" x14ac:dyDescent="0.25">
      <c r="A94" t="s">
        <v>298</v>
      </c>
      <c r="B94" t="s">
        <v>299</v>
      </c>
      <c r="C94" s="1">
        <v>46030.662662037037</v>
      </c>
      <c r="D94">
        <v>291.83</v>
      </c>
      <c r="E94" t="s">
        <v>25</v>
      </c>
      <c r="F94" t="s">
        <v>20</v>
      </c>
      <c r="G94" t="s">
        <v>26</v>
      </c>
      <c r="H94" t="s">
        <v>300</v>
      </c>
    </row>
    <row r="95" spans="1:8" x14ac:dyDescent="0.25">
      <c r="A95" t="s">
        <v>301</v>
      </c>
      <c r="B95" t="s">
        <v>302</v>
      </c>
      <c r="C95" s="1">
        <v>46031.754803240743</v>
      </c>
      <c r="D95">
        <v>219.41</v>
      </c>
      <c r="E95" t="s">
        <v>25</v>
      </c>
      <c r="F95" t="s">
        <v>20</v>
      </c>
      <c r="G95" t="s">
        <v>30</v>
      </c>
      <c r="H95" t="s">
        <v>303</v>
      </c>
    </row>
    <row r="96" spans="1:8" x14ac:dyDescent="0.25">
      <c r="A96" t="s">
        <v>304</v>
      </c>
      <c r="B96" t="s">
        <v>305</v>
      </c>
      <c r="C96" s="1">
        <v>46032.886319444442</v>
      </c>
      <c r="D96">
        <v>511.15</v>
      </c>
      <c r="E96" t="s">
        <v>25</v>
      </c>
      <c r="F96" t="s">
        <v>20</v>
      </c>
      <c r="G96" t="s">
        <v>21</v>
      </c>
      <c r="H96" t="s">
        <v>306</v>
      </c>
    </row>
    <row r="97" spans="1:8" x14ac:dyDescent="0.25">
      <c r="A97" t="s">
        <v>307</v>
      </c>
      <c r="B97" t="s">
        <v>308</v>
      </c>
      <c r="C97" s="1">
        <v>46033.944675925923</v>
      </c>
      <c r="D97">
        <v>1608.12</v>
      </c>
      <c r="E97" t="s">
        <v>25</v>
      </c>
      <c r="F97" t="s">
        <v>20</v>
      </c>
      <c r="G97" t="s">
        <v>26</v>
      </c>
      <c r="H97" t="s">
        <v>309</v>
      </c>
    </row>
    <row r="98" spans="1:8" x14ac:dyDescent="0.25">
      <c r="A98" t="s">
        <v>310</v>
      </c>
      <c r="B98" t="s">
        <v>311</v>
      </c>
      <c r="C98" s="1">
        <v>46035.05263888889</v>
      </c>
      <c r="D98">
        <v>1065.94</v>
      </c>
      <c r="E98" t="s">
        <v>25</v>
      </c>
      <c r="F98" t="s">
        <v>20</v>
      </c>
      <c r="G98" t="s">
        <v>30</v>
      </c>
      <c r="H98" t="s">
        <v>312</v>
      </c>
    </row>
    <row r="99" spans="1:8" x14ac:dyDescent="0.25">
      <c r="A99" t="s">
        <v>313</v>
      </c>
      <c r="B99" t="s">
        <v>314</v>
      </c>
      <c r="C99" s="1">
        <v>46036.123310185183</v>
      </c>
      <c r="D99">
        <v>1337.96</v>
      </c>
      <c r="E99" t="s">
        <v>25</v>
      </c>
      <c r="F99" t="s">
        <v>20</v>
      </c>
      <c r="G99" t="s">
        <v>21</v>
      </c>
      <c r="H99" t="s">
        <v>315</v>
      </c>
    </row>
    <row r="100" spans="1:8" x14ac:dyDescent="0.25">
      <c r="A100" t="s">
        <v>316</v>
      </c>
      <c r="B100" t="s">
        <v>317</v>
      </c>
      <c r="C100" s="1">
        <v>46036.229363425926</v>
      </c>
      <c r="D100">
        <v>141.66999999999999</v>
      </c>
      <c r="E100" t="s">
        <v>25</v>
      </c>
      <c r="F100" t="s">
        <v>20</v>
      </c>
      <c r="G100" t="s">
        <v>26</v>
      </c>
      <c r="H100" t="s">
        <v>318</v>
      </c>
    </row>
    <row r="101" spans="1:8" x14ac:dyDescent="0.25">
      <c r="A101" t="s">
        <v>319</v>
      </c>
      <c r="B101" t="s">
        <v>320</v>
      </c>
      <c r="C101" s="1">
        <v>46023.323483796295</v>
      </c>
      <c r="D101">
        <v>2255.06</v>
      </c>
      <c r="E101" t="s">
        <v>25</v>
      </c>
      <c r="F101" t="s">
        <v>20</v>
      </c>
      <c r="G101" t="s">
        <v>30</v>
      </c>
      <c r="H101" t="s">
        <v>321</v>
      </c>
    </row>
    <row r="102" spans="1:8" x14ac:dyDescent="0.25">
      <c r="A102" t="s">
        <v>322</v>
      </c>
      <c r="B102" t="s">
        <v>323</v>
      </c>
      <c r="C102" s="1">
        <v>46024.395902777775</v>
      </c>
      <c r="D102">
        <v>2258.3200000000002</v>
      </c>
      <c r="E102" t="s">
        <v>52</v>
      </c>
      <c r="F102" t="s">
        <v>20</v>
      </c>
      <c r="G102" t="s">
        <v>21</v>
      </c>
      <c r="H102" t="s">
        <v>324</v>
      </c>
    </row>
    <row r="103" spans="1:8" x14ac:dyDescent="0.25">
      <c r="A103" t="s">
        <v>325</v>
      </c>
      <c r="B103" t="s">
        <v>326</v>
      </c>
      <c r="C103" s="1">
        <v>46025.526678240742</v>
      </c>
      <c r="D103">
        <v>1533.65</v>
      </c>
      <c r="E103" t="s">
        <v>19</v>
      </c>
      <c r="F103" t="s">
        <v>20</v>
      </c>
      <c r="G103" t="s">
        <v>26</v>
      </c>
      <c r="H103" t="s">
        <v>327</v>
      </c>
    </row>
    <row r="104" spans="1:8" x14ac:dyDescent="0.25">
      <c r="A104" t="s">
        <v>328</v>
      </c>
      <c r="B104" t="s">
        <v>329</v>
      </c>
      <c r="C104" s="1">
        <v>46026.606481481482</v>
      </c>
      <c r="D104">
        <v>1165.1300000000001</v>
      </c>
      <c r="E104" t="s">
        <v>25</v>
      </c>
      <c r="F104" t="s">
        <v>20</v>
      </c>
      <c r="G104" t="s">
        <v>30</v>
      </c>
      <c r="H104" t="s">
        <v>330</v>
      </c>
    </row>
    <row r="105" spans="1:8" x14ac:dyDescent="0.25">
      <c r="A105" t="s">
        <v>331</v>
      </c>
      <c r="B105" t="s">
        <v>332</v>
      </c>
      <c r="C105" s="1">
        <v>46027.678622685184</v>
      </c>
      <c r="D105">
        <v>617.96</v>
      </c>
      <c r="E105" t="s">
        <v>25</v>
      </c>
      <c r="F105" t="s">
        <v>20</v>
      </c>
      <c r="G105" t="s">
        <v>21</v>
      </c>
      <c r="H105" t="s">
        <v>333</v>
      </c>
    </row>
    <row r="106" spans="1:8" x14ac:dyDescent="0.25">
      <c r="A106" t="s">
        <v>334</v>
      </c>
      <c r="B106" t="s">
        <v>335</v>
      </c>
      <c r="C106" s="1">
        <v>46028.78769675926</v>
      </c>
      <c r="D106">
        <v>442.26</v>
      </c>
      <c r="E106" t="s">
        <v>25</v>
      </c>
      <c r="F106" t="s">
        <v>20</v>
      </c>
      <c r="G106" t="s">
        <v>26</v>
      </c>
      <c r="H106" t="s">
        <v>336</v>
      </c>
    </row>
    <row r="107" spans="1:8" x14ac:dyDescent="0.25">
      <c r="A107" t="s">
        <v>337</v>
      </c>
      <c r="B107" t="s">
        <v>338</v>
      </c>
      <c r="C107" s="1">
        <v>46029.862083333333</v>
      </c>
      <c r="D107">
        <v>429.04</v>
      </c>
      <c r="E107" t="s">
        <v>25</v>
      </c>
      <c r="F107" t="s">
        <v>20</v>
      </c>
      <c r="G107" t="s">
        <v>30</v>
      </c>
      <c r="H107" t="s">
        <v>339</v>
      </c>
    </row>
    <row r="108" spans="1:8" x14ac:dyDescent="0.25">
      <c r="A108" t="s">
        <v>340</v>
      </c>
      <c r="B108" t="s">
        <v>341</v>
      </c>
      <c r="C108" s="1">
        <v>46030.977847222224</v>
      </c>
      <c r="D108">
        <v>1388.02</v>
      </c>
      <c r="E108" t="s">
        <v>25</v>
      </c>
      <c r="F108" t="s">
        <v>20</v>
      </c>
      <c r="G108" t="s">
        <v>21</v>
      </c>
      <c r="H108" t="s">
        <v>342</v>
      </c>
    </row>
    <row r="109" spans="1:8" x14ac:dyDescent="0.25">
      <c r="A109" t="s">
        <v>343</v>
      </c>
      <c r="B109" t="s">
        <v>344</v>
      </c>
      <c r="C109" s="1">
        <v>46032.071875000001</v>
      </c>
      <c r="D109">
        <v>1436.9</v>
      </c>
      <c r="E109" t="s">
        <v>25</v>
      </c>
      <c r="F109" t="s">
        <v>20</v>
      </c>
      <c r="G109" t="s">
        <v>26</v>
      </c>
      <c r="H109" t="s">
        <v>345</v>
      </c>
    </row>
    <row r="110" spans="1:8" x14ac:dyDescent="0.25">
      <c r="A110" t="s">
        <v>346</v>
      </c>
      <c r="B110" t="s">
        <v>347</v>
      </c>
      <c r="C110" s="1">
        <v>46033.150925925926</v>
      </c>
      <c r="D110">
        <v>296.95</v>
      </c>
      <c r="E110" t="s">
        <v>25</v>
      </c>
      <c r="F110" t="s">
        <v>20</v>
      </c>
      <c r="G110" t="s">
        <v>30</v>
      </c>
      <c r="H110" t="s">
        <v>348</v>
      </c>
    </row>
    <row r="111" spans="1:8" x14ac:dyDescent="0.25">
      <c r="A111" t="s">
        <v>349</v>
      </c>
      <c r="B111" t="s">
        <v>350</v>
      </c>
      <c r="C111" s="1">
        <v>46033.24690972222</v>
      </c>
      <c r="D111">
        <v>253.02</v>
      </c>
      <c r="E111" t="s">
        <v>25</v>
      </c>
      <c r="F111" t="s">
        <v>20</v>
      </c>
      <c r="G111" t="s">
        <v>21</v>
      </c>
      <c r="H111" t="s">
        <v>351</v>
      </c>
    </row>
    <row r="112" spans="1:8" x14ac:dyDescent="0.25">
      <c r="A112" t="s">
        <v>352</v>
      </c>
      <c r="B112" t="s">
        <v>353</v>
      </c>
      <c r="C112" s="1">
        <v>46034.324537037035</v>
      </c>
      <c r="D112">
        <v>790.35</v>
      </c>
      <c r="E112" t="s">
        <v>52</v>
      </c>
      <c r="F112" t="s">
        <v>20</v>
      </c>
      <c r="G112" t="s">
        <v>26</v>
      </c>
      <c r="H112" t="s">
        <v>354</v>
      </c>
    </row>
    <row r="113" spans="1:8" x14ac:dyDescent="0.25">
      <c r="A113" t="s">
        <v>355</v>
      </c>
      <c r="B113" t="s">
        <v>356</v>
      </c>
      <c r="C113" s="1">
        <v>46035.422465277778</v>
      </c>
      <c r="D113">
        <v>610.09</v>
      </c>
      <c r="E113" t="s">
        <v>19</v>
      </c>
      <c r="F113" t="s">
        <v>20</v>
      </c>
      <c r="G113" t="s">
        <v>30</v>
      </c>
      <c r="H113" t="s">
        <v>357</v>
      </c>
    </row>
    <row r="114" spans="1:8" x14ac:dyDescent="0.25">
      <c r="A114" t="s">
        <v>358</v>
      </c>
      <c r="B114" t="s">
        <v>359</v>
      </c>
      <c r="C114" s="1">
        <v>46036.529444444444</v>
      </c>
      <c r="D114">
        <v>1139.8699999999999</v>
      </c>
      <c r="E114" t="s">
        <v>25</v>
      </c>
      <c r="F114" t="s">
        <v>20</v>
      </c>
      <c r="G114" t="s">
        <v>21</v>
      </c>
      <c r="H114" t="s">
        <v>360</v>
      </c>
    </row>
    <row r="115" spans="1:8" x14ac:dyDescent="0.25">
      <c r="A115" t="s">
        <v>361</v>
      </c>
      <c r="B115" t="s">
        <v>362</v>
      </c>
      <c r="C115" s="1">
        <v>46023.609178240738</v>
      </c>
      <c r="D115">
        <v>1026.48</v>
      </c>
      <c r="E115" t="s">
        <v>25</v>
      </c>
      <c r="F115" t="s">
        <v>20</v>
      </c>
      <c r="G115" t="s">
        <v>26</v>
      </c>
      <c r="H115" t="s">
        <v>363</v>
      </c>
    </row>
    <row r="116" spans="1:8" x14ac:dyDescent="0.25">
      <c r="A116" t="s">
        <v>364</v>
      </c>
      <c r="B116" t="s">
        <v>365</v>
      </c>
      <c r="C116" s="1">
        <v>46024.687164351853</v>
      </c>
      <c r="D116">
        <v>2481.2800000000002</v>
      </c>
      <c r="E116" t="s">
        <v>25</v>
      </c>
      <c r="F116" t="s">
        <v>20</v>
      </c>
      <c r="G116" t="s">
        <v>30</v>
      </c>
      <c r="H116" t="s">
        <v>366</v>
      </c>
    </row>
    <row r="117" spans="1:8" x14ac:dyDescent="0.25">
      <c r="A117" t="s">
        <v>367</v>
      </c>
      <c r="B117" t="s">
        <v>368</v>
      </c>
      <c r="C117" s="1">
        <v>46025.802569444444</v>
      </c>
      <c r="D117">
        <v>213</v>
      </c>
      <c r="E117" t="s">
        <v>25</v>
      </c>
      <c r="F117" t="s">
        <v>20</v>
      </c>
      <c r="G117" t="s">
        <v>21</v>
      </c>
      <c r="H117" t="s">
        <v>369</v>
      </c>
    </row>
    <row r="118" spans="1:8" x14ac:dyDescent="0.25">
      <c r="A118" t="s">
        <v>370</v>
      </c>
      <c r="B118" t="s">
        <v>371</v>
      </c>
      <c r="C118" s="1">
        <v>46026.868634259263</v>
      </c>
      <c r="D118">
        <v>1262.99</v>
      </c>
      <c r="E118" t="s">
        <v>25</v>
      </c>
      <c r="F118" t="s">
        <v>20</v>
      </c>
      <c r="G118" t="s">
        <v>26</v>
      </c>
      <c r="H118" t="s">
        <v>372</v>
      </c>
    </row>
    <row r="119" spans="1:8" x14ac:dyDescent="0.25">
      <c r="A119" t="s">
        <v>373</v>
      </c>
      <c r="B119" t="s">
        <v>374</v>
      </c>
      <c r="C119" s="1">
        <v>46027.976145833331</v>
      </c>
      <c r="D119">
        <v>913.34</v>
      </c>
      <c r="E119" t="s">
        <v>25</v>
      </c>
      <c r="F119" t="s">
        <v>20</v>
      </c>
      <c r="G119" t="s">
        <v>30</v>
      </c>
      <c r="H119" t="s">
        <v>375</v>
      </c>
    </row>
    <row r="120" spans="1:8" x14ac:dyDescent="0.25">
      <c r="A120" t="s">
        <v>376</v>
      </c>
      <c r="B120" t="s">
        <v>377</v>
      </c>
      <c r="C120" s="1">
        <v>46029.083229166667</v>
      </c>
      <c r="D120">
        <v>435.03</v>
      </c>
      <c r="E120" t="s">
        <v>25</v>
      </c>
      <c r="F120" t="s">
        <v>20</v>
      </c>
      <c r="G120" t="s">
        <v>21</v>
      </c>
      <c r="H120" t="s">
        <v>378</v>
      </c>
    </row>
    <row r="121" spans="1:8" x14ac:dyDescent="0.25">
      <c r="A121" t="s">
        <v>379</v>
      </c>
      <c r="B121" t="s">
        <v>380</v>
      </c>
      <c r="C121" s="1">
        <v>46030.159224537034</v>
      </c>
      <c r="D121">
        <v>2354.6799999999998</v>
      </c>
      <c r="E121" t="s">
        <v>25</v>
      </c>
      <c r="F121" t="s">
        <v>20</v>
      </c>
      <c r="G121" t="s">
        <v>26</v>
      </c>
      <c r="H121" t="s">
        <v>381</v>
      </c>
    </row>
    <row r="122" spans="1:8" x14ac:dyDescent="0.25">
      <c r="A122" t="s">
        <v>382</v>
      </c>
      <c r="B122" t="s">
        <v>383</v>
      </c>
      <c r="C122" s="1">
        <v>46030.230324074073</v>
      </c>
      <c r="D122">
        <v>1548.83</v>
      </c>
      <c r="E122" t="s">
        <v>52</v>
      </c>
      <c r="F122" t="s">
        <v>92</v>
      </c>
      <c r="G122" t="s">
        <v>30</v>
      </c>
      <c r="H122" t="s">
        <v>384</v>
      </c>
    </row>
    <row r="123" spans="1:8" x14ac:dyDescent="0.25">
      <c r="A123" t="s">
        <v>385</v>
      </c>
      <c r="B123" t="s">
        <v>386</v>
      </c>
      <c r="C123" s="1">
        <v>46031.36010416667</v>
      </c>
      <c r="D123">
        <v>1232.52</v>
      </c>
      <c r="E123" t="s">
        <v>19</v>
      </c>
      <c r="F123" t="s">
        <v>20</v>
      </c>
      <c r="G123" t="s">
        <v>21</v>
      </c>
      <c r="H123" t="s">
        <v>387</v>
      </c>
    </row>
    <row r="124" spans="1:8" x14ac:dyDescent="0.25">
      <c r="A124" t="s">
        <v>388</v>
      </c>
      <c r="B124" t="s">
        <v>389</v>
      </c>
      <c r="C124" s="1">
        <v>46032.448958333334</v>
      </c>
      <c r="D124">
        <v>1202.97</v>
      </c>
      <c r="E124" t="s">
        <v>25</v>
      </c>
      <c r="F124" t="s">
        <v>20</v>
      </c>
      <c r="G124" t="s">
        <v>26</v>
      </c>
      <c r="H124" t="s">
        <v>390</v>
      </c>
    </row>
    <row r="125" spans="1:8" x14ac:dyDescent="0.25">
      <c r="A125" t="s">
        <v>391</v>
      </c>
      <c r="B125" t="s">
        <v>392</v>
      </c>
      <c r="C125" s="1">
        <v>46033.50403935185</v>
      </c>
      <c r="D125">
        <v>1571.94</v>
      </c>
      <c r="E125" t="s">
        <v>25</v>
      </c>
      <c r="F125" t="s">
        <v>20</v>
      </c>
      <c r="G125" t="s">
        <v>30</v>
      </c>
      <c r="H125" t="s">
        <v>393</v>
      </c>
    </row>
    <row r="126" spans="1:8" x14ac:dyDescent="0.25">
      <c r="A126" t="s">
        <v>391</v>
      </c>
      <c r="B126" t="s">
        <v>392</v>
      </c>
      <c r="C126" s="1">
        <v>46033.50403935185</v>
      </c>
      <c r="D126">
        <v>1571.94</v>
      </c>
      <c r="E126" t="s">
        <v>25</v>
      </c>
      <c r="F126" t="s">
        <v>20</v>
      </c>
      <c r="G126" t="s">
        <v>30</v>
      </c>
      <c r="H126" t="s">
        <v>393</v>
      </c>
    </row>
    <row r="127" spans="1:8" x14ac:dyDescent="0.25">
      <c r="A127" t="s">
        <v>394</v>
      </c>
      <c r="B127" t="s">
        <v>395</v>
      </c>
      <c r="C127" s="1">
        <v>46034.612905092596</v>
      </c>
      <c r="D127">
        <v>902</v>
      </c>
      <c r="E127" t="s">
        <v>25</v>
      </c>
      <c r="F127" t="s">
        <v>20</v>
      </c>
      <c r="G127" t="s">
        <v>21</v>
      </c>
      <c r="H127" t="s">
        <v>396</v>
      </c>
    </row>
    <row r="128" spans="1:8" x14ac:dyDescent="0.25">
      <c r="A128" t="s">
        <v>397</v>
      </c>
      <c r="B128" t="s">
        <v>398</v>
      </c>
      <c r="C128" s="1">
        <v>46035.715428240743</v>
      </c>
      <c r="D128">
        <v>1684.38</v>
      </c>
      <c r="E128" t="s">
        <v>25</v>
      </c>
      <c r="F128" t="s">
        <v>20</v>
      </c>
      <c r="G128" t="s">
        <v>26</v>
      </c>
      <c r="H128" t="s">
        <v>399</v>
      </c>
    </row>
    <row r="129" spans="1:8" x14ac:dyDescent="0.25">
      <c r="A129" t="s">
        <v>400</v>
      </c>
      <c r="B129" t="s">
        <v>401</v>
      </c>
      <c r="C129" s="1">
        <v>46036.784814814811</v>
      </c>
      <c r="D129">
        <v>1071.68</v>
      </c>
      <c r="E129" t="s">
        <v>25</v>
      </c>
      <c r="F129" t="s">
        <v>20</v>
      </c>
      <c r="G129" t="s">
        <v>30</v>
      </c>
      <c r="H129" t="s">
        <v>402</v>
      </c>
    </row>
    <row r="130" spans="1:8" x14ac:dyDescent="0.25">
      <c r="A130" t="s">
        <v>403</v>
      </c>
      <c r="B130" t="s">
        <v>404</v>
      </c>
      <c r="C130" s="1">
        <v>46023.882037037038</v>
      </c>
      <c r="D130">
        <v>2424.6799999999998</v>
      </c>
      <c r="E130" t="s">
        <v>25</v>
      </c>
      <c r="F130" t="s">
        <v>20</v>
      </c>
      <c r="G130" t="s">
        <v>21</v>
      </c>
      <c r="H130" t="s">
        <v>405</v>
      </c>
    </row>
    <row r="131" spans="1:8" x14ac:dyDescent="0.25">
      <c r="A131" t="s">
        <v>406</v>
      </c>
      <c r="B131" t="s">
        <v>407</v>
      </c>
      <c r="C131" s="1">
        <v>46024.981099537035</v>
      </c>
      <c r="D131">
        <v>613.62</v>
      </c>
      <c r="E131" t="s">
        <v>25</v>
      </c>
      <c r="F131" t="s">
        <v>20</v>
      </c>
      <c r="G131" t="s">
        <v>26</v>
      </c>
      <c r="H131" t="s">
        <v>408</v>
      </c>
    </row>
    <row r="132" spans="1:8" x14ac:dyDescent="0.25">
      <c r="A132" t="s">
        <v>409</v>
      </c>
      <c r="B132" t="s">
        <v>410</v>
      </c>
      <c r="C132" s="1">
        <v>46026.053217592591</v>
      </c>
      <c r="D132">
        <v>673.44</v>
      </c>
      <c r="E132" t="s">
        <v>25</v>
      </c>
      <c r="F132" t="s">
        <v>20</v>
      </c>
      <c r="G132" t="s">
        <v>30</v>
      </c>
      <c r="H132" t="s">
        <v>411</v>
      </c>
    </row>
    <row r="133" spans="1:8" x14ac:dyDescent="0.25">
      <c r="A133" t="s">
        <v>412</v>
      </c>
      <c r="B133" t="s">
        <v>413</v>
      </c>
      <c r="C133" s="1">
        <v>46027.16511574074</v>
      </c>
      <c r="D133">
        <v>541.45000000000005</v>
      </c>
      <c r="E133" t="s">
        <v>52</v>
      </c>
      <c r="F133" t="s">
        <v>20</v>
      </c>
      <c r="G133" t="s">
        <v>21</v>
      </c>
      <c r="H133" t="s">
        <v>414</v>
      </c>
    </row>
    <row r="134" spans="1:8" x14ac:dyDescent="0.25">
      <c r="A134" t="s">
        <v>412</v>
      </c>
      <c r="B134" t="s">
        <v>413</v>
      </c>
      <c r="C134" s="1">
        <v>46027.16511574074</v>
      </c>
      <c r="D134">
        <v>541.45000000000005</v>
      </c>
      <c r="E134" t="s">
        <v>52</v>
      </c>
      <c r="F134" t="s">
        <v>20</v>
      </c>
      <c r="G134" t="s">
        <v>21</v>
      </c>
      <c r="H134" t="s">
        <v>414</v>
      </c>
    </row>
    <row r="135" spans="1:8" x14ac:dyDescent="0.25">
      <c r="A135" t="s">
        <v>415</v>
      </c>
      <c r="B135" t="s">
        <v>416</v>
      </c>
      <c r="C135" s="1">
        <v>46027.244976851849</v>
      </c>
      <c r="D135">
        <v>2113.13</v>
      </c>
      <c r="E135" t="s">
        <v>19</v>
      </c>
      <c r="F135" t="s">
        <v>20</v>
      </c>
      <c r="G135" t="s">
        <v>26</v>
      </c>
      <c r="H135" t="s">
        <v>417</v>
      </c>
    </row>
    <row r="136" spans="1:8" x14ac:dyDescent="0.25">
      <c r="A136" t="s">
        <v>418</v>
      </c>
      <c r="B136" t="s">
        <v>419</v>
      </c>
      <c r="C136" s="1">
        <v>46028.355925925927</v>
      </c>
      <c r="D136">
        <v>1088.03</v>
      </c>
      <c r="E136" t="s">
        <v>25</v>
      </c>
      <c r="F136" t="s">
        <v>20</v>
      </c>
      <c r="G136" t="s">
        <v>30</v>
      </c>
      <c r="H136" t="s">
        <v>420</v>
      </c>
    </row>
    <row r="137" spans="1:8" x14ac:dyDescent="0.25">
      <c r="A137" t="s">
        <v>421</v>
      </c>
      <c r="B137" t="s">
        <v>422</v>
      </c>
      <c r="C137" s="1">
        <v>46029.457002314812</v>
      </c>
      <c r="D137">
        <v>324.87</v>
      </c>
      <c r="E137" t="s">
        <v>25</v>
      </c>
      <c r="F137" t="s">
        <v>20</v>
      </c>
      <c r="G137" t="s">
        <v>21</v>
      </c>
      <c r="H137" t="s">
        <v>423</v>
      </c>
    </row>
    <row r="138" spans="1:8" x14ac:dyDescent="0.25">
      <c r="A138" t="s">
        <v>424</v>
      </c>
      <c r="B138" t="s">
        <v>425</v>
      </c>
      <c r="C138" s="1">
        <v>46030.54892361111</v>
      </c>
      <c r="D138">
        <v>745.15</v>
      </c>
      <c r="E138" t="s">
        <v>25</v>
      </c>
      <c r="F138" t="s">
        <v>20</v>
      </c>
      <c r="G138" t="s">
        <v>26</v>
      </c>
      <c r="H138" t="s">
        <v>426</v>
      </c>
    </row>
    <row r="139" spans="1:8" x14ac:dyDescent="0.25">
      <c r="A139" t="s">
        <v>427</v>
      </c>
      <c r="B139" t="s">
        <v>428</v>
      </c>
      <c r="C139" s="1">
        <v>46031.619386574072</v>
      </c>
      <c r="D139">
        <v>631.87</v>
      </c>
      <c r="E139" t="s">
        <v>25</v>
      </c>
      <c r="F139" t="s">
        <v>429</v>
      </c>
      <c r="G139" t="s">
        <v>30</v>
      </c>
      <c r="H139" t="s">
        <v>430</v>
      </c>
    </row>
    <row r="140" spans="1:8" x14ac:dyDescent="0.25">
      <c r="A140" t="s">
        <v>431</v>
      </c>
      <c r="B140" t="s">
        <v>432</v>
      </c>
      <c r="C140" s="1">
        <v>46032.718726851854</v>
      </c>
      <c r="D140">
        <v>2069.58</v>
      </c>
      <c r="E140" t="s">
        <v>25</v>
      </c>
      <c r="F140" t="s">
        <v>20</v>
      </c>
      <c r="G140" t="s">
        <v>21</v>
      </c>
      <c r="H140" t="s">
        <v>433</v>
      </c>
    </row>
    <row r="141" spans="1:8" x14ac:dyDescent="0.25">
      <c r="A141" t="s">
        <v>434</v>
      </c>
      <c r="B141" t="s">
        <v>435</v>
      </c>
      <c r="C141" s="1">
        <v>46033.811782407407</v>
      </c>
      <c r="D141">
        <v>1268.04</v>
      </c>
      <c r="E141" t="s">
        <v>25</v>
      </c>
      <c r="F141" t="s">
        <v>20</v>
      </c>
      <c r="G141" t="s">
        <v>26</v>
      </c>
      <c r="H141" t="s">
        <v>436</v>
      </c>
    </row>
    <row r="142" spans="1:8" x14ac:dyDescent="0.25">
      <c r="A142" t="s">
        <v>437</v>
      </c>
      <c r="B142" t="s">
        <v>438</v>
      </c>
      <c r="C142" s="1">
        <v>46034.903171296297</v>
      </c>
      <c r="D142">
        <v>733.11</v>
      </c>
      <c r="E142" t="s">
        <v>25</v>
      </c>
      <c r="F142" t="s">
        <v>20</v>
      </c>
      <c r="G142" t="s">
        <v>30</v>
      </c>
      <c r="H142" t="s">
        <v>439</v>
      </c>
    </row>
    <row r="143" spans="1:8" x14ac:dyDescent="0.25">
      <c r="A143" t="s">
        <v>440</v>
      </c>
      <c r="B143" t="s">
        <v>441</v>
      </c>
      <c r="C143" s="1">
        <v>46035.982372685183</v>
      </c>
      <c r="D143">
        <v>376.32</v>
      </c>
      <c r="E143" t="s">
        <v>25</v>
      </c>
      <c r="F143" t="s">
        <v>20</v>
      </c>
      <c r="G143" t="s">
        <v>21</v>
      </c>
      <c r="H143" t="s">
        <v>442</v>
      </c>
    </row>
    <row r="144" spans="1:8" x14ac:dyDescent="0.25">
      <c r="A144" t="s">
        <v>443</v>
      </c>
      <c r="B144" t="s">
        <v>444</v>
      </c>
      <c r="C144" s="1">
        <v>46037.062060185184</v>
      </c>
      <c r="D144">
        <v>1384.34</v>
      </c>
      <c r="E144" t="s">
        <v>52</v>
      </c>
      <c r="F144" t="s">
        <v>20</v>
      </c>
      <c r="G144" t="s">
        <v>26</v>
      </c>
      <c r="H144" t="s">
        <v>445</v>
      </c>
    </row>
    <row r="145" spans="1:8" x14ac:dyDescent="0.25">
      <c r="A145" t="s">
        <v>446</v>
      </c>
      <c r="B145" t="s">
        <v>447</v>
      </c>
      <c r="C145" s="1">
        <v>46024.156388888892</v>
      </c>
      <c r="D145">
        <v>56.53</v>
      </c>
      <c r="E145" t="s">
        <v>19</v>
      </c>
      <c r="F145" t="s">
        <v>20</v>
      </c>
      <c r="G145" t="s">
        <v>30</v>
      </c>
      <c r="H145" t="s">
        <v>448</v>
      </c>
    </row>
    <row r="146" spans="1:8" x14ac:dyDescent="0.25">
      <c r="A146" t="s">
        <v>449</v>
      </c>
      <c r="B146" t="s">
        <v>450</v>
      </c>
      <c r="C146" s="1">
        <v>46024.26703703704</v>
      </c>
      <c r="D146">
        <v>1571.63</v>
      </c>
      <c r="E146" t="s">
        <v>25</v>
      </c>
      <c r="F146" t="s">
        <v>20</v>
      </c>
      <c r="G146" t="s">
        <v>21</v>
      </c>
      <c r="H146" t="s">
        <v>451</v>
      </c>
    </row>
    <row r="147" spans="1:8" x14ac:dyDescent="0.25">
      <c r="A147" t="s">
        <v>452</v>
      </c>
      <c r="B147" t="s">
        <v>453</v>
      </c>
      <c r="C147" s="1">
        <v>46025.375196759262</v>
      </c>
      <c r="D147">
        <v>456.93</v>
      </c>
      <c r="E147" t="s">
        <v>25</v>
      </c>
      <c r="F147" t="s">
        <v>20</v>
      </c>
      <c r="G147" t="s">
        <v>26</v>
      </c>
      <c r="H147" t="s">
        <v>454</v>
      </c>
    </row>
    <row r="148" spans="1:8" x14ac:dyDescent="0.25">
      <c r="A148" t="s">
        <v>455</v>
      </c>
      <c r="B148" t="s">
        <v>456</v>
      </c>
      <c r="C148" s="1">
        <v>46026.437928240739</v>
      </c>
      <c r="D148">
        <v>1788.4</v>
      </c>
      <c r="E148" t="s">
        <v>25</v>
      </c>
      <c r="F148" t="s">
        <v>20</v>
      </c>
      <c r="G148" t="s">
        <v>30</v>
      </c>
      <c r="H148" t="s">
        <v>457</v>
      </c>
    </row>
    <row r="149" spans="1:8" x14ac:dyDescent="0.25">
      <c r="A149" t="s">
        <v>458</v>
      </c>
      <c r="B149" t="s">
        <v>459</v>
      </c>
      <c r="C149" s="1">
        <v>46027.556192129632</v>
      </c>
      <c r="D149">
        <v>318.39</v>
      </c>
      <c r="E149" t="s">
        <v>25</v>
      </c>
      <c r="F149" t="s">
        <v>20</v>
      </c>
      <c r="G149" t="s">
        <v>21</v>
      </c>
      <c r="H149" t="s">
        <v>460</v>
      </c>
    </row>
    <row r="150" spans="1:8" x14ac:dyDescent="0.25">
      <c r="A150" t="s">
        <v>461</v>
      </c>
      <c r="B150" t="s">
        <v>462</v>
      </c>
      <c r="C150" s="1">
        <v>46028.634363425925</v>
      </c>
      <c r="D150">
        <v>1472.02</v>
      </c>
      <c r="E150" t="s">
        <v>25</v>
      </c>
      <c r="F150" t="s">
        <v>429</v>
      </c>
      <c r="G150" t="s">
        <v>26</v>
      </c>
      <c r="H150" t="s">
        <v>463</v>
      </c>
    </row>
    <row r="151" spans="1:8" x14ac:dyDescent="0.25">
      <c r="A151" t="s">
        <v>464</v>
      </c>
      <c r="B151" t="s">
        <v>465</v>
      </c>
      <c r="C151" s="1">
        <v>46029.720775462964</v>
      </c>
      <c r="D151">
        <v>1304.6600000000001</v>
      </c>
      <c r="E151" t="s">
        <v>25</v>
      </c>
      <c r="F151" t="s">
        <v>20</v>
      </c>
      <c r="G151" t="s">
        <v>30</v>
      </c>
      <c r="H151" t="s">
        <v>466</v>
      </c>
    </row>
    <row r="152" spans="1:8" x14ac:dyDescent="0.25">
      <c r="A152" t="s">
        <v>467</v>
      </c>
      <c r="B152" t="s">
        <v>468</v>
      </c>
      <c r="C152" s="1">
        <v>46030.809317129628</v>
      </c>
      <c r="D152">
        <v>1711.02</v>
      </c>
      <c r="E152" t="s">
        <v>25</v>
      </c>
      <c r="F152" t="s">
        <v>20</v>
      </c>
      <c r="G152" t="s">
        <v>21</v>
      </c>
      <c r="H152" t="s">
        <v>469</v>
      </c>
    </row>
    <row r="153" spans="1:8" x14ac:dyDescent="0.25">
      <c r="A153" t="s">
        <v>470</v>
      </c>
      <c r="B153" t="s">
        <v>471</v>
      </c>
      <c r="C153" s="1">
        <v>46031.905023148145</v>
      </c>
      <c r="D153">
        <v>1122.5899999999999</v>
      </c>
      <c r="E153" t="s">
        <v>25</v>
      </c>
      <c r="F153" t="s">
        <v>20</v>
      </c>
      <c r="G153" t="s">
        <v>26</v>
      </c>
      <c r="H153" t="s">
        <v>472</v>
      </c>
    </row>
    <row r="154" spans="1:8" x14ac:dyDescent="0.25">
      <c r="A154" t="s">
        <v>473</v>
      </c>
      <c r="B154" t="s">
        <v>474</v>
      </c>
      <c r="C154" s="1">
        <v>46033.006921296299</v>
      </c>
      <c r="D154">
        <v>808.53</v>
      </c>
      <c r="E154" t="s">
        <v>52</v>
      </c>
      <c r="F154" t="s">
        <v>20</v>
      </c>
      <c r="G154" t="s">
        <v>30</v>
      </c>
      <c r="H154" t="s">
        <v>475</v>
      </c>
    </row>
    <row r="155" spans="1:8" x14ac:dyDescent="0.25">
      <c r="A155" t="s">
        <v>476</v>
      </c>
      <c r="B155" t="s">
        <v>477</v>
      </c>
      <c r="C155" s="1">
        <v>46034.083854166667</v>
      </c>
      <c r="D155">
        <v>1210.43</v>
      </c>
      <c r="E155" t="s">
        <v>19</v>
      </c>
      <c r="F155" t="s">
        <v>20</v>
      </c>
      <c r="G155" t="s">
        <v>21</v>
      </c>
      <c r="H155" t="s">
        <v>478</v>
      </c>
    </row>
    <row r="156" spans="1:8" x14ac:dyDescent="0.25">
      <c r="A156" t="s">
        <v>479</v>
      </c>
      <c r="B156" t="s">
        <v>480</v>
      </c>
      <c r="C156" s="1">
        <v>46035.195902777778</v>
      </c>
      <c r="D156">
        <v>1797.62</v>
      </c>
      <c r="E156" t="s">
        <v>25</v>
      </c>
      <c r="F156" t="s">
        <v>20</v>
      </c>
      <c r="G156" t="s">
        <v>26</v>
      </c>
      <c r="H156" t="s">
        <v>481</v>
      </c>
    </row>
    <row r="157" spans="1:8" x14ac:dyDescent="0.25">
      <c r="A157" t="s">
        <v>482</v>
      </c>
      <c r="B157" t="s">
        <v>483</v>
      </c>
      <c r="C157" s="1">
        <v>46035.258136574077</v>
      </c>
      <c r="D157">
        <v>2021.47</v>
      </c>
      <c r="E157" t="s">
        <v>25</v>
      </c>
      <c r="F157" t="s">
        <v>20</v>
      </c>
      <c r="G157" t="s">
        <v>30</v>
      </c>
      <c r="H157" t="s">
        <v>484</v>
      </c>
    </row>
    <row r="158" spans="1:8" x14ac:dyDescent="0.25">
      <c r="A158" t="s">
        <v>485</v>
      </c>
      <c r="B158" t="s">
        <v>486</v>
      </c>
      <c r="C158" s="1">
        <v>46036.377789351849</v>
      </c>
      <c r="D158">
        <v>2166.52</v>
      </c>
      <c r="E158" t="s">
        <v>25</v>
      </c>
      <c r="F158" t="s">
        <v>20</v>
      </c>
      <c r="G158" t="s">
        <v>21</v>
      </c>
      <c r="H158" t="s">
        <v>487</v>
      </c>
    </row>
    <row r="159" spans="1:8" x14ac:dyDescent="0.25">
      <c r="A159" t="s">
        <v>488</v>
      </c>
      <c r="B159" t="s">
        <v>489</v>
      </c>
      <c r="C159" s="1">
        <v>46023.446157407408</v>
      </c>
      <c r="D159">
        <v>575.04</v>
      </c>
      <c r="E159" t="s">
        <v>25</v>
      </c>
      <c r="F159" t="s">
        <v>20</v>
      </c>
      <c r="G159" t="s">
        <v>26</v>
      </c>
      <c r="H159" t="s">
        <v>490</v>
      </c>
    </row>
    <row r="160" spans="1:8" x14ac:dyDescent="0.25">
      <c r="A160" t="s">
        <v>491</v>
      </c>
      <c r="B160" t="s">
        <v>492</v>
      </c>
      <c r="C160" s="1">
        <v>46024.552743055552</v>
      </c>
      <c r="D160">
        <v>1054.1500000000001</v>
      </c>
      <c r="E160" t="s">
        <v>25</v>
      </c>
      <c r="F160" t="s">
        <v>20</v>
      </c>
      <c r="G160" t="s">
        <v>30</v>
      </c>
      <c r="H160" t="s">
        <v>493</v>
      </c>
    </row>
    <row r="161" spans="1:8" x14ac:dyDescent="0.25">
      <c r="A161" t="s">
        <v>494</v>
      </c>
      <c r="B161" t="s">
        <v>495</v>
      </c>
      <c r="C161" s="1">
        <v>46025.626921296294</v>
      </c>
      <c r="D161">
        <v>1479.44</v>
      </c>
      <c r="E161" t="s">
        <v>25</v>
      </c>
      <c r="F161" t="s">
        <v>20</v>
      </c>
      <c r="G161" t="s">
        <v>21</v>
      </c>
      <c r="H161" t="s">
        <v>496</v>
      </c>
    </row>
    <row r="162" spans="1:8" x14ac:dyDescent="0.25">
      <c r="A162" t="s">
        <v>497</v>
      </c>
      <c r="B162" t="s">
        <v>498</v>
      </c>
      <c r="C162" s="1">
        <v>46026.715497685182</v>
      </c>
      <c r="D162">
        <v>1756.56</v>
      </c>
      <c r="E162" t="s">
        <v>25</v>
      </c>
      <c r="F162" t="s">
        <v>20</v>
      </c>
      <c r="G162" t="s">
        <v>26</v>
      </c>
      <c r="H162" t="s">
        <v>499</v>
      </c>
    </row>
    <row r="163" spans="1:8" x14ac:dyDescent="0.25">
      <c r="A163" t="s">
        <v>500</v>
      </c>
      <c r="B163" t="s">
        <v>501</v>
      </c>
      <c r="C163" s="1">
        <v>46027.843564814815</v>
      </c>
      <c r="D163">
        <v>354.84</v>
      </c>
      <c r="E163" t="s">
        <v>25</v>
      </c>
      <c r="F163" t="s">
        <v>20</v>
      </c>
      <c r="G163" t="s">
        <v>30</v>
      </c>
      <c r="H163" t="s">
        <v>502</v>
      </c>
    </row>
    <row r="164" spans="1:8" x14ac:dyDescent="0.25">
      <c r="A164" t="s">
        <v>503</v>
      </c>
      <c r="B164" t="s">
        <v>504</v>
      </c>
      <c r="C164" s="1">
        <v>46028.93540509259</v>
      </c>
      <c r="D164">
        <v>2393.91</v>
      </c>
      <c r="E164" t="s">
        <v>52</v>
      </c>
      <c r="F164" t="s">
        <v>20</v>
      </c>
      <c r="G164" t="s">
        <v>21</v>
      </c>
      <c r="H164" t="s">
        <v>505</v>
      </c>
    </row>
    <row r="165" spans="1:8" x14ac:dyDescent="0.25">
      <c r="A165" t="s">
        <v>506</v>
      </c>
      <c r="B165" t="s">
        <v>507</v>
      </c>
      <c r="C165" s="1">
        <v>46029.999201388891</v>
      </c>
      <c r="D165">
        <v>1265.67</v>
      </c>
      <c r="E165" t="s">
        <v>19</v>
      </c>
      <c r="F165" t="s">
        <v>20</v>
      </c>
      <c r="G165" t="s">
        <v>26</v>
      </c>
      <c r="H165" t="s">
        <v>508</v>
      </c>
    </row>
    <row r="166" spans="1:8" x14ac:dyDescent="0.25">
      <c r="A166" t="s">
        <v>509</v>
      </c>
      <c r="B166" t="s">
        <v>510</v>
      </c>
      <c r="C166" s="1">
        <v>46031.10769675926</v>
      </c>
      <c r="D166">
        <v>1781.21</v>
      </c>
      <c r="E166" t="s">
        <v>25</v>
      </c>
      <c r="F166" t="s">
        <v>20</v>
      </c>
      <c r="G166" t="s">
        <v>30</v>
      </c>
      <c r="H166" t="s">
        <v>511</v>
      </c>
    </row>
    <row r="167" spans="1:8" x14ac:dyDescent="0.25">
      <c r="A167" t="s">
        <v>512</v>
      </c>
      <c r="B167" t="s">
        <v>513</v>
      </c>
      <c r="C167" s="1">
        <v>46032.171446759261</v>
      </c>
      <c r="D167">
        <v>2188.0500000000002</v>
      </c>
      <c r="E167" t="s">
        <v>25</v>
      </c>
      <c r="F167" t="s">
        <v>20</v>
      </c>
      <c r="G167" t="s">
        <v>21</v>
      </c>
      <c r="H167" t="s">
        <v>514</v>
      </c>
    </row>
    <row r="168" spans="1:8" x14ac:dyDescent="0.25">
      <c r="A168" t="s">
        <v>515</v>
      </c>
      <c r="B168" t="s">
        <v>516</v>
      </c>
      <c r="C168" s="1">
        <v>46032.280127314814</v>
      </c>
      <c r="D168">
        <v>1530.61</v>
      </c>
      <c r="E168" t="s">
        <v>25</v>
      </c>
      <c r="F168" t="s">
        <v>20</v>
      </c>
      <c r="G168" t="s">
        <v>26</v>
      </c>
      <c r="H168" t="s">
        <v>517</v>
      </c>
    </row>
    <row r="169" spans="1:8" x14ac:dyDescent="0.25">
      <c r="A169" t="s">
        <v>518</v>
      </c>
      <c r="B169" t="s">
        <v>519</v>
      </c>
      <c r="C169" s="1">
        <v>46033.372395833336</v>
      </c>
      <c r="D169">
        <v>335.84</v>
      </c>
      <c r="E169" t="s">
        <v>25</v>
      </c>
      <c r="F169" t="s">
        <v>20</v>
      </c>
      <c r="G169" t="s">
        <v>30</v>
      </c>
      <c r="H169" t="s">
        <v>520</v>
      </c>
    </row>
    <row r="170" spans="1:8" x14ac:dyDescent="0.25">
      <c r="A170" t="s">
        <v>521</v>
      </c>
      <c r="B170" t="s">
        <v>522</v>
      </c>
      <c r="C170" s="1">
        <v>46034.484814814816</v>
      </c>
      <c r="D170">
        <v>2427.5</v>
      </c>
      <c r="E170" t="s">
        <v>25</v>
      </c>
      <c r="F170" t="s">
        <v>20</v>
      </c>
      <c r="G170" t="s">
        <v>21</v>
      </c>
      <c r="H170" t="s">
        <v>523</v>
      </c>
    </row>
    <row r="171" spans="1:8" x14ac:dyDescent="0.25">
      <c r="A171" t="s">
        <v>524</v>
      </c>
      <c r="B171" t="s">
        <v>525</v>
      </c>
      <c r="C171" s="1">
        <v>46035.550405092596</v>
      </c>
      <c r="D171">
        <v>971.48</v>
      </c>
      <c r="E171" t="s">
        <v>25</v>
      </c>
      <c r="F171" t="s">
        <v>20</v>
      </c>
      <c r="G171" t="s">
        <v>26</v>
      </c>
      <c r="H171" t="s">
        <v>526</v>
      </c>
    </row>
    <row r="172" spans="1:8" x14ac:dyDescent="0.25">
      <c r="A172" t="s">
        <v>527</v>
      </c>
      <c r="B172" t="s">
        <v>528</v>
      </c>
      <c r="C172" s="1">
        <v>46036.667199074072</v>
      </c>
      <c r="D172">
        <v>1106.7</v>
      </c>
      <c r="E172" t="s">
        <v>25</v>
      </c>
      <c r="F172" t="s">
        <v>20</v>
      </c>
      <c r="G172" t="s">
        <v>30</v>
      </c>
      <c r="H172" t="s">
        <v>529</v>
      </c>
    </row>
    <row r="173" spans="1:8" x14ac:dyDescent="0.25">
      <c r="A173" t="s">
        <v>530</v>
      </c>
      <c r="B173" t="s">
        <v>531</v>
      </c>
      <c r="C173" s="1">
        <v>46023.7346412037</v>
      </c>
      <c r="D173">
        <v>277.01</v>
      </c>
      <c r="E173" t="s">
        <v>25</v>
      </c>
      <c r="F173" t="s">
        <v>20</v>
      </c>
      <c r="G173" t="s">
        <v>21</v>
      </c>
      <c r="H173" t="s">
        <v>532</v>
      </c>
    </row>
    <row r="174" spans="1:8" x14ac:dyDescent="0.25">
      <c r="A174" t="s">
        <v>533</v>
      </c>
      <c r="B174" t="s">
        <v>534</v>
      </c>
      <c r="C174" s="1">
        <v>46024.845011574071</v>
      </c>
      <c r="D174">
        <v>586.04</v>
      </c>
      <c r="E174" t="s">
        <v>52</v>
      </c>
      <c r="F174" t="s">
        <v>92</v>
      </c>
      <c r="G174" t="s">
        <v>26</v>
      </c>
      <c r="H174" t="s">
        <v>535</v>
      </c>
    </row>
    <row r="175" spans="1:8" x14ac:dyDescent="0.25">
      <c r="A175" t="s">
        <v>536</v>
      </c>
      <c r="B175" t="s">
        <v>537</v>
      </c>
      <c r="C175" s="1">
        <v>46025.942407407405</v>
      </c>
      <c r="D175">
        <v>227.25</v>
      </c>
      <c r="E175" t="s">
        <v>19</v>
      </c>
      <c r="F175" t="s">
        <v>20</v>
      </c>
      <c r="G175" t="s">
        <v>30</v>
      </c>
      <c r="H175" t="s">
        <v>538</v>
      </c>
    </row>
    <row r="176" spans="1:8" x14ac:dyDescent="0.25">
      <c r="A176" t="s">
        <v>539</v>
      </c>
      <c r="B176" t="s">
        <v>540</v>
      </c>
      <c r="C176" s="1">
        <v>46027.001145833332</v>
      </c>
      <c r="D176">
        <v>123.15</v>
      </c>
      <c r="E176" t="s">
        <v>25</v>
      </c>
      <c r="F176" t="s">
        <v>20</v>
      </c>
      <c r="G176" t="s">
        <v>21</v>
      </c>
      <c r="H176" t="s">
        <v>541</v>
      </c>
    </row>
    <row r="177" spans="1:8" x14ac:dyDescent="0.25">
      <c r="A177" t="s">
        <v>542</v>
      </c>
      <c r="B177" t="s">
        <v>543</v>
      </c>
      <c r="C177" s="1">
        <v>46028.092118055552</v>
      </c>
      <c r="D177">
        <v>2116.92</v>
      </c>
      <c r="E177" t="s">
        <v>25</v>
      </c>
      <c r="F177" t="s">
        <v>20</v>
      </c>
      <c r="G177" t="s">
        <v>26</v>
      </c>
      <c r="H177" t="s">
        <v>544</v>
      </c>
    </row>
    <row r="178" spans="1:8" x14ac:dyDescent="0.25">
      <c r="A178" t="s">
        <v>545</v>
      </c>
      <c r="B178" t="s">
        <v>546</v>
      </c>
      <c r="C178" s="1">
        <v>46029.199699074074</v>
      </c>
      <c r="D178">
        <v>1762.77</v>
      </c>
      <c r="E178" t="s">
        <v>25</v>
      </c>
      <c r="F178" t="s">
        <v>20</v>
      </c>
      <c r="G178" t="s">
        <v>30</v>
      </c>
      <c r="H178" t="s">
        <v>547</v>
      </c>
    </row>
    <row r="179" spans="1:8" x14ac:dyDescent="0.25">
      <c r="A179" t="s">
        <v>548</v>
      </c>
      <c r="B179" t="s">
        <v>549</v>
      </c>
      <c r="C179" s="1">
        <v>46029.278715277775</v>
      </c>
      <c r="D179">
        <v>228.95</v>
      </c>
      <c r="E179" t="s">
        <v>25</v>
      </c>
      <c r="F179" t="s">
        <v>20</v>
      </c>
      <c r="G179" t="s">
        <v>21</v>
      </c>
      <c r="H179" t="s">
        <v>550</v>
      </c>
    </row>
    <row r="180" spans="1:8" x14ac:dyDescent="0.25">
      <c r="A180" t="s">
        <v>551</v>
      </c>
      <c r="B180" t="s">
        <v>552</v>
      </c>
      <c r="C180" s="1">
        <v>46030.383969907409</v>
      </c>
      <c r="D180">
        <v>936.29</v>
      </c>
      <c r="E180" t="s">
        <v>25</v>
      </c>
      <c r="F180" t="s">
        <v>20</v>
      </c>
      <c r="G180" t="s">
        <v>26</v>
      </c>
      <c r="H180" t="s">
        <v>553</v>
      </c>
    </row>
    <row r="181" spans="1:8" x14ac:dyDescent="0.25">
      <c r="A181" t="s">
        <v>554</v>
      </c>
      <c r="B181" t="s">
        <v>555</v>
      </c>
      <c r="C181" s="1">
        <v>46031.475092592591</v>
      </c>
      <c r="D181">
        <v>2409.42</v>
      </c>
      <c r="E181" t="s">
        <v>25</v>
      </c>
      <c r="F181" t="s">
        <v>20</v>
      </c>
      <c r="G181" t="s">
        <v>30</v>
      </c>
      <c r="H181" t="s">
        <v>556</v>
      </c>
    </row>
    <row r="182" spans="1:8" x14ac:dyDescent="0.25">
      <c r="A182" t="s">
        <v>557</v>
      </c>
      <c r="B182" t="s">
        <v>558</v>
      </c>
      <c r="C182" s="1">
        <v>46032.545659722222</v>
      </c>
      <c r="D182">
        <v>846.48</v>
      </c>
      <c r="E182" t="s">
        <v>25</v>
      </c>
      <c r="F182" t="s">
        <v>20</v>
      </c>
      <c r="G182" t="s">
        <v>21</v>
      </c>
      <c r="H182" t="s">
        <v>559</v>
      </c>
    </row>
    <row r="183" spans="1:8" x14ac:dyDescent="0.25">
      <c r="A183" t="s">
        <v>560</v>
      </c>
      <c r="B183" t="s">
        <v>561</v>
      </c>
      <c r="C183" s="1">
        <v>46033.644733796296</v>
      </c>
      <c r="D183">
        <v>1537.88</v>
      </c>
      <c r="E183" t="s">
        <v>25</v>
      </c>
      <c r="F183" t="s">
        <v>20</v>
      </c>
      <c r="G183" t="s">
        <v>26</v>
      </c>
      <c r="H183" t="s">
        <v>562</v>
      </c>
    </row>
    <row r="184" spans="1:8" x14ac:dyDescent="0.25">
      <c r="A184" t="s">
        <v>563</v>
      </c>
      <c r="B184" t="s">
        <v>564</v>
      </c>
      <c r="C184" s="1">
        <v>46034.746446759258</v>
      </c>
      <c r="D184">
        <v>756.46</v>
      </c>
      <c r="E184" t="s">
        <v>52</v>
      </c>
      <c r="F184" t="s">
        <v>20</v>
      </c>
      <c r="G184" t="s">
        <v>30</v>
      </c>
      <c r="H184" t="s">
        <v>565</v>
      </c>
    </row>
    <row r="185" spans="1:8" x14ac:dyDescent="0.25">
      <c r="A185" t="s">
        <v>566</v>
      </c>
      <c r="B185" t="s">
        <v>567</v>
      </c>
      <c r="C185" s="1">
        <v>46035.820300925923</v>
      </c>
      <c r="D185">
        <v>1404.28</v>
      </c>
      <c r="E185" t="s">
        <v>19</v>
      </c>
      <c r="F185" t="s">
        <v>20</v>
      </c>
      <c r="G185" t="s">
        <v>21</v>
      </c>
      <c r="H185" t="s">
        <v>568</v>
      </c>
    </row>
    <row r="186" spans="1:8" x14ac:dyDescent="0.25">
      <c r="A186" t="s">
        <v>569</v>
      </c>
      <c r="B186" t="s">
        <v>570</v>
      </c>
      <c r="C186" s="1">
        <v>46036.916284722225</v>
      </c>
      <c r="D186">
        <v>990.93</v>
      </c>
      <c r="E186" t="s">
        <v>25</v>
      </c>
      <c r="F186" t="s">
        <v>20</v>
      </c>
      <c r="G186" t="s">
        <v>26</v>
      </c>
      <c r="H186" t="s">
        <v>571</v>
      </c>
    </row>
    <row r="187" spans="1:8" x14ac:dyDescent="0.25">
      <c r="A187" t="s">
        <v>572</v>
      </c>
      <c r="B187" t="s">
        <v>573</v>
      </c>
      <c r="C187" s="1">
        <v>46024.00571759259</v>
      </c>
      <c r="D187">
        <v>1360.99</v>
      </c>
      <c r="E187" t="s">
        <v>25</v>
      </c>
      <c r="F187" t="s">
        <v>20</v>
      </c>
      <c r="G187" t="s">
        <v>30</v>
      </c>
      <c r="H187" t="s">
        <v>574</v>
      </c>
    </row>
    <row r="188" spans="1:8" x14ac:dyDescent="0.25">
      <c r="A188" t="s">
        <v>575</v>
      </c>
      <c r="B188" t="s">
        <v>576</v>
      </c>
      <c r="C188" s="1">
        <v>46025.117974537039</v>
      </c>
      <c r="D188">
        <v>804.89</v>
      </c>
      <c r="E188" t="s">
        <v>25</v>
      </c>
      <c r="F188" t="s">
        <v>20</v>
      </c>
      <c r="G188" t="s">
        <v>21</v>
      </c>
      <c r="H188" t="s">
        <v>577</v>
      </c>
    </row>
    <row r="189" spans="1:8" x14ac:dyDescent="0.25">
      <c r="A189" t="s">
        <v>578</v>
      </c>
      <c r="B189" t="s">
        <v>579</v>
      </c>
      <c r="C189" s="1">
        <v>46026.195879629631</v>
      </c>
      <c r="D189">
        <v>518.08000000000004</v>
      </c>
      <c r="E189" t="s">
        <v>25</v>
      </c>
      <c r="F189" t="s">
        <v>429</v>
      </c>
      <c r="G189" t="s">
        <v>26</v>
      </c>
      <c r="H189" t="s">
        <v>580</v>
      </c>
    </row>
    <row r="190" spans="1:8" x14ac:dyDescent="0.25">
      <c r="A190" t="s">
        <v>581</v>
      </c>
      <c r="B190" t="s">
        <v>582</v>
      </c>
      <c r="C190" s="1">
        <v>46026.302129629628</v>
      </c>
      <c r="D190">
        <v>2048.58</v>
      </c>
      <c r="E190" t="s">
        <v>25</v>
      </c>
      <c r="F190" t="s">
        <v>20</v>
      </c>
      <c r="G190" t="s">
        <v>30</v>
      </c>
      <c r="H190" t="s">
        <v>583</v>
      </c>
    </row>
    <row r="191" spans="1:8" x14ac:dyDescent="0.25">
      <c r="A191" t="s">
        <v>584</v>
      </c>
      <c r="B191" t="s">
        <v>585</v>
      </c>
      <c r="C191" s="1">
        <v>46027.403171296297</v>
      </c>
      <c r="D191">
        <v>207.87</v>
      </c>
      <c r="E191" t="s">
        <v>25</v>
      </c>
      <c r="F191" t="s">
        <v>20</v>
      </c>
      <c r="G191" t="s">
        <v>21</v>
      </c>
      <c r="H191" t="s">
        <v>586</v>
      </c>
    </row>
    <row r="192" spans="1:8" x14ac:dyDescent="0.25">
      <c r="A192" t="s">
        <v>587</v>
      </c>
      <c r="B192" t="s">
        <v>588</v>
      </c>
      <c r="C192" s="1">
        <v>46028.491956018515</v>
      </c>
      <c r="D192">
        <v>359.8</v>
      </c>
      <c r="E192" t="s">
        <v>25</v>
      </c>
      <c r="F192" t="s">
        <v>20</v>
      </c>
      <c r="G192" t="s">
        <v>26</v>
      </c>
      <c r="H192" t="s">
        <v>589</v>
      </c>
    </row>
    <row r="193" spans="1:8" x14ac:dyDescent="0.25">
      <c r="A193" t="s">
        <v>590</v>
      </c>
      <c r="B193" t="s">
        <v>591</v>
      </c>
      <c r="C193" s="1">
        <v>46029.573750000003</v>
      </c>
      <c r="D193">
        <v>286.99</v>
      </c>
      <c r="E193" t="s">
        <v>25</v>
      </c>
      <c r="F193" t="s">
        <v>20</v>
      </c>
      <c r="G193" t="s">
        <v>30</v>
      </c>
      <c r="H193" t="s">
        <v>592</v>
      </c>
    </row>
    <row r="194" spans="1:8" x14ac:dyDescent="0.25">
      <c r="A194" t="s">
        <v>593</v>
      </c>
      <c r="B194" t="s">
        <v>594</v>
      </c>
      <c r="C194" s="1">
        <v>46030.644837962966</v>
      </c>
      <c r="D194">
        <v>878.65</v>
      </c>
      <c r="E194" t="s">
        <v>52</v>
      </c>
      <c r="F194" t="s">
        <v>92</v>
      </c>
      <c r="G194" t="s">
        <v>21</v>
      </c>
      <c r="H194" t="s">
        <v>595</v>
      </c>
    </row>
    <row r="195" spans="1:8" x14ac:dyDescent="0.25">
      <c r="A195" t="s">
        <v>596</v>
      </c>
      <c r="B195" t="s">
        <v>597</v>
      </c>
      <c r="C195" s="1">
        <v>46031.759282407409</v>
      </c>
      <c r="D195">
        <v>1254.72</v>
      </c>
      <c r="E195" t="s">
        <v>19</v>
      </c>
      <c r="F195" t="s">
        <v>20</v>
      </c>
      <c r="G195" t="s">
        <v>26</v>
      </c>
      <c r="H195" t="s">
        <v>598</v>
      </c>
    </row>
    <row r="196" spans="1:8" x14ac:dyDescent="0.25">
      <c r="A196" t="s">
        <v>599</v>
      </c>
      <c r="B196" t="s">
        <v>600</v>
      </c>
      <c r="C196" s="1">
        <v>46032.838842592595</v>
      </c>
      <c r="D196">
        <v>1961.44</v>
      </c>
      <c r="E196" t="s">
        <v>25</v>
      </c>
      <c r="F196" t="s">
        <v>20</v>
      </c>
      <c r="G196" t="s">
        <v>30</v>
      </c>
      <c r="H196" t="s">
        <v>601</v>
      </c>
    </row>
    <row r="197" spans="1:8" x14ac:dyDescent="0.25">
      <c r="A197" t="s">
        <v>602</v>
      </c>
      <c r="B197" t="s">
        <v>603</v>
      </c>
      <c r="C197" s="1">
        <v>46033.958564814813</v>
      </c>
      <c r="D197">
        <v>534.15</v>
      </c>
      <c r="E197" t="s">
        <v>25</v>
      </c>
      <c r="F197" t="s">
        <v>20</v>
      </c>
      <c r="G197" t="s">
        <v>21</v>
      </c>
      <c r="H197" t="s">
        <v>604</v>
      </c>
    </row>
    <row r="198" spans="1:8" x14ac:dyDescent="0.25">
      <c r="A198" t="s">
        <v>605</v>
      </c>
      <c r="B198" t="s">
        <v>606</v>
      </c>
      <c r="C198" s="1">
        <v>46035.048379629632</v>
      </c>
      <c r="D198">
        <v>532.47</v>
      </c>
      <c r="E198" t="s">
        <v>25</v>
      </c>
      <c r="F198" t="s">
        <v>20</v>
      </c>
      <c r="G198" t="s">
        <v>26</v>
      </c>
      <c r="H198" t="s">
        <v>607</v>
      </c>
    </row>
    <row r="199" spans="1:8" x14ac:dyDescent="0.25">
      <c r="A199" t="s">
        <v>608</v>
      </c>
      <c r="B199" t="s">
        <v>609</v>
      </c>
      <c r="C199" s="1">
        <v>46036.121932870374</v>
      </c>
      <c r="D199">
        <v>1548.97</v>
      </c>
      <c r="E199" t="s">
        <v>25</v>
      </c>
      <c r="F199" t="s">
        <v>20</v>
      </c>
      <c r="G199" t="s">
        <v>30</v>
      </c>
      <c r="H199" t="s">
        <v>610</v>
      </c>
    </row>
    <row r="200" spans="1:8" x14ac:dyDescent="0.25">
      <c r="A200" t="s">
        <v>611</v>
      </c>
      <c r="B200" t="s">
        <v>612</v>
      </c>
      <c r="C200" s="1">
        <v>46037.194108796299</v>
      </c>
      <c r="D200">
        <v>1318.53</v>
      </c>
      <c r="E200" t="s">
        <v>25</v>
      </c>
      <c r="F200" t="s">
        <v>20</v>
      </c>
      <c r="G200" t="s">
        <v>21</v>
      </c>
      <c r="H200" t="s">
        <v>613</v>
      </c>
    </row>
    <row r="201" spans="1:8" x14ac:dyDescent="0.25">
      <c r="A201" t="s">
        <v>614</v>
      </c>
      <c r="B201" t="s">
        <v>615</v>
      </c>
      <c r="C201" s="1">
        <v>46023.299131944441</v>
      </c>
      <c r="D201">
        <v>1074.4000000000001</v>
      </c>
      <c r="E201" t="s">
        <v>25</v>
      </c>
      <c r="F201" t="s">
        <v>20</v>
      </c>
      <c r="G201" t="s">
        <v>26</v>
      </c>
      <c r="H201" t="s">
        <v>616</v>
      </c>
    </row>
    <row r="202" spans="1:8" x14ac:dyDescent="0.25">
      <c r="A202" t="s">
        <v>617</v>
      </c>
      <c r="B202" t="s">
        <v>618</v>
      </c>
      <c r="C202" s="1">
        <v>46024.377766203703</v>
      </c>
      <c r="D202">
        <v>1036.1500000000001</v>
      </c>
      <c r="E202" t="s">
        <v>25</v>
      </c>
      <c r="F202" t="s">
        <v>20</v>
      </c>
      <c r="G202" t="s">
        <v>30</v>
      </c>
      <c r="H202" t="s">
        <v>619</v>
      </c>
    </row>
    <row r="203" spans="1:8" x14ac:dyDescent="0.25">
      <c r="A203" t="s">
        <v>620</v>
      </c>
      <c r="B203" t="s">
        <v>621</v>
      </c>
      <c r="C203" s="1">
        <v>46025.504293981481</v>
      </c>
      <c r="D203">
        <v>837</v>
      </c>
      <c r="E203" t="s">
        <v>25</v>
      </c>
      <c r="F203" t="s">
        <v>20</v>
      </c>
      <c r="G203" t="s">
        <v>21</v>
      </c>
      <c r="H203" t="s">
        <v>622</v>
      </c>
    </row>
    <row r="204" spans="1:8" x14ac:dyDescent="0.25">
      <c r="A204" t="s">
        <v>623</v>
      </c>
      <c r="B204" t="s">
        <v>624</v>
      </c>
      <c r="C204" s="1">
        <v>46026.590138888889</v>
      </c>
      <c r="D204">
        <v>2394.61</v>
      </c>
      <c r="E204" t="s">
        <v>52</v>
      </c>
      <c r="F204" t="s">
        <v>20</v>
      </c>
      <c r="G204" t="s">
        <v>26</v>
      </c>
      <c r="H204" t="s">
        <v>625</v>
      </c>
    </row>
    <row r="205" spans="1:8" x14ac:dyDescent="0.25">
      <c r="A205" t="s">
        <v>626</v>
      </c>
      <c r="B205" t="s">
        <v>627</v>
      </c>
      <c r="C205" s="1">
        <v>46027.665196759262</v>
      </c>
      <c r="D205">
        <v>241.73</v>
      </c>
      <c r="E205" t="s">
        <v>19</v>
      </c>
      <c r="F205" t="s">
        <v>20</v>
      </c>
      <c r="G205" t="s">
        <v>30</v>
      </c>
      <c r="H205" t="s">
        <v>628</v>
      </c>
    </row>
    <row r="206" spans="1:8" x14ac:dyDescent="0.25">
      <c r="A206" t="s">
        <v>629</v>
      </c>
      <c r="B206" t="s">
        <v>630</v>
      </c>
      <c r="C206" s="1">
        <v>46028.773831018516</v>
      </c>
      <c r="D206">
        <v>842.57</v>
      </c>
      <c r="E206" t="s">
        <v>25</v>
      </c>
      <c r="F206" t="s">
        <v>20</v>
      </c>
      <c r="G206" t="s">
        <v>21</v>
      </c>
      <c r="H206" t="s">
        <v>631</v>
      </c>
    </row>
    <row r="207" spans="1:8" x14ac:dyDescent="0.25">
      <c r="A207" t="s">
        <v>632</v>
      </c>
      <c r="B207" t="s">
        <v>633</v>
      </c>
      <c r="C207" s="1">
        <v>46029.848668981482</v>
      </c>
      <c r="D207">
        <v>135.47</v>
      </c>
      <c r="E207" t="s">
        <v>25</v>
      </c>
      <c r="F207" t="s">
        <v>20</v>
      </c>
      <c r="G207" t="s">
        <v>26</v>
      </c>
      <c r="H207" t="s">
        <v>634</v>
      </c>
    </row>
    <row r="208" spans="1:8" x14ac:dyDescent="0.25">
      <c r="A208" t="s">
        <v>635</v>
      </c>
      <c r="B208" t="s">
        <v>636</v>
      </c>
      <c r="C208" s="1">
        <v>46030.966006944444</v>
      </c>
      <c r="D208">
        <v>1964.55</v>
      </c>
      <c r="E208" t="s">
        <v>25</v>
      </c>
      <c r="F208" t="s">
        <v>20</v>
      </c>
      <c r="G208" t="s">
        <v>30</v>
      </c>
      <c r="H208" t="s">
        <v>637</v>
      </c>
    </row>
    <row r="209" spans="1:8" x14ac:dyDescent="0.25">
      <c r="A209" t="s">
        <v>638</v>
      </c>
      <c r="B209" t="s">
        <v>639</v>
      </c>
      <c r="C209" s="1">
        <v>46032.037812499999</v>
      </c>
      <c r="D209">
        <v>16.93</v>
      </c>
      <c r="E209" t="s">
        <v>25</v>
      </c>
      <c r="F209" t="s">
        <v>429</v>
      </c>
      <c r="G209" t="s">
        <v>21</v>
      </c>
      <c r="H209" t="s">
        <v>640</v>
      </c>
    </row>
    <row r="210" spans="1:8" x14ac:dyDescent="0.25">
      <c r="A210" t="s">
        <v>641</v>
      </c>
      <c r="B210" t="s">
        <v>642</v>
      </c>
      <c r="C210" s="1">
        <v>46033.110497685186</v>
      </c>
      <c r="D210">
        <v>968.57</v>
      </c>
      <c r="E210" t="s">
        <v>25</v>
      </c>
      <c r="F210" t="s">
        <v>20</v>
      </c>
      <c r="G210" t="s">
        <v>26</v>
      </c>
      <c r="H210" t="s">
        <v>643</v>
      </c>
    </row>
    <row r="211" spans="1:8" x14ac:dyDescent="0.25">
      <c r="A211" t="s">
        <v>644</v>
      </c>
      <c r="B211" t="s">
        <v>645</v>
      </c>
      <c r="C211" s="1">
        <v>46034.220972222225</v>
      </c>
      <c r="D211">
        <v>1248.75</v>
      </c>
      <c r="E211" t="s">
        <v>25</v>
      </c>
      <c r="F211" t="s">
        <v>20</v>
      </c>
      <c r="G211" t="s">
        <v>30</v>
      </c>
      <c r="H211" t="s">
        <v>646</v>
      </c>
    </row>
    <row r="212" spans="1:8" x14ac:dyDescent="0.25">
      <c r="A212" t="s">
        <v>647</v>
      </c>
      <c r="B212" t="s">
        <v>648</v>
      </c>
      <c r="C212" s="1">
        <v>46034.322314814817</v>
      </c>
      <c r="D212">
        <v>927.6</v>
      </c>
      <c r="E212" t="s">
        <v>25</v>
      </c>
      <c r="F212" t="s">
        <v>20</v>
      </c>
      <c r="G212" t="s">
        <v>21</v>
      </c>
      <c r="H212" t="s">
        <v>649</v>
      </c>
    </row>
    <row r="213" spans="1:8" x14ac:dyDescent="0.25">
      <c r="A213" t="s">
        <v>650</v>
      </c>
      <c r="B213" t="s">
        <v>651</v>
      </c>
      <c r="C213" s="1">
        <v>46035.423784722225</v>
      </c>
      <c r="D213">
        <v>1670.52</v>
      </c>
      <c r="E213" t="s">
        <v>25</v>
      </c>
      <c r="F213" t="s">
        <v>20</v>
      </c>
      <c r="G213" t="s">
        <v>26</v>
      </c>
      <c r="H213" t="s">
        <v>652</v>
      </c>
    </row>
    <row r="214" spans="1:8" x14ac:dyDescent="0.25">
      <c r="A214" t="s">
        <v>653</v>
      </c>
      <c r="B214" t="s">
        <v>654</v>
      </c>
      <c r="C214" s="1">
        <v>46036.515405092592</v>
      </c>
      <c r="D214">
        <v>1813.02</v>
      </c>
      <c r="E214" t="s">
        <v>52</v>
      </c>
      <c r="F214" t="s">
        <v>20</v>
      </c>
      <c r="G214" t="s">
        <v>30</v>
      </c>
      <c r="H214" t="s">
        <v>655</v>
      </c>
    </row>
    <row r="215" spans="1:8" x14ac:dyDescent="0.25">
      <c r="A215" t="s">
        <v>656</v>
      </c>
      <c r="B215" t="s">
        <v>657</v>
      </c>
      <c r="C215" s="1">
        <v>46023.570752314816</v>
      </c>
      <c r="D215">
        <v>1005.75</v>
      </c>
      <c r="E215" t="s">
        <v>19</v>
      </c>
      <c r="F215" t="s">
        <v>20</v>
      </c>
      <c r="G215" t="s">
        <v>21</v>
      </c>
      <c r="H215" t="s">
        <v>658</v>
      </c>
    </row>
    <row r="216" spans="1:8" x14ac:dyDescent="0.25">
      <c r="A216" t="s">
        <v>659</v>
      </c>
      <c r="B216" t="s">
        <v>660</v>
      </c>
      <c r="C216" s="1">
        <v>46024.667627314811</v>
      </c>
      <c r="D216">
        <v>1945.1</v>
      </c>
      <c r="E216" t="s">
        <v>25</v>
      </c>
      <c r="F216" t="s">
        <v>20</v>
      </c>
      <c r="G216" t="s">
        <v>26</v>
      </c>
      <c r="H216" t="s">
        <v>661</v>
      </c>
    </row>
    <row r="217" spans="1:8" x14ac:dyDescent="0.25">
      <c r="A217" t="s">
        <v>662</v>
      </c>
      <c r="B217" t="s">
        <v>663</v>
      </c>
      <c r="C217" s="1">
        <v>46025.792615740742</v>
      </c>
      <c r="D217">
        <v>1351.31</v>
      </c>
      <c r="E217" t="s">
        <v>25</v>
      </c>
      <c r="F217" t="s">
        <v>429</v>
      </c>
      <c r="G217" t="s">
        <v>30</v>
      </c>
      <c r="H217" t="s">
        <v>664</v>
      </c>
    </row>
    <row r="218" spans="1:8" x14ac:dyDescent="0.25">
      <c r="A218" t="s">
        <v>665</v>
      </c>
      <c r="B218" t="s">
        <v>666</v>
      </c>
      <c r="C218" s="1">
        <v>46026.86886574074</v>
      </c>
      <c r="D218">
        <v>1909.84</v>
      </c>
      <c r="E218" t="s">
        <v>25</v>
      </c>
      <c r="F218" t="s">
        <v>20</v>
      </c>
      <c r="G218" t="s">
        <v>21</v>
      </c>
      <c r="H218" t="s">
        <v>667</v>
      </c>
    </row>
    <row r="219" spans="1:8" x14ac:dyDescent="0.25">
      <c r="A219" t="s">
        <v>668</v>
      </c>
      <c r="B219" t="s">
        <v>669</v>
      </c>
      <c r="C219" s="1">
        <v>46027.9531712963</v>
      </c>
      <c r="D219">
        <v>2302.15</v>
      </c>
      <c r="E219" t="s">
        <v>25</v>
      </c>
      <c r="F219" t="s">
        <v>20</v>
      </c>
      <c r="G219" t="s">
        <v>26</v>
      </c>
      <c r="H219" t="s">
        <v>670</v>
      </c>
    </row>
    <row r="220" spans="1:8" x14ac:dyDescent="0.25">
      <c r="A220" t="s">
        <v>671</v>
      </c>
      <c r="B220" t="s">
        <v>672</v>
      </c>
      <c r="C220" s="1">
        <v>46029.062152777777</v>
      </c>
      <c r="D220">
        <v>1161.3800000000001</v>
      </c>
      <c r="E220" t="s">
        <v>25</v>
      </c>
      <c r="F220" t="s">
        <v>20</v>
      </c>
      <c r="G220" t="s">
        <v>30</v>
      </c>
      <c r="H220" t="s">
        <v>673</v>
      </c>
    </row>
    <row r="221" spans="1:8" x14ac:dyDescent="0.25">
      <c r="A221" t="s">
        <v>674</v>
      </c>
      <c r="B221" t="s">
        <v>675</v>
      </c>
      <c r="C221" s="1">
        <v>46030.126516203702</v>
      </c>
      <c r="D221">
        <v>2030.24</v>
      </c>
      <c r="E221" t="s">
        <v>25</v>
      </c>
      <c r="F221" t="s">
        <v>20</v>
      </c>
      <c r="G221" t="s">
        <v>21</v>
      </c>
      <c r="H221" t="s">
        <v>676</v>
      </c>
    </row>
    <row r="222" spans="1:8" x14ac:dyDescent="0.25">
      <c r="A222" t="s">
        <v>677</v>
      </c>
      <c r="B222" t="s">
        <v>678</v>
      </c>
      <c r="C222" s="1">
        <v>46030.238680555558</v>
      </c>
      <c r="D222">
        <v>2262.42</v>
      </c>
      <c r="E222" t="s">
        <v>25</v>
      </c>
      <c r="F222" t="s">
        <v>20</v>
      </c>
      <c r="G222" t="s">
        <v>26</v>
      </c>
      <c r="H222" t="s">
        <v>679</v>
      </c>
    </row>
    <row r="223" spans="1:8" x14ac:dyDescent="0.25">
      <c r="A223" t="s">
        <v>680</v>
      </c>
      <c r="B223" t="s">
        <v>681</v>
      </c>
      <c r="C223" s="1">
        <v>46031.311168981483</v>
      </c>
      <c r="D223">
        <v>1805.68</v>
      </c>
      <c r="E223" t="s">
        <v>25</v>
      </c>
      <c r="F223" t="s">
        <v>20</v>
      </c>
      <c r="G223" t="s">
        <v>30</v>
      </c>
      <c r="H223" t="s">
        <v>682</v>
      </c>
    </row>
    <row r="224" spans="1:8" x14ac:dyDescent="0.25">
      <c r="A224" t="s">
        <v>683</v>
      </c>
      <c r="B224" t="s">
        <v>684</v>
      </c>
      <c r="C224" s="1">
        <v>46032.429050925923</v>
      </c>
      <c r="D224">
        <v>1168.05</v>
      </c>
      <c r="E224" t="s">
        <v>52</v>
      </c>
      <c r="F224" t="s">
        <v>20</v>
      </c>
      <c r="G224" t="s">
        <v>21</v>
      </c>
      <c r="H224" t="s">
        <v>685</v>
      </c>
    </row>
    <row r="225" spans="1:8" x14ac:dyDescent="0.25">
      <c r="A225" t="s">
        <v>686</v>
      </c>
      <c r="B225" t="s">
        <v>687</v>
      </c>
      <c r="C225" s="1">
        <v>46033.495300925926</v>
      </c>
      <c r="D225">
        <v>1552.4</v>
      </c>
      <c r="E225" t="s">
        <v>19</v>
      </c>
      <c r="F225" t="s">
        <v>20</v>
      </c>
      <c r="G225" t="s">
        <v>26</v>
      </c>
      <c r="H225" t="s">
        <v>688</v>
      </c>
    </row>
    <row r="226" spans="1:8" x14ac:dyDescent="0.25">
      <c r="A226" t="s">
        <v>689</v>
      </c>
      <c r="B226" t="s">
        <v>690</v>
      </c>
      <c r="C226" s="1">
        <v>46034.608946759261</v>
      </c>
      <c r="D226">
        <v>2162.27</v>
      </c>
      <c r="E226" t="s">
        <v>25</v>
      </c>
      <c r="F226" t="s">
        <v>20</v>
      </c>
      <c r="G226" t="s">
        <v>30</v>
      </c>
      <c r="H226" t="s">
        <v>691</v>
      </c>
    </row>
    <row r="227" spans="1:8" x14ac:dyDescent="0.25">
      <c r="A227" t="s">
        <v>692</v>
      </c>
      <c r="B227" t="s">
        <v>693</v>
      </c>
      <c r="C227" s="1">
        <v>46035.706631944442</v>
      </c>
      <c r="D227">
        <v>467.89</v>
      </c>
      <c r="E227" t="s">
        <v>25</v>
      </c>
      <c r="F227" t="s">
        <v>20</v>
      </c>
      <c r="G227" t="s">
        <v>21</v>
      </c>
      <c r="H227" t="s">
        <v>694</v>
      </c>
    </row>
    <row r="228" spans="1:8" x14ac:dyDescent="0.25">
      <c r="A228" t="s">
        <v>695</v>
      </c>
      <c r="B228" t="s">
        <v>696</v>
      </c>
      <c r="C228" s="1">
        <v>46036.779270833336</v>
      </c>
      <c r="D228">
        <v>127.66</v>
      </c>
      <c r="E228" t="s">
        <v>25</v>
      </c>
      <c r="F228" t="s">
        <v>429</v>
      </c>
      <c r="G228" t="s">
        <v>26</v>
      </c>
      <c r="H228" t="s">
        <v>697</v>
      </c>
    </row>
    <row r="229" spans="1:8" x14ac:dyDescent="0.25">
      <c r="A229" t="s">
        <v>698</v>
      </c>
      <c r="B229" t="s">
        <v>699</v>
      </c>
      <c r="C229" s="1">
        <v>46023.883622685185</v>
      </c>
      <c r="D229">
        <v>1487.55</v>
      </c>
      <c r="E229" t="s">
        <v>25</v>
      </c>
      <c r="F229" t="s">
        <v>20</v>
      </c>
      <c r="G229" t="s">
        <v>30</v>
      </c>
      <c r="H229" t="s">
        <v>700</v>
      </c>
    </row>
    <row r="230" spans="1:8" x14ac:dyDescent="0.25">
      <c r="A230" t="s">
        <v>701</v>
      </c>
      <c r="B230" t="s">
        <v>702</v>
      </c>
      <c r="C230" s="1">
        <v>46024.9453125</v>
      </c>
      <c r="D230">
        <v>1814.14</v>
      </c>
      <c r="E230" t="s">
        <v>25</v>
      </c>
      <c r="F230" t="s">
        <v>20</v>
      </c>
      <c r="G230" t="s">
        <v>21</v>
      </c>
      <c r="H230" t="s">
        <v>703</v>
      </c>
    </row>
    <row r="231" spans="1:8" x14ac:dyDescent="0.25">
      <c r="A231" t="s">
        <v>704</v>
      </c>
      <c r="B231" t="s">
        <v>705</v>
      </c>
      <c r="C231" s="1">
        <v>46026.052442129629</v>
      </c>
      <c r="D231">
        <v>1454.17</v>
      </c>
      <c r="E231" t="s">
        <v>25</v>
      </c>
      <c r="F231" t="s">
        <v>20</v>
      </c>
      <c r="G231" t="s">
        <v>26</v>
      </c>
      <c r="H231" t="s">
        <v>706</v>
      </c>
    </row>
    <row r="232" spans="1:8" x14ac:dyDescent="0.25">
      <c r="A232" t="s">
        <v>707</v>
      </c>
      <c r="B232" t="s">
        <v>708</v>
      </c>
      <c r="C232" s="1">
        <v>46027.139826388891</v>
      </c>
      <c r="D232">
        <v>234.35</v>
      </c>
      <c r="E232" t="s">
        <v>25</v>
      </c>
      <c r="F232" t="s">
        <v>20</v>
      </c>
      <c r="G232" t="s">
        <v>30</v>
      </c>
      <c r="H232" t="s">
        <v>709</v>
      </c>
    </row>
    <row r="233" spans="1:8" x14ac:dyDescent="0.25">
      <c r="A233" t="s">
        <v>710</v>
      </c>
      <c r="B233" t="s">
        <v>711</v>
      </c>
      <c r="C233" s="1">
        <v>46027.252256944441</v>
      </c>
      <c r="D233">
        <v>1782.22</v>
      </c>
      <c r="E233" t="s">
        <v>25</v>
      </c>
      <c r="F233" t="s">
        <v>20</v>
      </c>
      <c r="G233" t="s">
        <v>21</v>
      </c>
      <c r="H233" t="s">
        <v>712</v>
      </c>
    </row>
    <row r="234" spans="1:8" x14ac:dyDescent="0.25">
      <c r="A234" t="s">
        <v>713</v>
      </c>
      <c r="B234" t="s">
        <v>714</v>
      </c>
      <c r="C234" s="1">
        <v>46028.347060185188</v>
      </c>
      <c r="D234">
        <v>1429.86</v>
      </c>
      <c r="E234" t="s">
        <v>52</v>
      </c>
      <c r="F234" t="s">
        <v>92</v>
      </c>
      <c r="G234" t="s">
        <v>26</v>
      </c>
      <c r="H234" t="s">
        <v>715</v>
      </c>
    </row>
    <row r="235" spans="1:8" x14ac:dyDescent="0.25">
      <c r="A235" t="s">
        <v>716</v>
      </c>
      <c r="B235" t="s">
        <v>717</v>
      </c>
      <c r="C235" s="1">
        <v>46029.411550925928</v>
      </c>
      <c r="D235">
        <v>794.68</v>
      </c>
      <c r="E235" t="s">
        <v>19</v>
      </c>
      <c r="F235" t="s">
        <v>20</v>
      </c>
      <c r="G235" t="s">
        <v>30</v>
      </c>
      <c r="H235" t="s">
        <v>718</v>
      </c>
    </row>
    <row r="236" spans="1:8" x14ac:dyDescent="0.25">
      <c r="A236" t="s">
        <v>719</v>
      </c>
      <c r="B236" t="s">
        <v>720</v>
      </c>
      <c r="C236" s="1">
        <v>46030.509155092594</v>
      </c>
      <c r="D236">
        <v>990.74</v>
      </c>
      <c r="E236" t="s">
        <v>25</v>
      </c>
      <c r="F236" t="s">
        <v>20</v>
      </c>
      <c r="G236" t="s">
        <v>21</v>
      </c>
      <c r="H236" t="s">
        <v>721</v>
      </c>
    </row>
    <row r="237" spans="1:8" x14ac:dyDescent="0.25">
      <c r="A237" t="s">
        <v>722</v>
      </c>
      <c r="B237" t="s">
        <v>723</v>
      </c>
      <c r="C237" s="1">
        <v>46031.614201388889</v>
      </c>
      <c r="D237">
        <v>2473.4699999999998</v>
      </c>
      <c r="E237" t="s">
        <v>25</v>
      </c>
      <c r="F237" t="s">
        <v>20</v>
      </c>
      <c r="G237" t="s">
        <v>26</v>
      </c>
      <c r="H237" t="s">
        <v>724</v>
      </c>
    </row>
    <row r="238" spans="1:8" x14ac:dyDescent="0.25">
      <c r="A238" t="s">
        <v>725</v>
      </c>
      <c r="B238" t="s">
        <v>726</v>
      </c>
      <c r="C238" s="1">
        <v>46032.710486111115</v>
      </c>
      <c r="D238">
        <v>1804.63</v>
      </c>
      <c r="E238" t="s">
        <v>25</v>
      </c>
      <c r="F238" t="s">
        <v>20</v>
      </c>
      <c r="G238" t="s">
        <v>30</v>
      </c>
      <c r="H238" t="s">
        <v>727</v>
      </c>
    </row>
    <row r="239" spans="1:8" x14ac:dyDescent="0.25">
      <c r="A239" t="s">
        <v>728</v>
      </c>
      <c r="B239" t="s">
        <v>729</v>
      </c>
      <c r="C239" s="1">
        <v>46033.77380787037</v>
      </c>
      <c r="D239">
        <v>862.29</v>
      </c>
      <c r="E239" t="s">
        <v>25</v>
      </c>
      <c r="F239" t="s">
        <v>20</v>
      </c>
      <c r="G239" t="s">
        <v>21</v>
      </c>
      <c r="H239" t="s">
        <v>730</v>
      </c>
    </row>
    <row r="240" spans="1:8" x14ac:dyDescent="0.25">
      <c r="A240" t="s">
        <v>731</v>
      </c>
      <c r="B240" t="s">
        <v>732</v>
      </c>
      <c r="C240" s="1">
        <v>46034.878379629627</v>
      </c>
      <c r="D240">
        <v>1951.89</v>
      </c>
      <c r="E240" t="s">
        <v>25</v>
      </c>
      <c r="F240" t="s">
        <v>20</v>
      </c>
      <c r="G240" t="s">
        <v>26</v>
      </c>
      <c r="H240" t="s">
        <v>733</v>
      </c>
    </row>
    <row r="241" spans="1:8" x14ac:dyDescent="0.25">
      <c r="A241" t="s">
        <v>734</v>
      </c>
      <c r="B241" t="s">
        <v>735</v>
      </c>
      <c r="C241" s="1">
        <v>46035.960694444446</v>
      </c>
      <c r="D241">
        <v>762.75</v>
      </c>
      <c r="E241" t="s">
        <v>25</v>
      </c>
      <c r="F241" t="s">
        <v>20</v>
      </c>
      <c r="G241" t="s">
        <v>30</v>
      </c>
      <c r="H241" t="s">
        <v>736</v>
      </c>
    </row>
    <row r="242" spans="1:8" x14ac:dyDescent="0.25">
      <c r="A242" t="s">
        <v>737</v>
      </c>
      <c r="B242" t="s">
        <v>738</v>
      </c>
      <c r="C242" s="1">
        <v>46037.080694444441</v>
      </c>
      <c r="D242">
        <v>407.05</v>
      </c>
      <c r="E242" t="s">
        <v>25</v>
      </c>
      <c r="F242" t="s">
        <v>20</v>
      </c>
      <c r="G242" t="s">
        <v>21</v>
      </c>
      <c r="H242" t="s">
        <v>739</v>
      </c>
    </row>
    <row r="243" spans="1:8" x14ac:dyDescent="0.25">
      <c r="A243" t="s">
        <v>740</v>
      </c>
      <c r="B243" t="s">
        <v>741</v>
      </c>
      <c r="C243" s="1">
        <v>46024.162916666668</v>
      </c>
      <c r="D243">
        <v>1936.57</v>
      </c>
      <c r="E243" t="s">
        <v>25</v>
      </c>
      <c r="F243" t="s">
        <v>20</v>
      </c>
      <c r="G243" t="s">
        <v>26</v>
      </c>
      <c r="H243" t="s">
        <v>742</v>
      </c>
    </row>
    <row r="244" spans="1:8" x14ac:dyDescent="0.25">
      <c r="A244" t="s">
        <v>743</v>
      </c>
      <c r="B244" t="s">
        <v>744</v>
      </c>
      <c r="C244" s="1">
        <v>46024.265474537038</v>
      </c>
      <c r="D244">
        <v>1598.11</v>
      </c>
      <c r="E244" t="s">
        <v>52</v>
      </c>
      <c r="F244" t="s">
        <v>20</v>
      </c>
      <c r="G244" t="s">
        <v>30</v>
      </c>
      <c r="H244" t="s">
        <v>745</v>
      </c>
    </row>
    <row r="245" spans="1:8" x14ac:dyDescent="0.25">
      <c r="A245" t="s">
        <v>746</v>
      </c>
      <c r="B245" t="s">
        <v>747</v>
      </c>
      <c r="C245" s="1">
        <v>46025.338900462964</v>
      </c>
      <c r="D245">
        <v>1956.36</v>
      </c>
      <c r="E245" t="s">
        <v>19</v>
      </c>
      <c r="F245" t="s">
        <v>20</v>
      </c>
      <c r="G245" t="s">
        <v>21</v>
      </c>
      <c r="H245" t="s">
        <v>748</v>
      </c>
    </row>
    <row r="246" spans="1:8" x14ac:dyDescent="0.25">
      <c r="A246" t="s">
        <v>749</v>
      </c>
      <c r="B246" t="s">
        <v>750</v>
      </c>
      <c r="C246" s="1">
        <v>46026.445092592592</v>
      </c>
      <c r="D246">
        <v>255.23</v>
      </c>
      <c r="E246" t="s">
        <v>25</v>
      </c>
      <c r="F246" t="s">
        <v>20</v>
      </c>
      <c r="G246" t="s">
        <v>26</v>
      </c>
      <c r="H246" t="s">
        <v>751</v>
      </c>
    </row>
    <row r="247" spans="1:8" x14ac:dyDescent="0.25">
      <c r="A247" t="s">
        <v>752</v>
      </c>
      <c r="B247" t="s">
        <v>753</v>
      </c>
      <c r="C247" s="1">
        <v>46027.503310185188</v>
      </c>
      <c r="D247">
        <v>10.210000000000001</v>
      </c>
      <c r="E247" t="s">
        <v>25</v>
      </c>
      <c r="F247" t="s">
        <v>20</v>
      </c>
      <c r="G247" t="s">
        <v>30</v>
      </c>
      <c r="H247" t="s">
        <v>754</v>
      </c>
    </row>
    <row r="248" spans="1:8" x14ac:dyDescent="0.25">
      <c r="A248" t="s">
        <v>755</v>
      </c>
      <c r="B248" t="s">
        <v>756</v>
      </c>
      <c r="C248" s="1">
        <v>46028.632905092592</v>
      </c>
      <c r="D248">
        <v>1391.73</v>
      </c>
      <c r="E248" t="s">
        <v>25</v>
      </c>
      <c r="F248" t="s">
        <v>20</v>
      </c>
      <c r="G248" t="s">
        <v>21</v>
      </c>
      <c r="H248" t="s">
        <v>757</v>
      </c>
    </row>
    <row r="249" spans="1:8" x14ac:dyDescent="0.25">
      <c r="A249" t="s">
        <v>758</v>
      </c>
      <c r="B249" t="s">
        <v>759</v>
      </c>
      <c r="C249" s="1">
        <v>46029.706307870372</v>
      </c>
      <c r="D249">
        <v>2389.67</v>
      </c>
      <c r="E249" t="s">
        <v>25</v>
      </c>
      <c r="F249" t="s">
        <v>20</v>
      </c>
      <c r="G249" t="s">
        <v>26</v>
      </c>
      <c r="H249" t="s">
        <v>760</v>
      </c>
    </row>
    <row r="250" spans="1:8" x14ac:dyDescent="0.25">
      <c r="A250" t="s">
        <v>761</v>
      </c>
      <c r="B250" t="s">
        <v>762</v>
      </c>
      <c r="C250" s="1">
        <v>46030.785694444443</v>
      </c>
      <c r="D250">
        <v>416.81</v>
      </c>
      <c r="E250" t="s">
        <v>25</v>
      </c>
      <c r="F250" t="s">
        <v>20</v>
      </c>
      <c r="G250" t="s">
        <v>30</v>
      </c>
      <c r="H250" t="s">
        <v>763</v>
      </c>
    </row>
    <row r="251" spans="1:8" x14ac:dyDescent="0.25">
      <c r="A251" t="s">
        <v>764</v>
      </c>
      <c r="B251" t="s">
        <v>765</v>
      </c>
      <c r="C251" s="1">
        <v>46031.909328703703</v>
      </c>
      <c r="D251">
        <v>1773.93</v>
      </c>
      <c r="E251" t="s">
        <v>25</v>
      </c>
      <c r="F251" t="s">
        <v>20</v>
      </c>
      <c r="G251" t="s">
        <v>21</v>
      </c>
      <c r="H251" t="s">
        <v>766</v>
      </c>
    </row>
    <row r="252" spans="1:8" x14ac:dyDescent="0.25">
      <c r="A252" t="s">
        <v>767</v>
      </c>
      <c r="B252" t="s">
        <v>768</v>
      </c>
      <c r="C252" s="1">
        <v>46033.000972222224</v>
      </c>
      <c r="D252">
        <v>2214.61</v>
      </c>
      <c r="E252" t="s">
        <v>25</v>
      </c>
      <c r="F252" t="s">
        <v>20</v>
      </c>
      <c r="G252" t="s">
        <v>26</v>
      </c>
      <c r="H252" t="s">
        <v>769</v>
      </c>
    </row>
    <row r="253" spans="1:8" x14ac:dyDescent="0.25">
      <c r="A253" t="s">
        <v>770</v>
      </c>
      <c r="B253" t="s">
        <v>771</v>
      </c>
      <c r="C253" s="1">
        <v>46034.051342592589</v>
      </c>
      <c r="D253">
        <v>119.67</v>
      </c>
      <c r="E253" t="s">
        <v>25</v>
      </c>
      <c r="F253" t="s">
        <v>20</v>
      </c>
      <c r="G253" t="s">
        <v>30</v>
      </c>
      <c r="H253" t="s">
        <v>772</v>
      </c>
    </row>
    <row r="254" spans="1:8" x14ac:dyDescent="0.25">
      <c r="A254" t="s">
        <v>773</v>
      </c>
      <c r="B254" t="s">
        <v>774</v>
      </c>
      <c r="C254" s="1">
        <v>46035.164444444446</v>
      </c>
      <c r="D254">
        <v>2445</v>
      </c>
      <c r="E254" t="s">
        <v>52</v>
      </c>
      <c r="F254" t="s">
        <v>20</v>
      </c>
      <c r="G254" t="s">
        <v>21</v>
      </c>
      <c r="H254" t="s">
        <v>775</v>
      </c>
    </row>
    <row r="255" spans="1:8" x14ac:dyDescent="0.25">
      <c r="A255" t="s">
        <v>776</v>
      </c>
      <c r="B255" t="s">
        <v>777</v>
      </c>
      <c r="C255" s="1">
        <v>46035.259143518517</v>
      </c>
      <c r="D255">
        <v>1561.2</v>
      </c>
      <c r="E255" t="s">
        <v>19</v>
      </c>
      <c r="F255" t="s">
        <v>20</v>
      </c>
      <c r="G255" t="s">
        <v>26</v>
      </c>
      <c r="H255" t="s">
        <v>778</v>
      </c>
    </row>
    <row r="256" spans="1:8" x14ac:dyDescent="0.25">
      <c r="A256" t="s">
        <v>779</v>
      </c>
      <c r="B256" t="s">
        <v>780</v>
      </c>
      <c r="C256" s="1">
        <v>46036.335972222223</v>
      </c>
      <c r="D256">
        <v>1326.62</v>
      </c>
      <c r="E256" t="s">
        <v>25</v>
      </c>
      <c r="F256" t="s">
        <v>20</v>
      </c>
      <c r="G256" t="s">
        <v>30</v>
      </c>
      <c r="H256" t="s">
        <v>781</v>
      </c>
    </row>
    <row r="257" spans="1:8" x14ac:dyDescent="0.25">
      <c r="A257" t="s">
        <v>782</v>
      </c>
      <c r="B257" t="s">
        <v>783</v>
      </c>
      <c r="C257" s="1">
        <v>46023.45045138889</v>
      </c>
      <c r="D257">
        <v>1705.01</v>
      </c>
      <c r="E257" t="s">
        <v>25</v>
      </c>
      <c r="F257" t="s">
        <v>20</v>
      </c>
      <c r="G257" t="s">
        <v>21</v>
      </c>
      <c r="H257" t="s">
        <v>784</v>
      </c>
    </row>
    <row r="258" spans="1:8" x14ac:dyDescent="0.25">
      <c r="A258" t="s">
        <v>785</v>
      </c>
      <c r="B258" t="s">
        <v>786</v>
      </c>
      <c r="C258" s="1">
        <v>46024.517500000002</v>
      </c>
      <c r="D258">
        <v>379.15</v>
      </c>
      <c r="E258" t="s">
        <v>25</v>
      </c>
      <c r="F258" t="s">
        <v>20</v>
      </c>
      <c r="G258" t="s">
        <v>26</v>
      </c>
      <c r="H258" t="s">
        <v>787</v>
      </c>
    </row>
    <row r="259" spans="1:8" x14ac:dyDescent="0.25">
      <c r="A259" t="s">
        <v>788</v>
      </c>
      <c r="B259" t="s">
        <v>789</v>
      </c>
      <c r="C259" s="1">
        <v>46025.618009259262</v>
      </c>
      <c r="D259">
        <v>854.41</v>
      </c>
      <c r="E259" t="s">
        <v>25</v>
      </c>
      <c r="F259" t="s">
        <v>20</v>
      </c>
      <c r="G259" t="s">
        <v>30</v>
      </c>
      <c r="H259" t="s">
        <v>790</v>
      </c>
    </row>
    <row r="260" spans="1:8" x14ac:dyDescent="0.25">
      <c r="A260" t="s">
        <v>791</v>
      </c>
      <c r="B260" t="s">
        <v>792</v>
      </c>
      <c r="C260" s="1">
        <v>46026.695636574077</v>
      </c>
      <c r="D260">
        <v>1448.81</v>
      </c>
      <c r="E260" t="s">
        <v>25</v>
      </c>
      <c r="F260" t="s">
        <v>20</v>
      </c>
      <c r="G260" t="s">
        <v>21</v>
      </c>
      <c r="H260" t="s">
        <v>793</v>
      </c>
    </row>
    <row r="261" spans="1:8" x14ac:dyDescent="0.25">
      <c r="A261" t="s">
        <v>794</v>
      </c>
      <c r="B261" t="s">
        <v>795</v>
      </c>
      <c r="C261" s="1">
        <v>46027.82236111111</v>
      </c>
      <c r="D261">
        <v>239.84</v>
      </c>
      <c r="E261" t="s">
        <v>25</v>
      </c>
      <c r="F261" t="s">
        <v>20</v>
      </c>
      <c r="G261" t="s">
        <v>26</v>
      </c>
      <c r="H261" t="s">
        <v>796</v>
      </c>
    </row>
    <row r="262" spans="1:8" x14ac:dyDescent="0.25">
      <c r="A262" t="s">
        <v>797</v>
      </c>
      <c r="B262" t="s">
        <v>798</v>
      </c>
      <c r="C262" s="1">
        <v>46028.895972222221</v>
      </c>
      <c r="D262">
        <v>2438.25</v>
      </c>
      <c r="E262" t="s">
        <v>25</v>
      </c>
      <c r="F262" t="s">
        <v>20</v>
      </c>
      <c r="G262" t="s">
        <v>30</v>
      </c>
      <c r="H262" t="s">
        <v>799</v>
      </c>
    </row>
    <row r="263" spans="1:8" x14ac:dyDescent="0.25">
      <c r="A263" t="s">
        <v>800</v>
      </c>
      <c r="B263" t="s">
        <v>801</v>
      </c>
      <c r="C263" s="1">
        <v>46029.99459490741</v>
      </c>
      <c r="D263">
        <v>902.81</v>
      </c>
      <c r="E263" t="s">
        <v>25</v>
      </c>
      <c r="F263" t="s">
        <v>20</v>
      </c>
      <c r="G263" t="s">
        <v>21</v>
      </c>
      <c r="H263" t="s">
        <v>802</v>
      </c>
    </row>
    <row r="264" spans="1:8" x14ac:dyDescent="0.25">
      <c r="A264" t="s">
        <v>803</v>
      </c>
      <c r="B264" t="s">
        <v>804</v>
      </c>
      <c r="C264" s="1">
        <v>46031.069456018522</v>
      </c>
      <c r="D264">
        <v>2009.92</v>
      </c>
      <c r="E264" t="s">
        <v>52</v>
      </c>
      <c r="F264" t="s">
        <v>20</v>
      </c>
      <c r="G264" t="s">
        <v>26</v>
      </c>
      <c r="H264" t="s">
        <v>805</v>
      </c>
    </row>
    <row r="265" spans="1:8" x14ac:dyDescent="0.25">
      <c r="A265" t="s">
        <v>806</v>
      </c>
      <c r="B265" t="s">
        <v>807</v>
      </c>
      <c r="C265" s="1">
        <v>46032.184687499997</v>
      </c>
      <c r="D265">
        <v>1149.1600000000001</v>
      </c>
      <c r="E265" t="s">
        <v>19</v>
      </c>
      <c r="F265" t="s">
        <v>429</v>
      </c>
      <c r="G265" t="s">
        <v>30</v>
      </c>
      <c r="H265" t="s">
        <v>808</v>
      </c>
    </row>
    <row r="266" spans="1:8" x14ac:dyDescent="0.25">
      <c r="A266" t="s">
        <v>809</v>
      </c>
      <c r="B266" t="s">
        <v>810</v>
      </c>
      <c r="C266" s="1">
        <v>46032.255416666667</v>
      </c>
      <c r="D266">
        <v>1360.56</v>
      </c>
      <c r="E266" t="s">
        <v>25</v>
      </c>
      <c r="F266" t="s">
        <v>20</v>
      </c>
      <c r="G266" t="s">
        <v>21</v>
      </c>
      <c r="H266" t="s">
        <v>811</v>
      </c>
    </row>
    <row r="267" spans="1:8" x14ac:dyDescent="0.25">
      <c r="A267" t="s">
        <v>812</v>
      </c>
      <c r="B267" t="s">
        <v>813</v>
      </c>
      <c r="C267" s="1">
        <v>46033.373865740738</v>
      </c>
      <c r="D267">
        <v>1210.75</v>
      </c>
      <c r="E267" t="s">
        <v>25</v>
      </c>
      <c r="F267" t="s">
        <v>20</v>
      </c>
      <c r="G267" t="s">
        <v>26</v>
      </c>
      <c r="H267" t="s">
        <v>814</v>
      </c>
    </row>
    <row r="268" spans="1:8" x14ac:dyDescent="0.25">
      <c r="A268" t="s">
        <v>815</v>
      </c>
      <c r="B268" t="s">
        <v>816</v>
      </c>
      <c r="C268" s="1">
        <v>46034.465358796297</v>
      </c>
      <c r="D268">
        <v>949.56</v>
      </c>
      <c r="E268" t="s">
        <v>25</v>
      </c>
      <c r="F268" t="s">
        <v>92</v>
      </c>
      <c r="G268" t="s">
        <v>30</v>
      </c>
      <c r="H268" t="s">
        <v>817</v>
      </c>
    </row>
    <row r="269" spans="1:8" x14ac:dyDescent="0.25">
      <c r="A269" t="s">
        <v>818</v>
      </c>
      <c r="B269" t="s">
        <v>819</v>
      </c>
      <c r="C269" s="1">
        <v>46035.525717592594</v>
      </c>
      <c r="D269">
        <v>708.7</v>
      </c>
      <c r="E269" t="s">
        <v>25</v>
      </c>
      <c r="F269" t="s">
        <v>20</v>
      </c>
      <c r="G269" t="s">
        <v>21</v>
      </c>
      <c r="H269" t="s">
        <v>820</v>
      </c>
    </row>
    <row r="270" spans="1:8" x14ac:dyDescent="0.25">
      <c r="A270" t="s">
        <v>821</v>
      </c>
      <c r="B270" t="s">
        <v>822</v>
      </c>
      <c r="C270" s="1">
        <v>46036.61818287037</v>
      </c>
      <c r="D270">
        <v>1916.51</v>
      </c>
      <c r="E270" t="s">
        <v>25</v>
      </c>
      <c r="F270" t="s">
        <v>20</v>
      </c>
      <c r="G270" t="s">
        <v>26</v>
      </c>
      <c r="H270" t="s">
        <v>823</v>
      </c>
    </row>
    <row r="271" spans="1:8" x14ac:dyDescent="0.25">
      <c r="A271" t="s">
        <v>824</v>
      </c>
      <c r="B271" t="s">
        <v>825</v>
      </c>
      <c r="C271" s="1">
        <v>46023.707939814813</v>
      </c>
      <c r="D271">
        <v>736.22</v>
      </c>
      <c r="E271" t="s">
        <v>25</v>
      </c>
      <c r="F271" t="s">
        <v>20</v>
      </c>
      <c r="G271" t="s">
        <v>30</v>
      </c>
      <c r="H271" t="s">
        <v>826</v>
      </c>
    </row>
    <row r="272" spans="1:8" x14ac:dyDescent="0.25">
      <c r="A272" t="s">
        <v>827</v>
      </c>
      <c r="B272" t="s">
        <v>828</v>
      </c>
      <c r="C272" s="1">
        <v>46024.82916666667</v>
      </c>
      <c r="D272">
        <v>366.26</v>
      </c>
      <c r="E272" t="s">
        <v>25</v>
      </c>
      <c r="F272" t="s">
        <v>20</v>
      </c>
      <c r="G272" t="s">
        <v>21</v>
      </c>
      <c r="H272" t="s">
        <v>829</v>
      </c>
    </row>
    <row r="273" spans="1:8" x14ac:dyDescent="0.25">
      <c r="A273" t="s">
        <v>830</v>
      </c>
      <c r="B273" t="s">
        <v>831</v>
      </c>
      <c r="C273" s="1">
        <v>46025.894259259258</v>
      </c>
      <c r="D273">
        <v>1715.84</v>
      </c>
      <c r="E273" t="s">
        <v>25</v>
      </c>
      <c r="F273" t="s">
        <v>20</v>
      </c>
      <c r="G273" t="s">
        <v>26</v>
      </c>
      <c r="H273" t="s">
        <v>832</v>
      </c>
    </row>
    <row r="274" spans="1:8" x14ac:dyDescent="0.25">
      <c r="A274" t="s">
        <v>833</v>
      </c>
      <c r="B274" t="s">
        <v>834</v>
      </c>
      <c r="C274" s="1">
        <v>46026.994444444441</v>
      </c>
      <c r="D274">
        <v>897.02</v>
      </c>
      <c r="E274" t="s">
        <v>52</v>
      </c>
      <c r="F274" t="s">
        <v>20</v>
      </c>
      <c r="G274" t="s">
        <v>30</v>
      </c>
      <c r="H274" t="s">
        <v>835</v>
      </c>
    </row>
    <row r="275" spans="1:8" x14ac:dyDescent="0.25">
      <c r="A275" t="s">
        <v>836</v>
      </c>
      <c r="B275" t="s">
        <v>837</v>
      </c>
      <c r="C275" s="1">
        <v>46028.070104166669</v>
      </c>
      <c r="D275">
        <v>15.39</v>
      </c>
      <c r="E275" t="s">
        <v>19</v>
      </c>
      <c r="F275" t="s">
        <v>20</v>
      </c>
      <c r="G275" t="s">
        <v>21</v>
      </c>
      <c r="H275" t="s">
        <v>838</v>
      </c>
    </row>
    <row r="276" spans="1:8" x14ac:dyDescent="0.25">
      <c r="A276" t="s">
        <v>839</v>
      </c>
      <c r="B276" t="s">
        <v>840</v>
      </c>
      <c r="C276" s="1">
        <v>46029.197581018518</v>
      </c>
      <c r="D276">
        <v>1971.5</v>
      </c>
      <c r="E276" t="s">
        <v>25</v>
      </c>
      <c r="F276" t="s">
        <v>20</v>
      </c>
      <c r="G276" t="s">
        <v>26</v>
      </c>
      <c r="H276" t="s">
        <v>841</v>
      </c>
    </row>
    <row r="277" spans="1:8" x14ac:dyDescent="0.25">
      <c r="A277" t="s">
        <v>842</v>
      </c>
      <c r="B277" t="s">
        <v>843</v>
      </c>
      <c r="C277" s="1">
        <v>46029.262812499997</v>
      </c>
      <c r="D277">
        <v>586.64</v>
      </c>
      <c r="E277" t="s">
        <v>25</v>
      </c>
      <c r="F277" t="s">
        <v>20</v>
      </c>
      <c r="G277" t="s">
        <v>30</v>
      </c>
      <c r="H277" t="s">
        <v>844</v>
      </c>
    </row>
    <row r="278" spans="1:8" x14ac:dyDescent="0.25">
      <c r="A278" t="s">
        <v>845</v>
      </c>
      <c r="B278" t="s">
        <v>846</v>
      </c>
      <c r="C278" s="1">
        <v>46030.373506944445</v>
      </c>
      <c r="D278">
        <v>870.35</v>
      </c>
      <c r="E278" t="s">
        <v>25</v>
      </c>
      <c r="F278" t="s">
        <v>20</v>
      </c>
      <c r="G278" t="s">
        <v>21</v>
      </c>
      <c r="H278" t="s">
        <v>847</v>
      </c>
    </row>
    <row r="279" spans="1:8" x14ac:dyDescent="0.25">
      <c r="A279" t="s">
        <v>848</v>
      </c>
      <c r="B279" t="s">
        <v>849</v>
      </c>
      <c r="C279" s="1">
        <v>46031.467743055553</v>
      </c>
      <c r="D279">
        <v>1388.97</v>
      </c>
      <c r="E279" t="s">
        <v>25</v>
      </c>
      <c r="F279" t="s">
        <v>20</v>
      </c>
      <c r="G279" t="s">
        <v>26</v>
      </c>
      <c r="H279" t="s">
        <v>850</v>
      </c>
    </row>
    <row r="280" spans="1:8" x14ac:dyDescent="0.25">
      <c r="A280" t="s">
        <v>851</v>
      </c>
      <c r="B280" t="s">
        <v>852</v>
      </c>
      <c r="C280" s="1">
        <v>46032.53465277778</v>
      </c>
      <c r="D280">
        <v>936.66</v>
      </c>
      <c r="E280" t="s">
        <v>25</v>
      </c>
      <c r="F280" t="s">
        <v>20</v>
      </c>
      <c r="G280" t="s">
        <v>30</v>
      </c>
      <c r="H280" t="s">
        <v>853</v>
      </c>
    </row>
    <row r="281" spans="1:8" x14ac:dyDescent="0.25">
      <c r="A281" t="s">
        <v>854</v>
      </c>
      <c r="B281" t="s">
        <v>855</v>
      </c>
      <c r="C281" s="1">
        <v>46033.6409375</v>
      </c>
      <c r="D281">
        <v>1732.21</v>
      </c>
      <c r="E281" t="s">
        <v>25</v>
      </c>
      <c r="F281" t="s">
        <v>20</v>
      </c>
      <c r="G281" t="s">
        <v>21</v>
      </c>
      <c r="H281" t="s">
        <v>856</v>
      </c>
    </row>
    <row r="282" spans="1:8" x14ac:dyDescent="0.25">
      <c r="A282" t="s">
        <v>857</v>
      </c>
      <c r="B282" t="s">
        <v>858</v>
      </c>
      <c r="C282" s="1">
        <v>46034.73065972222</v>
      </c>
      <c r="D282">
        <v>1770.82</v>
      </c>
      <c r="E282" t="s">
        <v>25</v>
      </c>
      <c r="F282" t="s">
        <v>20</v>
      </c>
      <c r="G282" t="s">
        <v>26</v>
      </c>
      <c r="H282" t="s">
        <v>859</v>
      </c>
    </row>
    <row r="283" spans="1:8" x14ac:dyDescent="0.25">
      <c r="A283" t="s">
        <v>860</v>
      </c>
      <c r="B283" t="s">
        <v>861</v>
      </c>
      <c r="C283" s="1">
        <v>46035.841458333336</v>
      </c>
      <c r="D283">
        <v>1558.99</v>
      </c>
      <c r="E283" t="s">
        <v>25</v>
      </c>
      <c r="F283" t="s">
        <v>20</v>
      </c>
      <c r="G283" t="s">
        <v>30</v>
      </c>
      <c r="H283" t="s">
        <v>862</v>
      </c>
    </row>
    <row r="284" spans="1:8" x14ac:dyDescent="0.25">
      <c r="A284" t="s">
        <v>863</v>
      </c>
      <c r="B284" t="s">
        <v>864</v>
      </c>
      <c r="C284" s="1">
        <v>46036.903263888889</v>
      </c>
      <c r="D284">
        <v>959.99</v>
      </c>
      <c r="E284" t="s">
        <v>52</v>
      </c>
      <c r="F284" t="s">
        <v>20</v>
      </c>
      <c r="G284" t="s">
        <v>21</v>
      </c>
      <c r="H284" t="s">
        <v>865</v>
      </c>
    </row>
    <row r="285" spans="1:8" x14ac:dyDescent="0.25">
      <c r="A285" t="s">
        <v>866</v>
      </c>
      <c r="B285" t="s">
        <v>867</v>
      </c>
      <c r="C285" s="1">
        <v>46023.98709490741</v>
      </c>
      <c r="D285">
        <v>537.38</v>
      </c>
      <c r="E285" t="s">
        <v>19</v>
      </c>
      <c r="F285" t="s">
        <v>20</v>
      </c>
      <c r="G285" t="s">
        <v>26</v>
      </c>
      <c r="H285" t="s">
        <v>868</v>
      </c>
    </row>
    <row r="286" spans="1:8" x14ac:dyDescent="0.25">
      <c r="A286" t="s">
        <v>869</v>
      </c>
      <c r="B286" t="s">
        <v>870</v>
      </c>
      <c r="C286" s="1">
        <v>46025.106631944444</v>
      </c>
      <c r="D286">
        <v>1372.7</v>
      </c>
      <c r="E286" t="s">
        <v>25</v>
      </c>
      <c r="F286" t="s">
        <v>20</v>
      </c>
      <c r="G286" t="s">
        <v>30</v>
      </c>
      <c r="H286" t="s">
        <v>871</v>
      </c>
    </row>
    <row r="287" spans="1:8" x14ac:dyDescent="0.25">
      <c r="A287" t="s">
        <v>872</v>
      </c>
      <c r="B287" t="s">
        <v>873</v>
      </c>
      <c r="C287" s="1">
        <v>46026.19908564815</v>
      </c>
      <c r="D287">
        <v>782.74</v>
      </c>
      <c r="E287" t="s">
        <v>25</v>
      </c>
      <c r="F287" t="s">
        <v>20</v>
      </c>
      <c r="G287" t="s">
        <v>21</v>
      </c>
      <c r="H287" t="s">
        <v>874</v>
      </c>
    </row>
    <row r="288" spans="1:8" x14ac:dyDescent="0.25">
      <c r="A288" t="s">
        <v>875</v>
      </c>
      <c r="B288" t="s">
        <v>876</v>
      </c>
      <c r="C288" s="1">
        <v>46026.264849537038</v>
      </c>
      <c r="D288">
        <v>2256.85</v>
      </c>
      <c r="E288" t="s">
        <v>25</v>
      </c>
      <c r="F288" t="s">
        <v>20</v>
      </c>
      <c r="G288" t="s">
        <v>26</v>
      </c>
      <c r="H288" t="s">
        <v>877</v>
      </c>
    </row>
    <row r="289" spans="1:8" x14ac:dyDescent="0.25">
      <c r="A289" t="s">
        <v>878</v>
      </c>
      <c r="B289" t="s">
        <v>879</v>
      </c>
      <c r="C289" s="1">
        <v>46027.379710648151</v>
      </c>
      <c r="D289">
        <v>2248</v>
      </c>
      <c r="E289" t="s">
        <v>25</v>
      </c>
      <c r="F289" t="s">
        <v>20</v>
      </c>
      <c r="G289" t="s">
        <v>30</v>
      </c>
      <c r="H289" t="s">
        <v>880</v>
      </c>
    </row>
    <row r="290" spans="1:8" x14ac:dyDescent="0.25">
      <c r="A290" t="s">
        <v>881</v>
      </c>
      <c r="B290" t="s">
        <v>882</v>
      </c>
      <c r="C290" s="1">
        <v>46028.44332175926</v>
      </c>
      <c r="D290">
        <v>1855.63</v>
      </c>
      <c r="E290" t="s">
        <v>25</v>
      </c>
      <c r="F290" t="s">
        <v>20</v>
      </c>
      <c r="G290" t="s">
        <v>21</v>
      </c>
      <c r="H290" t="s">
        <v>883</v>
      </c>
    </row>
    <row r="291" spans="1:8" x14ac:dyDescent="0.25">
      <c r="A291" t="s">
        <v>884</v>
      </c>
      <c r="B291" t="s">
        <v>885</v>
      </c>
      <c r="C291" s="1">
        <v>46029.571712962963</v>
      </c>
      <c r="D291">
        <v>821.57</v>
      </c>
      <c r="E291" t="s">
        <v>25</v>
      </c>
      <c r="F291" t="s">
        <v>20</v>
      </c>
      <c r="G291" t="s">
        <v>26</v>
      </c>
      <c r="H291" t="s">
        <v>886</v>
      </c>
    </row>
    <row r="292" spans="1:8" x14ac:dyDescent="0.25">
      <c r="A292" t="s">
        <v>887</v>
      </c>
      <c r="B292" t="s">
        <v>888</v>
      </c>
      <c r="C292" s="1">
        <v>46030.649930555555</v>
      </c>
      <c r="D292">
        <v>1377.95</v>
      </c>
      <c r="E292" t="s">
        <v>25</v>
      </c>
      <c r="F292" t="s">
        <v>20</v>
      </c>
      <c r="G292" t="s">
        <v>30</v>
      </c>
      <c r="H292" t="s">
        <v>889</v>
      </c>
    </row>
    <row r="293" spans="1:8" x14ac:dyDescent="0.25">
      <c r="A293" t="s">
        <v>890</v>
      </c>
      <c r="B293" t="s">
        <v>891</v>
      </c>
      <c r="C293" s="1">
        <v>46031.722986111112</v>
      </c>
      <c r="D293">
        <v>1166.75</v>
      </c>
      <c r="E293" t="s">
        <v>25</v>
      </c>
      <c r="F293" t="s">
        <v>20</v>
      </c>
      <c r="G293" t="s">
        <v>21</v>
      </c>
      <c r="H293" t="s">
        <v>892</v>
      </c>
    </row>
    <row r="294" spans="1:8" x14ac:dyDescent="0.25">
      <c r="A294" t="s">
        <v>893</v>
      </c>
      <c r="B294" t="s">
        <v>894</v>
      </c>
      <c r="C294" s="1">
        <v>46032.825682870367</v>
      </c>
      <c r="D294">
        <v>263.57</v>
      </c>
      <c r="E294" t="s">
        <v>52</v>
      </c>
      <c r="F294" t="s">
        <v>20</v>
      </c>
      <c r="G294" t="s">
        <v>26</v>
      </c>
      <c r="H294" t="s">
        <v>895</v>
      </c>
    </row>
    <row r="295" spans="1:8" x14ac:dyDescent="0.25">
      <c r="A295" t="s">
        <v>896</v>
      </c>
      <c r="B295" t="s">
        <v>897</v>
      </c>
      <c r="C295" s="1">
        <v>46033.91914351852</v>
      </c>
      <c r="D295">
        <v>574</v>
      </c>
      <c r="E295" t="s">
        <v>19</v>
      </c>
      <c r="F295" t="s">
        <v>20</v>
      </c>
      <c r="G295" t="s">
        <v>30</v>
      </c>
      <c r="H295" t="s">
        <v>898</v>
      </c>
    </row>
    <row r="296" spans="1:8" x14ac:dyDescent="0.25">
      <c r="A296" t="s">
        <v>899</v>
      </c>
      <c r="B296" t="s">
        <v>900</v>
      </c>
      <c r="C296" s="1">
        <v>46035.030057870368</v>
      </c>
      <c r="D296">
        <v>385.78</v>
      </c>
      <c r="E296" t="s">
        <v>25</v>
      </c>
      <c r="F296" t="s">
        <v>20</v>
      </c>
      <c r="G296" t="s">
        <v>21</v>
      </c>
      <c r="H296" t="s">
        <v>901</v>
      </c>
    </row>
    <row r="297" spans="1:8" x14ac:dyDescent="0.25">
      <c r="A297" t="s">
        <v>902</v>
      </c>
      <c r="B297" t="s">
        <v>903</v>
      </c>
      <c r="C297" s="1">
        <v>46036.125219907408</v>
      </c>
      <c r="D297">
        <v>640.36</v>
      </c>
      <c r="E297" t="s">
        <v>25</v>
      </c>
      <c r="F297" t="s">
        <v>20</v>
      </c>
      <c r="G297" t="s">
        <v>26</v>
      </c>
      <c r="H297" t="s">
        <v>904</v>
      </c>
    </row>
    <row r="298" spans="1:8" x14ac:dyDescent="0.25">
      <c r="A298" t="s">
        <v>905</v>
      </c>
      <c r="B298" t="s">
        <v>906</v>
      </c>
      <c r="C298" s="1">
        <v>46037.191724537035</v>
      </c>
      <c r="D298">
        <v>1855.44</v>
      </c>
      <c r="E298" t="s">
        <v>25</v>
      </c>
      <c r="F298" t="s">
        <v>20</v>
      </c>
      <c r="G298" t="s">
        <v>30</v>
      </c>
      <c r="H298" t="s">
        <v>907</v>
      </c>
    </row>
    <row r="299" spans="1:8" x14ac:dyDescent="0.25">
      <c r="A299" t="s">
        <v>908</v>
      </c>
      <c r="B299" t="s">
        <v>909</v>
      </c>
      <c r="C299" s="1">
        <v>46023.273333333331</v>
      </c>
      <c r="D299">
        <v>2282.7800000000002</v>
      </c>
      <c r="E299" t="s">
        <v>25</v>
      </c>
      <c r="F299" t="s">
        <v>429</v>
      </c>
      <c r="G299" t="s">
        <v>21</v>
      </c>
      <c r="H299" t="s">
        <v>910</v>
      </c>
    </row>
    <row r="300" spans="1:8" x14ac:dyDescent="0.25">
      <c r="A300" t="s">
        <v>911</v>
      </c>
      <c r="B300" t="s">
        <v>912</v>
      </c>
      <c r="C300" s="1">
        <v>46024.366875</v>
      </c>
      <c r="D300">
        <v>1518.35</v>
      </c>
      <c r="E300" t="s">
        <v>25</v>
      </c>
      <c r="F300" t="s">
        <v>20</v>
      </c>
      <c r="G300" t="s">
        <v>26</v>
      </c>
      <c r="H300" t="s">
        <v>913</v>
      </c>
    </row>
    <row r="301" spans="1:8" x14ac:dyDescent="0.25">
      <c r="A301" t="s">
        <v>914</v>
      </c>
      <c r="B301" t="s">
        <v>915</v>
      </c>
      <c r="C301" s="1">
        <v>46025.459421296298</v>
      </c>
      <c r="D301">
        <v>719.23</v>
      </c>
      <c r="E301" t="s">
        <v>25</v>
      </c>
      <c r="F301" t="s">
        <v>20</v>
      </c>
      <c r="G301" t="s">
        <v>30</v>
      </c>
      <c r="H301" t="s">
        <v>916</v>
      </c>
    </row>
    <row r="302" spans="1:8" x14ac:dyDescent="0.25">
      <c r="A302" t="s">
        <v>917</v>
      </c>
      <c r="B302" t="s">
        <v>918</v>
      </c>
      <c r="C302" s="1">
        <v>46026.547511574077</v>
      </c>
      <c r="D302">
        <v>701.11</v>
      </c>
      <c r="E302" t="s">
        <v>25</v>
      </c>
      <c r="F302" t="s">
        <v>20</v>
      </c>
      <c r="G302" t="s">
        <v>21</v>
      </c>
      <c r="H302" t="s">
        <v>919</v>
      </c>
    </row>
    <row r="303" spans="1:8" x14ac:dyDescent="0.25">
      <c r="A303" t="s">
        <v>920</v>
      </c>
      <c r="B303" t="s">
        <v>921</v>
      </c>
      <c r="C303" s="1">
        <v>46027.649710648147</v>
      </c>
      <c r="D303">
        <v>1865.59</v>
      </c>
      <c r="E303" t="s">
        <v>25</v>
      </c>
      <c r="F303" t="s">
        <v>20</v>
      </c>
      <c r="G303" t="s">
        <v>26</v>
      </c>
      <c r="H303" t="s">
        <v>922</v>
      </c>
    </row>
    <row r="304" spans="1:8" x14ac:dyDescent="0.25">
      <c r="A304" t="s">
        <v>923</v>
      </c>
      <c r="B304" t="s">
        <v>924</v>
      </c>
      <c r="C304" s="1">
        <v>46028.731226851851</v>
      </c>
      <c r="D304">
        <v>1508.09</v>
      </c>
      <c r="E304" t="s">
        <v>52</v>
      </c>
      <c r="F304" t="s">
        <v>20</v>
      </c>
      <c r="G304" t="s">
        <v>30</v>
      </c>
      <c r="H304" t="s">
        <v>925</v>
      </c>
    </row>
    <row r="305" spans="1:8" x14ac:dyDescent="0.25">
      <c r="A305" t="s">
        <v>926</v>
      </c>
      <c r="B305" t="s">
        <v>927</v>
      </c>
      <c r="C305" s="1">
        <v>46029.856296296297</v>
      </c>
      <c r="D305">
        <v>1259.0899999999999</v>
      </c>
      <c r="E305" t="s">
        <v>19</v>
      </c>
      <c r="F305" t="s">
        <v>20</v>
      </c>
      <c r="G305" t="s">
        <v>21</v>
      </c>
      <c r="H305" t="s">
        <v>928</v>
      </c>
    </row>
    <row r="306" spans="1:8" x14ac:dyDescent="0.25">
      <c r="A306" t="s">
        <v>929</v>
      </c>
      <c r="B306" t="s">
        <v>930</v>
      </c>
      <c r="C306" s="1">
        <v>46030.949664351851</v>
      </c>
      <c r="D306">
        <v>2178.96</v>
      </c>
      <c r="E306" t="s">
        <v>25</v>
      </c>
      <c r="F306" t="s">
        <v>20</v>
      </c>
      <c r="G306" t="s">
        <v>26</v>
      </c>
      <c r="H306" t="s">
        <v>931</v>
      </c>
    </row>
    <row r="307" spans="1:8" x14ac:dyDescent="0.25">
      <c r="A307" t="s">
        <v>932</v>
      </c>
      <c r="B307" t="s">
        <v>933</v>
      </c>
      <c r="C307" s="1">
        <v>46032.028252314813</v>
      </c>
      <c r="D307">
        <v>2325.39</v>
      </c>
      <c r="E307" t="s">
        <v>25</v>
      </c>
      <c r="F307" t="s">
        <v>20</v>
      </c>
      <c r="G307" t="s">
        <v>30</v>
      </c>
      <c r="H307" t="s">
        <v>934</v>
      </c>
    </row>
    <row r="308" spans="1:8" x14ac:dyDescent="0.25">
      <c r="A308" t="s">
        <v>935</v>
      </c>
      <c r="B308" t="s">
        <v>936</v>
      </c>
      <c r="C308" s="1">
        <v>46033.118622685186</v>
      </c>
      <c r="D308">
        <v>7.53</v>
      </c>
      <c r="E308" t="s">
        <v>25</v>
      </c>
      <c r="F308" t="s">
        <v>20</v>
      </c>
      <c r="G308" t="s">
        <v>21</v>
      </c>
      <c r="H308" t="s">
        <v>937</v>
      </c>
    </row>
    <row r="309" spans="1:8" x14ac:dyDescent="0.25">
      <c r="A309" t="s">
        <v>938</v>
      </c>
      <c r="B309" t="s">
        <v>939</v>
      </c>
      <c r="C309" s="1">
        <v>46034.210451388892</v>
      </c>
      <c r="D309">
        <v>1952.91</v>
      </c>
      <c r="E309" t="s">
        <v>25</v>
      </c>
      <c r="F309" t="s">
        <v>20</v>
      </c>
      <c r="G309" t="s">
        <v>26</v>
      </c>
      <c r="H309" t="s">
        <v>940</v>
      </c>
    </row>
    <row r="310" spans="1:8" x14ac:dyDescent="0.25">
      <c r="A310" t="s">
        <v>941</v>
      </c>
      <c r="B310" t="s">
        <v>942</v>
      </c>
      <c r="C310" s="1">
        <v>46034.287094907406</v>
      </c>
      <c r="D310">
        <v>2013.2</v>
      </c>
      <c r="E310" t="s">
        <v>25</v>
      </c>
      <c r="F310" t="s">
        <v>20</v>
      </c>
      <c r="G310" t="s">
        <v>30</v>
      </c>
      <c r="H310" t="s">
        <v>943</v>
      </c>
    </row>
    <row r="311" spans="1:8" x14ac:dyDescent="0.25">
      <c r="A311" t="s">
        <v>944</v>
      </c>
      <c r="B311" t="s">
        <v>945</v>
      </c>
      <c r="C311" s="1">
        <v>46035.394444444442</v>
      </c>
      <c r="D311">
        <v>2323.16</v>
      </c>
      <c r="E311" t="s">
        <v>25</v>
      </c>
      <c r="F311" t="s">
        <v>20</v>
      </c>
      <c r="G311" t="s">
        <v>21</v>
      </c>
      <c r="H311" t="s">
        <v>946</v>
      </c>
    </row>
    <row r="312" spans="1:8" x14ac:dyDescent="0.25">
      <c r="A312" t="s">
        <v>947</v>
      </c>
      <c r="B312" t="s">
        <v>948</v>
      </c>
      <c r="C312" s="1">
        <v>46036.49</v>
      </c>
      <c r="D312">
        <v>1433.41</v>
      </c>
      <c r="E312" t="s">
        <v>25</v>
      </c>
      <c r="F312" t="s">
        <v>20</v>
      </c>
      <c r="G312" t="s">
        <v>26</v>
      </c>
      <c r="H312" t="s">
        <v>949</v>
      </c>
    </row>
    <row r="313" spans="1:8" x14ac:dyDescent="0.25">
      <c r="A313" t="s">
        <v>950</v>
      </c>
      <c r="B313" t="s">
        <v>951</v>
      </c>
      <c r="C313" s="1">
        <v>46023.566134259258</v>
      </c>
      <c r="D313">
        <v>262.83999999999997</v>
      </c>
      <c r="E313" t="s">
        <v>25</v>
      </c>
      <c r="F313" t="s">
        <v>20</v>
      </c>
      <c r="G313" t="s">
        <v>30</v>
      </c>
      <c r="H313" t="s">
        <v>952</v>
      </c>
    </row>
    <row r="314" spans="1:8" x14ac:dyDescent="0.25">
      <c r="A314" t="s">
        <v>953</v>
      </c>
      <c r="B314" t="s">
        <v>954</v>
      </c>
      <c r="C314" s="1">
        <v>46024.669976851852</v>
      </c>
      <c r="D314">
        <v>1000.11</v>
      </c>
      <c r="E314" t="s">
        <v>52</v>
      </c>
      <c r="F314" t="s">
        <v>20</v>
      </c>
      <c r="G314" t="s">
        <v>21</v>
      </c>
      <c r="H314" t="s">
        <v>955</v>
      </c>
    </row>
    <row r="315" spans="1:8" x14ac:dyDescent="0.25">
      <c r="A315" t="s">
        <v>956</v>
      </c>
      <c r="B315" t="s">
        <v>957</v>
      </c>
      <c r="C315" s="1">
        <v>46025.735949074071</v>
      </c>
      <c r="D315">
        <v>1122.82</v>
      </c>
      <c r="E315" t="s">
        <v>19</v>
      </c>
      <c r="F315" t="s">
        <v>20</v>
      </c>
      <c r="G315" t="s">
        <v>26</v>
      </c>
      <c r="H315" t="s">
        <v>958</v>
      </c>
    </row>
    <row r="316" spans="1:8" x14ac:dyDescent="0.25">
      <c r="A316" t="s">
        <v>959</v>
      </c>
      <c r="B316" t="s">
        <v>960</v>
      </c>
      <c r="C316" s="1">
        <v>46026.850347222222</v>
      </c>
      <c r="D316">
        <v>786.97</v>
      </c>
      <c r="E316" t="s">
        <v>25</v>
      </c>
      <c r="F316" t="s">
        <v>20</v>
      </c>
      <c r="G316" t="s">
        <v>30</v>
      </c>
      <c r="H316" t="s">
        <v>961</v>
      </c>
    </row>
    <row r="317" spans="1:8" x14ac:dyDescent="0.25">
      <c r="A317" t="s">
        <v>962</v>
      </c>
      <c r="B317" t="s">
        <v>963</v>
      </c>
      <c r="C317" s="1">
        <v>46027.926134259258</v>
      </c>
      <c r="D317">
        <v>1774.51</v>
      </c>
      <c r="E317" t="s">
        <v>25</v>
      </c>
      <c r="F317" t="s">
        <v>20</v>
      </c>
      <c r="G317" t="s">
        <v>21</v>
      </c>
      <c r="H317" t="s">
        <v>964</v>
      </c>
    </row>
    <row r="318" spans="1:8" x14ac:dyDescent="0.25">
      <c r="A318" t="s">
        <v>965</v>
      </c>
      <c r="B318" t="s">
        <v>966</v>
      </c>
      <c r="C318" s="1">
        <v>46029.033495370371</v>
      </c>
      <c r="D318">
        <v>1851.28</v>
      </c>
      <c r="E318" t="s">
        <v>25</v>
      </c>
      <c r="F318" t="s">
        <v>20</v>
      </c>
      <c r="G318" t="s">
        <v>26</v>
      </c>
      <c r="H318" t="s">
        <v>967</v>
      </c>
    </row>
    <row r="319" spans="1:8" x14ac:dyDescent="0.25">
      <c r="A319" t="s">
        <v>968</v>
      </c>
      <c r="B319" t="s">
        <v>969</v>
      </c>
      <c r="C319" s="1">
        <v>46030.123993055553</v>
      </c>
      <c r="D319">
        <v>2499.6</v>
      </c>
      <c r="E319" t="s">
        <v>25</v>
      </c>
      <c r="F319" t="s">
        <v>20</v>
      </c>
      <c r="G319" t="s">
        <v>30</v>
      </c>
      <c r="H319" t="s">
        <v>970</v>
      </c>
    </row>
    <row r="320" spans="1:8" x14ac:dyDescent="0.25">
      <c r="A320" t="s">
        <v>971</v>
      </c>
      <c r="B320" t="s">
        <v>972</v>
      </c>
      <c r="C320" s="1">
        <v>46031.209305555552</v>
      </c>
      <c r="D320">
        <v>546.1</v>
      </c>
      <c r="E320" t="s">
        <v>25</v>
      </c>
      <c r="F320" t="s">
        <v>20</v>
      </c>
      <c r="G320" t="s">
        <v>21</v>
      </c>
      <c r="H320" t="s">
        <v>973</v>
      </c>
    </row>
    <row r="321" spans="1:8" x14ac:dyDescent="0.25">
      <c r="A321" t="s">
        <v>974</v>
      </c>
      <c r="B321" t="s">
        <v>975</v>
      </c>
      <c r="C321" s="1">
        <v>46031.320381944446</v>
      </c>
      <c r="D321">
        <v>2347.63</v>
      </c>
      <c r="E321" t="s">
        <v>25</v>
      </c>
      <c r="F321" t="s">
        <v>20</v>
      </c>
      <c r="G321" t="s">
        <v>26</v>
      </c>
      <c r="H321" t="s">
        <v>976</v>
      </c>
    </row>
    <row r="322" spans="1:8" x14ac:dyDescent="0.25">
      <c r="A322" t="s">
        <v>977</v>
      </c>
      <c r="B322" t="s">
        <v>978</v>
      </c>
      <c r="C322" s="1">
        <v>46032.397650462961</v>
      </c>
      <c r="D322">
        <v>1255.42</v>
      </c>
      <c r="E322" t="s">
        <v>25</v>
      </c>
      <c r="F322" t="s">
        <v>20</v>
      </c>
      <c r="G322" t="s">
        <v>30</v>
      </c>
      <c r="H322" t="s">
        <v>979</v>
      </c>
    </row>
    <row r="323" spans="1:8" x14ac:dyDescent="0.25">
      <c r="A323" t="s">
        <v>980</v>
      </c>
      <c r="B323" t="s">
        <v>981</v>
      </c>
      <c r="C323" s="1">
        <v>46033.499548611115</v>
      </c>
      <c r="D323">
        <v>553.92999999999995</v>
      </c>
      <c r="E323" t="s">
        <v>25</v>
      </c>
      <c r="F323" t="s">
        <v>20</v>
      </c>
      <c r="G323" t="s">
        <v>21</v>
      </c>
      <c r="H323" t="s">
        <v>982</v>
      </c>
    </row>
    <row r="324" spans="1:8" x14ac:dyDescent="0.25">
      <c r="A324" t="s">
        <v>983</v>
      </c>
      <c r="B324" t="s">
        <v>984</v>
      </c>
      <c r="C324" s="1">
        <v>46034.570844907408</v>
      </c>
      <c r="D324">
        <v>1160.74</v>
      </c>
      <c r="E324" t="s">
        <v>52</v>
      </c>
      <c r="F324" t="s">
        <v>20</v>
      </c>
      <c r="G324" t="s">
        <v>26</v>
      </c>
      <c r="H324" t="s">
        <v>985</v>
      </c>
    </row>
    <row r="325" spans="1:8" x14ac:dyDescent="0.25">
      <c r="A325" t="s">
        <v>986</v>
      </c>
      <c r="B325" t="s">
        <v>987</v>
      </c>
      <c r="C325" s="1">
        <v>46035.669618055559</v>
      </c>
      <c r="D325">
        <v>760.18</v>
      </c>
      <c r="E325" t="s">
        <v>19</v>
      </c>
      <c r="F325" t="s">
        <v>20</v>
      </c>
      <c r="G325" t="s">
        <v>30</v>
      </c>
      <c r="H325" t="s">
        <v>988</v>
      </c>
    </row>
    <row r="326" spans="1:8" x14ac:dyDescent="0.25">
      <c r="A326" t="s">
        <v>989</v>
      </c>
      <c r="B326" t="s">
        <v>990</v>
      </c>
      <c r="C326" s="1">
        <v>46036.783599537041</v>
      </c>
      <c r="D326">
        <v>1000.52</v>
      </c>
      <c r="E326" t="s">
        <v>25</v>
      </c>
      <c r="F326" t="s">
        <v>20</v>
      </c>
      <c r="G326" t="s">
        <v>21</v>
      </c>
      <c r="H326" t="s">
        <v>991</v>
      </c>
    </row>
    <row r="327" spans="1:8" x14ac:dyDescent="0.25">
      <c r="A327" t="s">
        <v>992</v>
      </c>
      <c r="B327" t="s">
        <v>993</v>
      </c>
      <c r="C327" s="1">
        <v>46023.87427083333</v>
      </c>
      <c r="D327">
        <v>1784.64</v>
      </c>
      <c r="E327" t="s">
        <v>25</v>
      </c>
      <c r="F327" t="s">
        <v>20</v>
      </c>
      <c r="G327" t="s">
        <v>26</v>
      </c>
      <c r="H327" t="s">
        <v>994</v>
      </c>
    </row>
    <row r="328" spans="1:8" x14ac:dyDescent="0.25">
      <c r="A328" t="s">
        <v>995</v>
      </c>
      <c r="B328" t="s">
        <v>996</v>
      </c>
      <c r="C328" s="1">
        <v>46024.947164351855</v>
      </c>
      <c r="D328">
        <v>422.05</v>
      </c>
      <c r="E328" t="s">
        <v>25</v>
      </c>
      <c r="F328" t="s">
        <v>20</v>
      </c>
      <c r="G328" t="s">
        <v>30</v>
      </c>
      <c r="H328" t="s">
        <v>997</v>
      </c>
    </row>
    <row r="329" spans="1:8" x14ac:dyDescent="0.25">
      <c r="A329" t="s">
        <v>998</v>
      </c>
      <c r="B329" t="s">
        <v>999</v>
      </c>
      <c r="C329" s="1">
        <v>46026.045057870368</v>
      </c>
      <c r="D329">
        <v>569.9</v>
      </c>
      <c r="E329" t="s">
        <v>25</v>
      </c>
      <c r="F329" t="s">
        <v>20</v>
      </c>
      <c r="G329" t="s">
        <v>21</v>
      </c>
      <c r="H329" t="s">
        <v>1000</v>
      </c>
    </row>
    <row r="330" spans="1:8" x14ac:dyDescent="0.25">
      <c r="A330" t="s">
        <v>1001</v>
      </c>
      <c r="B330" t="s">
        <v>1002</v>
      </c>
      <c r="C330" s="1">
        <v>46027.109571759262</v>
      </c>
      <c r="D330">
        <v>36.31</v>
      </c>
      <c r="E330" t="s">
        <v>25</v>
      </c>
      <c r="F330" t="s">
        <v>20</v>
      </c>
      <c r="G330" t="s">
        <v>26</v>
      </c>
      <c r="H330" t="s">
        <v>1003</v>
      </c>
    </row>
    <row r="331" spans="1:8" x14ac:dyDescent="0.25">
      <c r="A331" t="s">
        <v>1004</v>
      </c>
      <c r="B331" t="s">
        <v>1005</v>
      </c>
      <c r="C331" s="1">
        <v>46028.210902777777</v>
      </c>
      <c r="D331">
        <v>2139.86</v>
      </c>
      <c r="E331" t="s">
        <v>25</v>
      </c>
      <c r="F331" t="s">
        <v>20</v>
      </c>
      <c r="G331" t="s">
        <v>30</v>
      </c>
      <c r="H331" t="s">
        <v>1006</v>
      </c>
    </row>
    <row r="332" spans="1:8" x14ac:dyDescent="0.25">
      <c r="A332" t="s">
        <v>1007</v>
      </c>
      <c r="B332" t="s">
        <v>1008</v>
      </c>
      <c r="C332" s="1">
        <v>46028.330555555556</v>
      </c>
      <c r="D332">
        <v>837.2</v>
      </c>
      <c r="E332" t="s">
        <v>25</v>
      </c>
      <c r="F332" t="s">
        <v>20</v>
      </c>
      <c r="G332" t="s">
        <v>21</v>
      </c>
      <c r="H332" t="s">
        <v>1009</v>
      </c>
    </row>
    <row r="333" spans="1:8" x14ac:dyDescent="0.25">
      <c r="A333" t="s">
        <v>1010</v>
      </c>
      <c r="B333" t="s">
        <v>1011</v>
      </c>
      <c r="C333" s="1">
        <v>46029.405381944445</v>
      </c>
      <c r="D333">
        <v>509.77</v>
      </c>
      <c r="E333" t="s">
        <v>25</v>
      </c>
      <c r="F333" t="s">
        <v>20</v>
      </c>
      <c r="G333" t="s">
        <v>26</v>
      </c>
      <c r="H333" t="s">
        <v>1012</v>
      </c>
    </row>
    <row r="334" spans="1:8" x14ac:dyDescent="0.25">
      <c r="A334" t="s">
        <v>1013</v>
      </c>
      <c r="B334" t="s">
        <v>1014</v>
      </c>
      <c r="C334" s="1">
        <v>46030.488055555557</v>
      </c>
      <c r="D334">
        <v>333.41</v>
      </c>
      <c r="E334" t="s">
        <v>52</v>
      </c>
      <c r="F334" t="s">
        <v>20</v>
      </c>
      <c r="G334" t="s">
        <v>30</v>
      </c>
      <c r="H334" t="s">
        <v>1015</v>
      </c>
    </row>
    <row r="335" spans="1:8" x14ac:dyDescent="0.25">
      <c r="A335" t="s">
        <v>1016</v>
      </c>
      <c r="B335" t="s">
        <v>1017</v>
      </c>
      <c r="C335" s="1">
        <v>46031.584768518522</v>
      </c>
      <c r="D335">
        <v>2439.62</v>
      </c>
      <c r="E335" t="s">
        <v>19</v>
      </c>
      <c r="F335" t="s">
        <v>20</v>
      </c>
      <c r="G335" t="s">
        <v>21</v>
      </c>
      <c r="H335" t="s">
        <v>1018</v>
      </c>
    </row>
    <row r="336" spans="1:8" x14ac:dyDescent="0.25">
      <c r="A336" t="s">
        <v>1019</v>
      </c>
      <c r="B336" t="s">
        <v>1020</v>
      </c>
      <c r="C336" s="1">
        <v>46032.686724537038</v>
      </c>
      <c r="D336">
        <v>793.48</v>
      </c>
      <c r="E336" t="s">
        <v>25</v>
      </c>
      <c r="F336" t="s">
        <v>20</v>
      </c>
      <c r="G336" t="s">
        <v>26</v>
      </c>
      <c r="H336" t="s">
        <v>1021</v>
      </c>
    </row>
    <row r="337" spans="1:8" x14ac:dyDescent="0.25">
      <c r="A337" t="s">
        <v>1022</v>
      </c>
      <c r="B337" t="s">
        <v>1023</v>
      </c>
      <c r="C337" s="1">
        <v>46033.754201388889</v>
      </c>
      <c r="D337">
        <v>31.31</v>
      </c>
      <c r="E337" t="s">
        <v>25</v>
      </c>
      <c r="F337" t="s">
        <v>20</v>
      </c>
      <c r="G337" t="s">
        <v>30</v>
      </c>
      <c r="H337" t="s">
        <v>1024</v>
      </c>
    </row>
    <row r="338" spans="1:8" x14ac:dyDescent="0.25">
      <c r="A338" t="s">
        <v>1025</v>
      </c>
      <c r="B338" t="s">
        <v>1026</v>
      </c>
      <c r="C338" s="1">
        <v>46034.853738425925</v>
      </c>
      <c r="D338">
        <v>2479.2800000000002</v>
      </c>
      <c r="E338" t="s">
        <v>25</v>
      </c>
      <c r="F338" t="s">
        <v>20</v>
      </c>
      <c r="G338" t="s">
        <v>21</v>
      </c>
      <c r="H338" t="s">
        <v>1027</v>
      </c>
    </row>
    <row r="339" spans="1:8" x14ac:dyDescent="0.25">
      <c r="A339" t="s">
        <v>1028</v>
      </c>
      <c r="B339" t="s">
        <v>1029</v>
      </c>
      <c r="C339" s="1">
        <v>46035.966377314813</v>
      </c>
      <c r="D339">
        <v>1717.52</v>
      </c>
      <c r="E339" t="s">
        <v>25</v>
      </c>
      <c r="F339" t="s">
        <v>20</v>
      </c>
      <c r="G339" t="s">
        <v>26</v>
      </c>
      <c r="H339" t="s">
        <v>1030</v>
      </c>
    </row>
    <row r="340" spans="1:8" x14ac:dyDescent="0.25">
      <c r="A340" t="s">
        <v>1031</v>
      </c>
      <c r="B340" t="s">
        <v>1032</v>
      </c>
      <c r="C340" s="1">
        <v>46037.053576388891</v>
      </c>
      <c r="D340">
        <v>529.86</v>
      </c>
      <c r="E340" t="s">
        <v>25</v>
      </c>
      <c r="F340" t="s">
        <v>20</v>
      </c>
      <c r="G340" t="s">
        <v>30</v>
      </c>
      <c r="H340" t="s">
        <v>1033</v>
      </c>
    </row>
    <row r="341" spans="1:8" x14ac:dyDescent="0.25">
      <c r="A341" t="s">
        <v>1034</v>
      </c>
      <c r="B341" t="s">
        <v>1035</v>
      </c>
      <c r="C341" s="1">
        <v>46024.148252314815</v>
      </c>
      <c r="D341">
        <v>210.19</v>
      </c>
      <c r="E341" t="s">
        <v>25</v>
      </c>
      <c r="F341" t="s">
        <v>20</v>
      </c>
      <c r="G341" t="s">
        <v>21</v>
      </c>
      <c r="H341" t="s">
        <v>1036</v>
      </c>
    </row>
    <row r="342" spans="1:8" x14ac:dyDescent="0.25">
      <c r="A342" t="s">
        <v>1037</v>
      </c>
      <c r="B342" t="s">
        <v>1038</v>
      </c>
      <c r="C342" s="1">
        <v>46024.239189814813</v>
      </c>
      <c r="D342">
        <v>1658.46</v>
      </c>
      <c r="E342" t="s">
        <v>25</v>
      </c>
      <c r="F342" t="s">
        <v>20</v>
      </c>
      <c r="G342" t="s">
        <v>26</v>
      </c>
      <c r="H342" t="s">
        <v>1039</v>
      </c>
    </row>
    <row r="343" spans="1:8" x14ac:dyDescent="0.25">
      <c r="A343" t="s">
        <v>1040</v>
      </c>
      <c r="B343" t="s">
        <v>1041</v>
      </c>
      <c r="C343" s="1">
        <v>46025.305833333332</v>
      </c>
      <c r="D343">
        <v>1884.4</v>
      </c>
      <c r="E343" t="s">
        <v>25</v>
      </c>
      <c r="F343" t="s">
        <v>20</v>
      </c>
      <c r="G343" t="s">
        <v>30</v>
      </c>
      <c r="H343" t="s">
        <v>1042</v>
      </c>
    </row>
    <row r="344" spans="1:8" x14ac:dyDescent="0.25">
      <c r="A344" t="s">
        <v>1043</v>
      </c>
      <c r="B344" t="s">
        <v>1044</v>
      </c>
      <c r="C344" s="1">
        <v>46026.39303240741</v>
      </c>
      <c r="D344">
        <v>2051.5500000000002</v>
      </c>
      <c r="E344" t="s">
        <v>52</v>
      </c>
      <c r="F344" t="s">
        <v>20</v>
      </c>
      <c r="G344" t="s">
        <v>21</v>
      </c>
      <c r="H344" t="s">
        <v>1045</v>
      </c>
    </row>
    <row r="345" spans="1:8" x14ac:dyDescent="0.25">
      <c r="A345" t="s">
        <v>1046</v>
      </c>
      <c r="B345" t="s">
        <v>1047</v>
      </c>
      <c r="C345" s="1">
        <v>46027.496747685182</v>
      </c>
      <c r="D345">
        <v>100.91</v>
      </c>
      <c r="E345" t="s">
        <v>19</v>
      </c>
      <c r="F345" t="s">
        <v>20</v>
      </c>
      <c r="G345" t="s">
        <v>26</v>
      </c>
      <c r="H345" t="s">
        <v>1048</v>
      </c>
    </row>
    <row r="346" spans="1:8" x14ac:dyDescent="0.25">
      <c r="A346" t="s">
        <v>1049</v>
      </c>
      <c r="B346" t="s">
        <v>1050</v>
      </c>
      <c r="C346" s="1">
        <v>46028.588680555556</v>
      </c>
      <c r="D346">
        <v>165.67</v>
      </c>
      <c r="E346" t="s">
        <v>25</v>
      </c>
      <c r="F346" t="s">
        <v>20</v>
      </c>
      <c r="G346" t="s">
        <v>30</v>
      </c>
      <c r="H346" t="s">
        <v>1051</v>
      </c>
    </row>
    <row r="347" spans="1:8" x14ac:dyDescent="0.25">
      <c r="A347" t="s">
        <v>1052</v>
      </c>
      <c r="B347" t="s">
        <v>1053</v>
      </c>
      <c r="C347" s="1">
        <v>46029.697650462964</v>
      </c>
      <c r="D347">
        <v>1425.43</v>
      </c>
      <c r="E347" t="s">
        <v>25</v>
      </c>
      <c r="F347" t="s">
        <v>20</v>
      </c>
      <c r="G347" t="s">
        <v>21</v>
      </c>
      <c r="H347" t="s">
        <v>1054</v>
      </c>
    </row>
    <row r="348" spans="1:8" x14ac:dyDescent="0.25">
      <c r="A348" t="s">
        <v>1055</v>
      </c>
      <c r="B348" t="s">
        <v>1056</v>
      </c>
      <c r="C348" s="1">
        <v>46030.79582175926</v>
      </c>
      <c r="D348">
        <v>841.15</v>
      </c>
      <c r="E348" t="s">
        <v>25</v>
      </c>
      <c r="F348" t="s">
        <v>20</v>
      </c>
      <c r="G348" t="s">
        <v>26</v>
      </c>
      <c r="H348" t="s">
        <v>1057</v>
      </c>
    </row>
    <row r="349" spans="1:8" x14ac:dyDescent="0.25">
      <c r="A349" t="s">
        <v>1058</v>
      </c>
      <c r="B349" t="s">
        <v>1059</v>
      </c>
      <c r="C349" s="1">
        <v>46031.876655092594</v>
      </c>
      <c r="D349">
        <v>2098.44</v>
      </c>
      <c r="E349" t="s">
        <v>25</v>
      </c>
      <c r="F349" t="s">
        <v>20</v>
      </c>
      <c r="G349" t="s">
        <v>30</v>
      </c>
      <c r="H349" t="s">
        <v>1060</v>
      </c>
    </row>
    <row r="350" spans="1:8" x14ac:dyDescent="0.25">
      <c r="A350" t="s">
        <v>1061</v>
      </c>
      <c r="B350" t="s">
        <v>1062</v>
      </c>
      <c r="C350" s="1">
        <v>46032.974050925928</v>
      </c>
      <c r="D350">
        <v>614.94000000000005</v>
      </c>
      <c r="E350" t="s">
        <v>25</v>
      </c>
      <c r="F350" t="s">
        <v>20</v>
      </c>
      <c r="G350" t="s">
        <v>21</v>
      </c>
      <c r="H350" t="s">
        <v>1063</v>
      </c>
    </row>
    <row r="351" spans="1:8" x14ac:dyDescent="0.25">
      <c r="A351" t="s">
        <v>1064</v>
      </c>
      <c r="B351" t="s">
        <v>1065</v>
      </c>
      <c r="C351" s="1">
        <v>46034.057175925926</v>
      </c>
      <c r="D351">
        <v>745.64</v>
      </c>
      <c r="E351" t="s">
        <v>25</v>
      </c>
      <c r="F351" t="s">
        <v>20</v>
      </c>
      <c r="G351" t="s">
        <v>26</v>
      </c>
      <c r="H351" t="s">
        <v>1066</v>
      </c>
    </row>
    <row r="352" spans="1:8" x14ac:dyDescent="0.25">
      <c r="A352" t="s">
        <v>1067</v>
      </c>
      <c r="B352" t="s">
        <v>1068</v>
      </c>
      <c r="C352" s="1">
        <v>46035.138067129628</v>
      </c>
      <c r="D352">
        <v>514.30999999999995</v>
      </c>
      <c r="E352" t="s">
        <v>25</v>
      </c>
      <c r="F352" t="s">
        <v>20</v>
      </c>
      <c r="G352" t="s">
        <v>30</v>
      </c>
      <c r="H352" t="s">
        <v>1069</v>
      </c>
    </row>
    <row r="353" spans="1:8" x14ac:dyDescent="0.25">
      <c r="A353" t="s">
        <v>1070</v>
      </c>
      <c r="B353" t="s">
        <v>1071</v>
      </c>
      <c r="C353" s="1">
        <v>46035.249826388892</v>
      </c>
      <c r="D353">
        <v>1913.19</v>
      </c>
      <c r="E353" t="s">
        <v>25</v>
      </c>
      <c r="F353" t="s">
        <v>20</v>
      </c>
      <c r="G353" t="s">
        <v>21</v>
      </c>
      <c r="H353" t="s">
        <v>1072</v>
      </c>
    </row>
    <row r="354" spans="1:8" x14ac:dyDescent="0.25">
      <c r="A354" t="s">
        <v>1073</v>
      </c>
      <c r="B354" t="s">
        <v>1074</v>
      </c>
      <c r="C354" s="1">
        <v>46036.323819444442</v>
      </c>
      <c r="D354">
        <v>2107.5100000000002</v>
      </c>
      <c r="E354" t="s">
        <v>52</v>
      </c>
      <c r="F354" t="s">
        <v>429</v>
      </c>
      <c r="G354" t="s">
        <v>26</v>
      </c>
      <c r="H354" t="s">
        <v>1075</v>
      </c>
    </row>
    <row r="355" spans="1:8" x14ac:dyDescent="0.25">
      <c r="A355" t="s">
        <v>1076</v>
      </c>
      <c r="B355" t="s">
        <v>1077</v>
      </c>
      <c r="C355" s="1">
        <v>46023.403344907405</v>
      </c>
      <c r="D355">
        <v>2406.64</v>
      </c>
      <c r="E355" t="s">
        <v>19</v>
      </c>
      <c r="F355" t="s">
        <v>20</v>
      </c>
      <c r="G355" t="s">
        <v>30</v>
      </c>
      <c r="H355" t="s">
        <v>1078</v>
      </c>
    </row>
    <row r="356" spans="1:8" x14ac:dyDescent="0.25">
      <c r="A356" t="s">
        <v>1079</v>
      </c>
      <c r="B356" t="s">
        <v>1080</v>
      </c>
      <c r="C356" s="1">
        <v>46024.504259259258</v>
      </c>
      <c r="D356">
        <v>2119.7199999999998</v>
      </c>
      <c r="E356" t="s">
        <v>25</v>
      </c>
      <c r="F356" t="s">
        <v>20</v>
      </c>
      <c r="G356" t="s">
        <v>21</v>
      </c>
      <c r="H356" t="s">
        <v>1081</v>
      </c>
    </row>
    <row r="357" spans="1:8" x14ac:dyDescent="0.25">
      <c r="A357" t="s">
        <v>1082</v>
      </c>
      <c r="B357" t="s">
        <v>1083</v>
      </c>
      <c r="C357" s="1">
        <v>46025.624849537038</v>
      </c>
      <c r="D357">
        <v>874.64</v>
      </c>
      <c r="E357" t="s">
        <v>25</v>
      </c>
      <c r="F357" t="s">
        <v>20</v>
      </c>
      <c r="G357" t="s">
        <v>26</v>
      </c>
      <c r="H357" t="s">
        <v>1084</v>
      </c>
    </row>
    <row r="358" spans="1:8" x14ac:dyDescent="0.25">
      <c r="A358" t="s">
        <v>1085</v>
      </c>
      <c r="B358" t="s">
        <v>1086</v>
      </c>
      <c r="C358" s="1">
        <v>46026.683240740742</v>
      </c>
      <c r="D358">
        <v>513.54999999999995</v>
      </c>
      <c r="E358" t="s">
        <v>25</v>
      </c>
      <c r="F358" t="s">
        <v>20</v>
      </c>
      <c r="G358" t="s">
        <v>30</v>
      </c>
      <c r="H358" t="s">
        <v>1087</v>
      </c>
    </row>
    <row r="359" spans="1:8" x14ac:dyDescent="0.25">
      <c r="A359" t="s">
        <v>1088</v>
      </c>
      <c r="B359" t="s">
        <v>1089</v>
      </c>
      <c r="C359" s="1">
        <v>46027.800243055557</v>
      </c>
      <c r="D359">
        <v>2481.96</v>
      </c>
      <c r="E359" t="s">
        <v>25</v>
      </c>
      <c r="F359" t="s">
        <v>20</v>
      </c>
      <c r="G359" t="s">
        <v>21</v>
      </c>
      <c r="H359" t="s">
        <v>1090</v>
      </c>
    </row>
    <row r="360" spans="1:8" x14ac:dyDescent="0.25">
      <c r="A360" t="s">
        <v>1091</v>
      </c>
      <c r="B360" t="s">
        <v>1092</v>
      </c>
      <c r="C360" s="1">
        <v>46028.877210648148</v>
      </c>
      <c r="D360">
        <v>351.15</v>
      </c>
      <c r="E360" t="s">
        <v>25</v>
      </c>
      <c r="F360" t="s">
        <v>20</v>
      </c>
      <c r="G360" t="s">
        <v>26</v>
      </c>
      <c r="H360" t="s">
        <v>1093</v>
      </c>
    </row>
    <row r="361" spans="1:8" x14ac:dyDescent="0.25">
      <c r="A361" t="s">
        <v>1094</v>
      </c>
      <c r="B361" t="s">
        <v>1095</v>
      </c>
      <c r="C361" s="1">
        <v>46029.966817129629</v>
      </c>
      <c r="D361">
        <v>1680.45</v>
      </c>
      <c r="E361" t="s">
        <v>25</v>
      </c>
      <c r="F361" t="s">
        <v>20</v>
      </c>
      <c r="G361" t="s">
        <v>30</v>
      </c>
      <c r="H361" t="s">
        <v>1096</v>
      </c>
    </row>
    <row r="362" spans="1:8" x14ac:dyDescent="0.25">
      <c r="A362" t="s">
        <v>1097</v>
      </c>
      <c r="B362" t="s">
        <v>1098</v>
      </c>
      <c r="C362" s="1">
        <v>46031.075648148151</v>
      </c>
      <c r="D362">
        <v>1514.28</v>
      </c>
      <c r="E362" t="s">
        <v>25</v>
      </c>
      <c r="F362" t="s">
        <v>20</v>
      </c>
      <c r="G362" t="s">
        <v>21</v>
      </c>
      <c r="H362" t="s">
        <v>1099</v>
      </c>
    </row>
    <row r="363" spans="1:8" x14ac:dyDescent="0.25">
      <c r="A363" t="s">
        <v>1100</v>
      </c>
      <c r="B363" t="s">
        <v>1101</v>
      </c>
      <c r="C363" s="1">
        <v>46032.147696759261</v>
      </c>
      <c r="D363">
        <v>536.98</v>
      </c>
      <c r="E363" t="s">
        <v>25</v>
      </c>
      <c r="F363" t="s">
        <v>20</v>
      </c>
      <c r="G363" t="s">
        <v>26</v>
      </c>
      <c r="H363" t="s">
        <v>1102</v>
      </c>
    </row>
    <row r="364" spans="1:8" x14ac:dyDescent="0.25">
      <c r="A364" t="s">
        <v>1103</v>
      </c>
      <c r="B364" t="s">
        <v>1104</v>
      </c>
      <c r="C364" s="1">
        <v>46032.234768518516</v>
      </c>
      <c r="D364">
        <v>2425.8200000000002</v>
      </c>
      <c r="E364" t="s">
        <v>52</v>
      </c>
      <c r="F364" t="s">
        <v>20</v>
      </c>
      <c r="G364" t="s">
        <v>30</v>
      </c>
      <c r="H364" t="s">
        <v>1105</v>
      </c>
    </row>
    <row r="365" spans="1:8" x14ac:dyDescent="0.25">
      <c r="A365" t="s">
        <v>1106</v>
      </c>
      <c r="B365" t="s">
        <v>1107</v>
      </c>
      <c r="C365" s="1">
        <v>46033.346655092595</v>
      </c>
      <c r="D365">
        <v>858.24</v>
      </c>
      <c r="E365" t="s">
        <v>19</v>
      </c>
      <c r="F365" t="s">
        <v>20</v>
      </c>
      <c r="G365" t="s">
        <v>21</v>
      </c>
      <c r="H365" t="s">
        <v>1108</v>
      </c>
    </row>
    <row r="366" spans="1:8" x14ac:dyDescent="0.25">
      <c r="A366" t="s">
        <v>1109</v>
      </c>
      <c r="B366" t="s">
        <v>1110</v>
      </c>
      <c r="C366" s="1">
        <v>46034.413865740738</v>
      </c>
      <c r="D366">
        <v>1046.23</v>
      </c>
      <c r="E366" t="s">
        <v>25</v>
      </c>
      <c r="F366" t="s">
        <v>20</v>
      </c>
      <c r="G366" t="s">
        <v>26</v>
      </c>
      <c r="H366" t="s">
        <v>1111</v>
      </c>
    </row>
    <row r="367" spans="1:8" x14ac:dyDescent="0.25">
      <c r="A367" t="s">
        <v>1112</v>
      </c>
      <c r="B367" t="s">
        <v>1113</v>
      </c>
      <c r="C367" s="1">
        <v>46035.526631944442</v>
      </c>
      <c r="D367">
        <v>71.31</v>
      </c>
      <c r="E367" t="s">
        <v>25</v>
      </c>
      <c r="F367" t="s">
        <v>20</v>
      </c>
      <c r="G367" t="s">
        <v>30</v>
      </c>
      <c r="H367" t="s">
        <v>1114</v>
      </c>
    </row>
    <row r="368" spans="1:8" x14ac:dyDescent="0.25">
      <c r="A368" t="s">
        <v>1115</v>
      </c>
      <c r="B368" t="s">
        <v>1116</v>
      </c>
      <c r="C368" s="1">
        <v>46036.615856481483</v>
      </c>
      <c r="D368">
        <v>221.4</v>
      </c>
      <c r="E368" t="s">
        <v>25</v>
      </c>
      <c r="F368" t="s">
        <v>20</v>
      </c>
      <c r="G368" t="s">
        <v>21</v>
      </c>
      <c r="H368" t="s">
        <v>1117</v>
      </c>
    </row>
    <row r="369" spans="1:8" x14ac:dyDescent="0.25">
      <c r="A369" t="s">
        <v>1118</v>
      </c>
      <c r="B369" t="s">
        <v>1119</v>
      </c>
      <c r="C369" s="1">
        <v>46023.719768518517</v>
      </c>
      <c r="D369">
        <v>1852.59</v>
      </c>
      <c r="E369" t="s">
        <v>25</v>
      </c>
      <c r="F369" t="s">
        <v>20</v>
      </c>
      <c r="G369" t="s">
        <v>26</v>
      </c>
      <c r="H369" t="s">
        <v>1120</v>
      </c>
    </row>
    <row r="370" spans="1:8" x14ac:dyDescent="0.25">
      <c r="A370" t="s">
        <v>1121</v>
      </c>
      <c r="B370" t="s">
        <v>1122</v>
      </c>
      <c r="C370" s="1">
        <v>46024.784594907411</v>
      </c>
      <c r="D370">
        <v>307.02999999999997</v>
      </c>
      <c r="E370" t="s">
        <v>25</v>
      </c>
      <c r="F370" t="s">
        <v>20</v>
      </c>
      <c r="G370" t="s">
        <v>30</v>
      </c>
      <c r="H370" t="s">
        <v>1123</v>
      </c>
    </row>
    <row r="371" spans="1:8" x14ac:dyDescent="0.25">
      <c r="A371" t="s">
        <v>1124</v>
      </c>
      <c r="B371" t="s">
        <v>1125</v>
      </c>
      <c r="C371" s="1">
        <v>46025.901956018519</v>
      </c>
      <c r="D371">
        <v>1279.97</v>
      </c>
      <c r="E371" t="s">
        <v>25</v>
      </c>
      <c r="F371" t="s">
        <v>92</v>
      </c>
      <c r="G371" t="s">
        <v>21</v>
      </c>
      <c r="H371" t="s">
        <v>1126</v>
      </c>
    </row>
    <row r="372" spans="1:8" x14ac:dyDescent="0.25">
      <c r="A372" t="s">
        <v>1127</v>
      </c>
      <c r="B372" t="s">
        <v>1128</v>
      </c>
      <c r="C372" s="1">
        <v>46026.994756944441</v>
      </c>
      <c r="D372">
        <v>1354.32</v>
      </c>
      <c r="E372" t="s">
        <v>25</v>
      </c>
      <c r="F372" t="s">
        <v>20</v>
      </c>
      <c r="G372" t="s">
        <v>26</v>
      </c>
      <c r="H372" t="s">
        <v>1129</v>
      </c>
    </row>
    <row r="373" spans="1:8" x14ac:dyDescent="0.25">
      <c r="A373" t="s">
        <v>1130</v>
      </c>
      <c r="B373" t="s">
        <v>1131</v>
      </c>
      <c r="C373" s="1">
        <v>46028.052222222221</v>
      </c>
      <c r="D373">
        <v>1064.79</v>
      </c>
      <c r="E373" t="s">
        <v>25</v>
      </c>
      <c r="F373" t="s">
        <v>20</v>
      </c>
      <c r="G373" t="s">
        <v>30</v>
      </c>
      <c r="H373" t="s">
        <v>1132</v>
      </c>
    </row>
    <row r="374" spans="1:8" x14ac:dyDescent="0.25">
      <c r="A374" t="s">
        <v>1133</v>
      </c>
      <c r="B374" t="s">
        <v>1134</v>
      </c>
      <c r="C374" s="1">
        <v>46029.157743055555</v>
      </c>
      <c r="D374">
        <v>347.85</v>
      </c>
      <c r="E374" t="s">
        <v>52</v>
      </c>
      <c r="F374" t="s">
        <v>20</v>
      </c>
      <c r="G374" t="s">
        <v>21</v>
      </c>
      <c r="H374" t="s">
        <v>1135</v>
      </c>
    </row>
    <row r="375" spans="1:8" x14ac:dyDescent="0.25">
      <c r="A375" t="s">
        <v>1136</v>
      </c>
      <c r="B375" t="s">
        <v>1137</v>
      </c>
      <c r="C375" s="1">
        <v>46029.266793981478</v>
      </c>
      <c r="D375">
        <v>236</v>
      </c>
      <c r="E375" t="s">
        <v>19</v>
      </c>
      <c r="F375" t="s">
        <v>20</v>
      </c>
      <c r="G375" t="s">
        <v>26</v>
      </c>
      <c r="H375" t="s">
        <v>1138</v>
      </c>
    </row>
    <row r="376" spans="1:8" x14ac:dyDescent="0.25">
      <c r="A376" t="s">
        <v>1139</v>
      </c>
      <c r="B376" t="s">
        <v>1140</v>
      </c>
      <c r="C376" s="1">
        <v>46030.344027777777</v>
      </c>
      <c r="D376">
        <v>1615.31</v>
      </c>
      <c r="E376" t="s">
        <v>25</v>
      </c>
      <c r="F376" t="s">
        <v>20</v>
      </c>
      <c r="G376" t="s">
        <v>30</v>
      </c>
      <c r="H376" t="s">
        <v>1141</v>
      </c>
    </row>
    <row r="377" spans="1:8" x14ac:dyDescent="0.25">
      <c r="A377" t="s">
        <v>1142</v>
      </c>
      <c r="B377" t="s">
        <v>1143</v>
      </c>
      <c r="C377" s="1">
        <v>46031.420104166667</v>
      </c>
      <c r="D377">
        <v>2307.9</v>
      </c>
      <c r="E377" t="s">
        <v>25</v>
      </c>
      <c r="F377" t="s">
        <v>20</v>
      </c>
      <c r="G377" t="s">
        <v>21</v>
      </c>
      <c r="H377" t="s">
        <v>1144</v>
      </c>
    </row>
    <row r="378" spans="1:8" x14ac:dyDescent="0.25">
      <c r="A378" t="s">
        <v>1145</v>
      </c>
      <c r="B378" t="s">
        <v>1146</v>
      </c>
      <c r="C378" s="1">
        <v>46032.515625</v>
      </c>
      <c r="D378">
        <v>1852.64</v>
      </c>
      <c r="E378" t="s">
        <v>25</v>
      </c>
      <c r="F378" t="s">
        <v>20</v>
      </c>
      <c r="G378" t="s">
        <v>26</v>
      </c>
      <c r="H378" t="s">
        <v>1147</v>
      </c>
    </row>
    <row r="379" spans="1:8" x14ac:dyDescent="0.25">
      <c r="A379" t="s">
        <v>1148</v>
      </c>
      <c r="B379" t="s">
        <v>1149</v>
      </c>
      <c r="C379" s="1">
        <v>46033.601469907408</v>
      </c>
      <c r="D379">
        <v>1994.5</v>
      </c>
      <c r="E379" t="s">
        <v>25</v>
      </c>
      <c r="F379" t="s">
        <v>20</v>
      </c>
      <c r="G379" t="s">
        <v>30</v>
      </c>
      <c r="H379" t="s">
        <v>1150</v>
      </c>
    </row>
    <row r="380" spans="1:8" x14ac:dyDescent="0.25">
      <c r="A380" t="s">
        <v>1151</v>
      </c>
      <c r="B380" t="s">
        <v>1152</v>
      </c>
      <c r="C380" s="1">
        <v>46034.701493055552</v>
      </c>
      <c r="D380">
        <v>1197.72</v>
      </c>
      <c r="E380" t="s">
        <v>25</v>
      </c>
      <c r="F380" t="s">
        <v>20</v>
      </c>
      <c r="G380" t="s">
        <v>21</v>
      </c>
      <c r="H380" t="s">
        <v>1153</v>
      </c>
    </row>
    <row r="381" spans="1:8" x14ac:dyDescent="0.25">
      <c r="A381" t="s">
        <v>1154</v>
      </c>
      <c r="B381" t="s">
        <v>1155</v>
      </c>
      <c r="C381" s="1">
        <v>46035.803796296299</v>
      </c>
      <c r="D381">
        <v>1794.02</v>
      </c>
      <c r="E381" t="s">
        <v>25</v>
      </c>
      <c r="F381" t="s">
        <v>20</v>
      </c>
      <c r="G381" t="s">
        <v>26</v>
      </c>
      <c r="H381" t="s">
        <v>1156</v>
      </c>
    </row>
    <row r="382" spans="1:8" x14ac:dyDescent="0.25">
      <c r="A382" t="s">
        <v>1157</v>
      </c>
      <c r="B382" t="s">
        <v>1158</v>
      </c>
      <c r="C382" s="1">
        <v>46036.883379629631</v>
      </c>
      <c r="D382">
        <v>2300.46</v>
      </c>
      <c r="E382" t="s">
        <v>25</v>
      </c>
      <c r="F382" t="s">
        <v>20</v>
      </c>
      <c r="G382" t="s">
        <v>30</v>
      </c>
      <c r="H382" t="s">
        <v>1159</v>
      </c>
    </row>
    <row r="383" spans="1:8" x14ac:dyDescent="0.25">
      <c r="A383" t="s">
        <v>1160</v>
      </c>
      <c r="B383" t="s">
        <v>1161</v>
      </c>
      <c r="C383" s="1">
        <v>46023.979305555556</v>
      </c>
      <c r="D383">
        <v>771.88</v>
      </c>
      <c r="E383" t="s">
        <v>25</v>
      </c>
      <c r="F383" t="s">
        <v>20</v>
      </c>
      <c r="G383" t="s">
        <v>21</v>
      </c>
      <c r="H383" t="s">
        <v>1162</v>
      </c>
    </row>
    <row r="384" spans="1:8" x14ac:dyDescent="0.25">
      <c r="A384" t="s">
        <v>1163</v>
      </c>
      <c r="B384" t="s">
        <v>1164</v>
      </c>
      <c r="C384" s="1">
        <v>46025.063113425924</v>
      </c>
      <c r="D384">
        <v>69.66</v>
      </c>
      <c r="E384" t="s">
        <v>52</v>
      </c>
      <c r="F384" t="s">
        <v>20</v>
      </c>
      <c r="G384" t="s">
        <v>26</v>
      </c>
      <c r="H384" t="s">
        <v>1165</v>
      </c>
    </row>
    <row r="385" spans="1:8" x14ac:dyDescent="0.25">
      <c r="A385" t="s">
        <v>1166</v>
      </c>
      <c r="B385" t="s">
        <v>1167</v>
      </c>
      <c r="C385" s="1">
        <v>46026.178159722222</v>
      </c>
      <c r="D385">
        <v>837.41</v>
      </c>
      <c r="E385" t="s">
        <v>19</v>
      </c>
      <c r="F385" t="s">
        <v>20</v>
      </c>
      <c r="G385" t="s">
        <v>30</v>
      </c>
      <c r="H385" t="s">
        <v>1168</v>
      </c>
    </row>
    <row r="386" spans="1:8" x14ac:dyDescent="0.25">
      <c r="A386" t="s">
        <v>1169</v>
      </c>
      <c r="B386" t="s">
        <v>1170</v>
      </c>
      <c r="C386" s="1">
        <v>46026.276064814818</v>
      </c>
      <c r="D386">
        <v>1695.16</v>
      </c>
      <c r="E386" t="s">
        <v>25</v>
      </c>
      <c r="F386" t="s">
        <v>92</v>
      </c>
      <c r="G386" t="s">
        <v>21</v>
      </c>
      <c r="H386" t="s">
        <v>1171</v>
      </c>
    </row>
    <row r="387" spans="1:8" x14ac:dyDescent="0.25">
      <c r="A387" t="s">
        <v>1172</v>
      </c>
      <c r="B387" t="s">
        <v>1173</v>
      </c>
      <c r="C387" s="1">
        <v>46027.36515046296</v>
      </c>
      <c r="D387">
        <v>2305.9</v>
      </c>
      <c r="E387" t="s">
        <v>25</v>
      </c>
      <c r="F387" t="s">
        <v>20</v>
      </c>
      <c r="G387" t="s">
        <v>26</v>
      </c>
      <c r="H387" t="s">
        <v>1174</v>
      </c>
    </row>
    <row r="388" spans="1:8" x14ac:dyDescent="0.25">
      <c r="A388" t="s">
        <v>1175</v>
      </c>
      <c r="B388" t="s">
        <v>1176</v>
      </c>
      <c r="C388" s="1">
        <v>46028.434791666667</v>
      </c>
      <c r="D388">
        <v>2390.87</v>
      </c>
      <c r="E388" t="s">
        <v>25</v>
      </c>
      <c r="F388" t="s">
        <v>20</v>
      </c>
      <c r="G388" t="s">
        <v>30</v>
      </c>
      <c r="H388" t="s">
        <v>1177</v>
      </c>
    </row>
    <row r="389" spans="1:8" x14ac:dyDescent="0.25">
      <c r="A389" t="s">
        <v>1178</v>
      </c>
      <c r="B389" t="s">
        <v>1179</v>
      </c>
      <c r="C389" s="1">
        <v>46029.533622685187</v>
      </c>
      <c r="D389">
        <v>1039.07</v>
      </c>
      <c r="E389" t="s">
        <v>25</v>
      </c>
      <c r="F389" t="s">
        <v>20</v>
      </c>
      <c r="G389" t="s">
        <v>21</v>
      </c>
      <c r="H389" t="s">
        <v>1180</v>
      </c>
    </row>
    <row r="390" spans="1:8" x14ac:dyDescent="0.25">
      <c r="A390" t="s">
        <v>1181</v>
      </c>
      <c r="B390" t="s">
        <v>1182</v>
      </c>
      <c r="C390" s="1">
        <v>46030.637754629628</v>
      </c>
      <c r="D390">
        <v>276.97000000000003</v>
      </c>
      <c r="E390" t="s">
        <v>25</v>
      </c>
      <c r="F390" t="s">
        <v>20</v>
      </c>
      <c r="G390" t="s">
        <v>26</v>
      </c>
      <c r="H390" t="s">
        <v>1183</v>
      </c>
    </row>
    <row r="391" spans="1:8" x14ac:dyDescent="0.25">
      <c r="A391" t="s">
        <v>1184</v>
      </c>
      <c r="B391" t="s">
        <v>1185</v>
      </c>
      <c r="C391" s="1">
        <v>46031.702835648146</v>
      </c>
      <c r="D391">
        <v>2373.16</v>
      </c>
      <c r="E391" t="s">
        <v>25</v>
      </c>
      <c r="F391" t="s">
        <v>20</v>
      </c>
      <c r="G391" t="s">
        <v>30</v>
      </c>
      <c r="H391" t="s">
        <v>1186</v>
      </c>
    </row>
    <row r="392" spans="1:8" x14ac:dyDescent="0.25">
      <c r="A392" t="s">
        <v>1187</v>
      </c>
      <c r="B392" t="s">
        <v>1188</v>
      </c>
      <c r="C392" s="1">
        <v>46032.816840277781</v>
      </c>
      <c r="D392">
        <v>1141.77</v>
      </c>
      <c r="E392" t="s">
        <v>25</v>
      </c>
      <c r="F392" t="s">
        <v>20</v>
      </c>
      <c r="G392" t="s">
        <v>21</v>
      </c>
      <c r="H392" t="s">
        <v>1189</v>
      </c>
    </row>
    <row r="393" spans="1:8" x14ac:dyDescent="0.25">
      <c r="A393" t="s">
        <v>1190</v>
      </c>
      <c r="B393" t="s">
        <v>1191</v>
      </c>
      <c r="C393" s="1">
        <v>46033.902627314812</v>
      </c>
      <c r="D393">
        <v>1995.24</v>
      </c>
      <c r="E393" t="s">
        <v>25</v>
      </c>
      <c r="F393" t="s">
        <v>20</v>
      </c>
      <c r="G393" t="s">
        <v>26</v>
      </c>
      <c r="H393" t="s">
        <v>1192</v>
      </c>
    </row>
    <row r="394" spans="1:8" x14ac:dyDescent="0.25">
      <c r="A394" t="s">
        <v>1193</v>
      </c>
      <c r="B394" t="s">
        <v>1194</v>
      </c>
      <c r="C394" s="1">
        <v>46034.975231481483</v>
      </c>
      <c r="D394">
        <v>533.07000000000005</v>
      </c>
      <c r="E394" t="s">
        <v>52</v>
      </c>
      <c r="F394" t="s">
        <v>20</v>
      </c>
      <c r="G394" t="s">
        <v>30</v>
      </c>
      <c r="H394" t="s">
        <v>1195</v>
      </c>
    </row>
    <row r="395" spans="1:8" x14ac:dyDescent="0.25">
      <c r="A395" t="s">
        <v>1196</v>
      </c>
      <c r="B395" t="s">
        <v>1197</v>
      </c>
      <c r="C395" s="1">
        <v>46036.070775462962</v>
      </c>
      <c r="D395">
        <v>804.62</v>
      </c>
      <c r="E395" t="s">
        <v>19</v>
      </c>
      <c r="F395" t="s">
        <v>20</v>
      </c>
      <c r="G395" t="s">
        <v>21</v>
      </c>
      <c r="H395" t="s">
        <v>1198</v>
      </c>
    </row>
    <row r="396" spans="1:8" x14ac:dyDescent="0.25">
      <c r="A396" t="s">
        <v>1199</v>
      </c>
      <c r="B396" t="s">
        <v>1200</v>
      </c>
      <c r="C396" s="1">
        <v>46037.193414351852</v>
      </c>
      <c r="D396">
        <v>1488.85</v>
      </c>
      <c r="E396" t="s">
        <v>25</v>
      </c>
      <c r="F396" t="s">
        <v>20</v>
      </c>
      <c r="G396" t="s">
        <v>26</v>
      </c>
      <c r="H396" t="s">
        <v>1201</v>
      </c>
    </row>
    <row r="397" spans="1:8" x14ac:dyDescent="0.25">
      <c r="A397" t="s">
        <v>1202</v>
      </c>
      <c r="B397" t="s">
        <v>1203</v>
      </c>
      <c r="C397" s="1">
        <v>46023.262291666666</v>
      </c>
      <c r="D397">
        <v>498.35</v>
      </c>
      <c r="E397" t="s">
        <v>25</v>
      </c>
      <c r="F397" t="s">
        <v>20</v>
      </c>
      <c r="G397" t="s">
        <v>30</v>
      </c>
      <c r="H397" t="s">
        <v>1204</v>
      </c>
    </row>
    <row r="398" spans="1:8" x14ac:dyDescent="0.25">
      <c r="A398" t="s">
        <v>1205</v>
      </c>
      <c r="B398" t="s">
        <v>1206</v>
      </c>
      <c r="C398" s="1">
        <v>46024.357719907406</v>
      </c>
      <c r="D398">
        <v>1055.67</v>
      </c>
      <c r="E398" t="s">
        <v>25</v>
      </c>
      <c r="F398" t="s">
        <v>20</v>
      </c>
      <c r="G398" t="s">
        <v>21</v>
      </c>
      <c r="H398" t="s">
        <v>1207</v>
      </c>
    </row>
    <row r="399" spans="1:8" x14ac:dyDescent="0.25">
      <c r="A399" t="s">
        <v>1208</v>
      </c>
      <c r="B399" t="s">
        <v>1209</v>
      </c>
      <c r="C399" s="1">
        <v>46025.448750000003</v>
      </c>
      <c r="D399">
        <v>2364.77</v>
      </c>
      <c r="E399" t="s">
        <v>25</v>
      </c>
      <c r="F399" t="s">
        <v>20</v>
      </c>
      <c r="G399" t="s">
        <v>26</v>
      </c>
      <c r="H399" t="s">
        <v>1210</v>
      </c>
    </row>
    <row r="400" spans="1:8" x14ac:dyDescent="0.25">
      <c r="A400" t="s">
        <v>1211</v>
      </c>
      <c r="B400" t="s">
        <v>1212</v>
      </c>
      <c r="C400" s="1">
        <v>46026.525752314818</v>
      </c>
      <c r="D400">
        <v>1056.45</v>
      </c>
      <c r="E400" t="s">
        <v>25</v>
      </c>
      <c r="F400" t="s">
        <v>20</v>
      </c>
      <c r="G400" t="s">
        <v>30</v>
      </c>
      <c r="H400" t="s">
        <v>1213</v>
      </c>
    </row>
    <row r="401" spans="1:8" x14ac:dyDescent="0.25">
      <c r="A401" t="s">
        <v>1211</v>
      </c>
      <c r="B401" t="s">
        <v>1212</v>
      </c>
      <c r="C401" s="1">
        <v>46026.525752314818</v>
      </c>
      <c r="D401">
        <v>1056.45</v>
      </c>
      <c r="E401" t="s">
        <v>25</v>
      </c>
      <c r="F401" t="s">
        <v>20</v>
      </c>
      <c r="G401" t="s">
        <v>30</v>
      </c>
      <c r="H401" t="s">
        <v>1213</v>
      </c>
    </row>
    <row r="402" spans="1:8" x14ac:dyDescent="0.25">
      <c r="A402" t="s">
        <v>1214</v>
      </c>
      <c r="B402" t="s">
        <v>1215</v>
      </c>
      <c r="C402" s="1">
        <v>46027.657037037039</v>
      </c>
      <c r="D402">
        <v>20.72</v>
      </c>
      <c r="E402" t="s">
        <v>25</v>
      </c>
      <c r="F402" t="s">
        <v>20</v>
      </c>
      <c r="G402" t="s">
        <v>21</v>
      </c>
      <c r="H402" t="s">
        <v>1216</v>
      </c>
    </row>
    <row r="403" spans="1:8" x14ac:dyDescent="0.25">
      <c r="A403" t="s">
        <v>1217</v>
      </c>
      <c r="B403" t="s">
        <v>1218</v>
      </c>
      <c r="C403" s="1">
        <v>46028.721724537034</v>
      </c>
      <c r="D403">
        <v>1134.6099999999999</v>
      </c>
      <c r="E403" t="s">
        <v>25</v>
      </c>
      <c r="F403" t="s">
        <v>20</v>
      </c>
      <c r="G403" t="s">
        <v>26</v>
      </c>
      <c r="H403" t="s">
        <v>1219</v>
      </c>
    </row>
    <row r="404" spans="1:8" x14ac:dyDescent="0.25">
      <c r="A404" t="s">
        <v>1220</v>
      </c>
      <c r="B404" t="s">
        <v>1221</v>
      </c>
      <c r="C404" s="1">
        <v>46029.83185185185</v>
      </c>
      <c r="D404">
        <v>1377.91</v>
      </c>
      <c r="E404" t="s">
        <v>25</v>
      </c>
      <c r="F404" t="s">
        <v>20</v>
      </c>
      <c r="G404" t="s">
        <v>30</v>
      </c>
      <c r="H404" t="s">
        <v>1222</v>
      </c>
    </row>
    <row r="405" spans="1:8" x14ac:dyDescent="0.25">
      <c r="A405" t="s">
        <v>1223</v>
      </c>
      <c r="B405" t="s">
        <v>1224</v>
      </c>
      <c r="C405" s="1">
        <v>46030.924305555556</v>
      </c>
      <c r="D405">
        <v>84.97</v>
      </c>
      <c r="E405" t="s">
        <v>52</v>
      </c>
      <c r="F405" t="s">
        <v>92</v>
      </c>
      <c r="G405" t="s">
        <v>21</v>
      </c>
      <c r="H405" t="s">
        <v>1225</v>
      </c>
    </row>
    <row r="406" spans="1:8" x14ac:dyDescent="0.25">
      <c r="A406" t="s">
        <v>1226</v>
      </c>
      <c r="B406" t="s">
        <v>1227</v>
      </c>
      <c r="C406" s="1">
        <v>46032.008425925924</v>
      </c>
      <c r="D406">
        <v>842.79</v>
      </c>
      <c r="E406" t="s">
        <v>19</v>
      </c>
      <c r="F406" t="s">
        <v>20</v>
      </c>
      <c r="G406" t="s">
        <v>26</v>
      </c>
      <c r="H406" t="s">
        <v>1228</v>
      </c>
    </row>
    <row r="407" spans="1:8" x14ac:dyDescent="0.25">
      <c r="A407" t="s">
        <v>1229</v>
      </c>
      <c r="B407" t="s">
        <v>1230</v>
      </c>
      <c r="C407" s="1">
        <v>46033.09171296296</v>
      </c>
      <c r="D407">
        <v>1265.6099999999999</v>
      </c>
      <c r="E407" t="s">
        <v>25</v>
      </c>
      <c r="F407" t="s">
        <v>20</v>
      </c>
      <c r="G407" t="s">
        <v>30</v>
      </c>
      <c r="H407" t="s">
        <v>1231</v>
      </c>
    </row>
    <row r="408" spans="1:8" x14ac:dyDescent="0.25">
      <c r="A408" t="s">
        <v>1232</v>
      </c>
      <c r="B408" t="s">
        <v>1233</v>
      </c>
      <c r="C408" s="1">
        <v>46034.186412037037</v>
      </c>
      <c r="D408">
        <v>908.71</v>
      </c>
      <c r="E408" t="s">
        <v>25</v>
      </c>
      <c r="F408" t="s">
        <v>20</v>
      </c>
      <c r="G408" t="s">
        <v>21</v>
      </c>
      <c r="H408" t="s">
        <v>1234</v>
      </c>
    </row>
    <row r="409" spans="1:8" x14ac:dyDescent="0.25">
      <c r="A409" t="s">
        <v>1235</v>
      </c>
      <c r="B409" t="s">
        <v>1236</v>
      </c>
      <c r="C409" s="1">
        <v>46034.274189814816</v>
      </c>
      <c r="D409">
        <v>2174.16</v>
      </c>
      <c r="E409" t="s">
        <v>25</v>
      </c>
      <c r="F409" t="s">
        <v>20</v>
      </c>
      <c r="G409" t="s">
        <v>26</v>
      </c>
      <c r="H409" t="s">
        <v>1237</v>
      </c>
    </row>
    <row r="410" spans="1:8" x14ac:dyDescent="0.25">
      <c r="A410" t="s">
        <v>1238</v>
      </c>
      <c r="B410" t="s">
        <v>1239</v>
      </c>
      <c r="C410" s="1">
        <v>46035.362349537034</v>
      </c>
      <c r="D410">
        <v>768.12</v>
      </c>
      <c r="E410" t="s">
        <v>25</v>
      </c>
      <c r="F410" t="s">
        <v>20</v>
      </c>
      <c r="G410" t="s">
        <v>30</v>
      </c>
      <c r="H410" t="s">
        <v>1240</v>
      </c>
    </row>
    <row r="411" spans="1:8" x14ac:dyDescent="0.25">
      <c r="A411" t="s">
        <v>1241</v>
      </c>
      <c r="B411" t="s">
        <v>1242</v>
      </c>
      <c r="C411" s="1">
        <v>46036.45107638889</v>
      </c>
      <c r="D411">
        <v>48.65</v>
      </c>
      <c r="E411" t="s">
        <v>25</v>
      </c>
      <c r="F411" t="s">
        <v>20</v>
      </c>
      <c r="G411" t="s">
        <v>21</v>
      </c>
      <c r="H411" t="s">
        <v>1243</v>
      </c>
    </row>
    <row r="412" spans="1:8" x14ac:dyDescent="0.25">
      <c r="A412" t="s">
        <v>1244</v>
      </c>
      <c r="B412" t="s">
        <v>1245</v>
      </c>
      <c r="C412" s="1">
        <v>46023.535162037035</v>
      </c>
      <c r="D412">
        <v>1830.48</v>
      </c>
      <c r="E412" t="s">
        <v>25</v>
      </c>
      <c r="F412" t="s">
        <v>20</v>
      </c>
      <c r="G412" t="s">
        <v>26</v>
      </c>
      <c r="H412" t="s">
        <v>1246</v>
      </c>
    </row>
    <row r="413" spans="1:8" x14ac:dyDescent="0.25">
      <c r="A413" t="s">
        <v>1247</v>
      </c>
      <c r="B413" t="s">
        <v>1248</v>
      </c>
      <c r="C413" s="1">
        <v>46024.624502314815</v>
      </c>
      <c r="D413">
        <v>2431.4299999999998</v>
      </c>
      <c r="E413" t="s">
        <v>25</v>
      </c>
      <c r="F413" t="s">
        <v>20</v>
      </c>
      <c r="G413" t="s">
        <v>30</v>
      </c>
      <c r="H413" t="s">
        <v>1249</v>
      </c>
    </row>
    <row r="414" spans="1:8" x14ac:dyDescent="0.25">
      <c r="A414" t="s">
        <v>1250</v>
      </c>
      <c r="B414" t="s">
        <v>1251</v>
      </c>
      <c r="C414" s="1">
        <v>46025.733182870368</v>
      </c>
      <c r="D414">
        <v>317.68</v>
      </c>
      <c r="E414" t="s">
        <v>25</v>
      </c>
      <c r="F414" t="s">
        <v>20</v>
      </c>
      <c r="G414" t="s">
        <v>21</v>
      </c>
      <c r="H414" t="s">
        <v>1252</v>
      </c>
    </row>
    <row r="415" spans="1:8" x14ac:dyDescent="0.25">
      <c r="A415" t="s">
        <v>1253</v>
      </c>
      <c r="B415" t="s">
        <v>1254</v>
      </c>
      <c r="C415" s="1">
        <v>46026.814965277779</v>
      </c>
      <c r="D415">
        <v>611.23</v>
      </c>
      <c r="E415" t="s">
        <v>52</v>
      </c>
      <c r="F415" t="s">
        <v>20</v>
      </c>
      <c r="G415" t="s">
        <v>26</v>
      </c>
      <c r="H415" t="s">
        <v>1255</v>
      </c>
    </row>
    <row r="416" spans="1:8" x14ac:dyDescent="0.25">
      <c r="A416" t="s">
        <v>1256</v>
      </c>
      <c r="B416" t="s">
        <v>1257</v>
      </c>
      <c r="C416" s="1">
        <v>46027.928657407407</v>
      </c>
      <c r="D416">
        <v>805.49</v>
      </c>
      <c r="E416" t="s">
        <v>19</v>
      </c>
      <c r="F416" t="s">
        <v>20</v>
      </c>
      <c r="G416" t="s">
        <v>30</v>
      </c>
      <c r="H416" t="s">
        <v>1258</v>
      </c>
    </row>
    <row r="417" spans="1:8" x14ac:dyDescent="0.25">
      <c r="A417" t="s">
        <v>1259</v>
      </c>
      <c r="B417" t="s">
        <v>1260</v>
      </c>
      <c r="C417" s="1">
        <v>46029.032407407409</v>
      </c>
      <c r="D417">
        <v>773.75</v>
      </c>
      <c r="E417" t="s">
        <v>25</v>
      </c>
      <c r="F417" t="s">
        <v>20</v>
      </c>
      <c r="G417" t="s">
        <v>21</v>
      </c>
      <c r="H417" t="s">
        <v>1261</v>
      </c>
    </row>
    <row r="418" spans="1:8" x14ac:dyDescent="0.25">
      <c r="A418" t="s">
        <v>1262</v>
      </c>
      <c r="B418" t="s">
        <v>1263</v>
      </c>
      <c r="C418" s="1">
        <v>46030.101076388892</v>
      </c>
      <c r="D418">
        <v>1027.02</v>
      </c>
      <c r="E418" t="s">
        <v>25</v>
      </c>
      <c r="F418" t="s">
        <v>20</v>
      </c>
      <c r="G418" t="s">
        <v>26</v>
      </c>
      <c r="H418" t="s">
        <v>1264</v>
      </c>
    </row>
    <row r="419" spans="1:8" x14ac:dyDescent="0.25">
      <c r="A419" t="s">
        <v>1265</v>
      </c>
      <c r="B419" t="s">
        <v>1266</v>
      </c>
      <c r="C419" s="1">
        <v>46031.185150462959</v>
      </c>
      <c r="D419">
        <v>454.34</v>
      </c>
      <c r="E419" t="s">
        <v>25</v>
      </c>
      <c r="F419" t="s">
        <v>20</v>
      </c>
      <c r="G419" t="s">
        <v>30</v>
      </c>
      <c r="H419" t="s">
        <v>1267</v>
      </c>
    </row>
    <row r="420" spans="1:8" x14ac:dyDescent="0.25">
      <c r="A420" t="s">
        <v>1268</v>
      </c>
      <c r="B420" t="s">
        <v>1269</v>
      </c>
      <c r="C420" s="1">
        <v>46031.267280092594</v>
      </c>
      <c r="D420">
        <v>1572.78</v>
      </c>
      <c r="E420" t="s">
        <v>25</v>
      </c>
      <c r="F420" t="s">
        <v>20</v>
      </c>
      <c r="G420" t="s">
        <v>21</v>
      </c>
      <c r="H420" t="s">
        <v>1270</v>
      </c>
    </row>
    <row r="421" spans="1:8" x14ac:dyDescent="0.25">
      <c r="A421" t="s">
        <v>1271</v>
      </c>
      <c r="B421" t="s">
        <v>1272</v>
      </c>
      <c r="C421" s="1">
        <v>46032.3674537037</v>
      </c>
      <c r="D421">
        <v>157.30000000000001</v>
      </c>
      <c r="E421" t="s">
        <v>25</v>
      </c>
      <c r="F421" t="s">
        <v>20</v>
      </c>
      <c r="G421" t="s">
        <v>26</v>
      </c>
      <c r="H421" t="s">
        <v>1273</v>
      </c>
    </row>
    <row r="422" spans="1:8" x14ac:dyDescent="0.25">
      <c r="A422" t="s">
        <v>1274</v>
      </c>
      <c r="B422" t="s">
        <v>1275</v>
      </c>
      <c r="C422" s="1">
        <v>46033.482708333337</v>
      </c>
      <c r="D422">
        <v>1890.06</v>
      </c>
      <c r="E422" t="s">
        <v>25</v>
      </c>
      <c r="F422" t="s">
        <v>20</v>
      </c>
      <c r="G422" t="s">
        <v>30</v>
      </c>
      <c r="H422" t="s">
        <v>1276</v>
      </c>
    </row>
    <row r="423" spans="1:8" x14ac:dyDescent="0.25">
      <c r="A423" t="s">
        <v>1277</v>
      </c>
      <c r="B423" t="s">
        <v>1278</v>
      </c>
      <c r="C423" s="1">
        <v>46034.542175925926</v>
      </c>
      <c r="D423">
        <v>2138.48</v>
      </c>
      <c r="E423" t="s">
        <v>25</v>
      </c>
      <c r="F423" t="s">
        <v>20</v>
      </c>
      <c r="G423" t="s">
        <v>21</v>
      </c>
      <c r="H423" t="s">
        <v>1279</v>
      </c>
    </row>
    <row r="424" spans="1:8" x14ac:dyDescent="0.25">
      <c r="A424" t="s">
        <v>1280</v>
      </c>
      <c r="B424" t="s">
        <v>1281</v>
      </c>
      <c r="C424" s="1">
        <v>46035.64266203704</v>
      </c>
      <c r="D424">
        <v>1578.53</v>
      </c>
      <c r="E424" t="s">
        <v>25</v>
      </c>
      <c r="F424" t="s">
        <v>20</v>
      </c>
      <c r="G424" t="s">
        <v>26</v>
      </c>
      <c r="H424" t="s">
        <v>1282</v>
      </c>
    </row>
    <row r="425" spans="1:8" x14ac:dyDescent="0.25">
      <c r="A425" t="s">
        <v>1283</v>
      </c>
      <c r="B425" t="s">
        <v>1284</v>
      </c>
      <c r="C425" s="1">
        <v>46036.740763888891</v>
      </c>
      <c r="D425">
        <v>937.27</v>
      </c>
      <c r="E425" t="s">
        <v>52</v>
      </c>
      <c r="F425" t="s">
        <v>20</v>
      </c>
      <c r="G425" t="s">
        <v>30</v>
      </c>
      <c r="H425" t="s">
        <v>1285</v>
      </c>
    </row>
    <row r="426" spans="1:8" x14ac:dyDescent="0.25">
      <c r="A426" t="s">
        <v>1286</v>
      </c>
      <c r="B426" t="s">
        <v>1287</v>
      </c>
      <c r="C426" s="1">
        <v>46023.82267361111</v>
      </c>
      <c r="D426">
        <v>595.5</v>
      </c>
      <c r="E426" t="s">
        <v>19</v>
      </c>
      <c r="F426" t="s">
        <v>20</v>
      </c>
      <c r="G426" t="s">
        <v>21</v>
      </c>
      <c r="H426" t="s">
        <v>1288</v>
      </c>
    </row>
    <row r="427" spans="1:8" x14ac:dyDescent="0.25">
      <c r="A427" t="s">
        <v>1289</v>
      </c>
      <c r="B427" t="s">
        <v>1290</v>
      </c>
      <c r="C427" s="1">
        <v>46024.928506944445</v>
      </c>
      <c r="D427">
        <v>1001.59</v>
      </c>
      <c r="E427" t="s">
        <v>25</v>
      </c>
      <c r="F427" t="s">
        <v>20</v>
      </c>
      <c r="G427" t="s">
        <v>26</v>
      </c>
      <c r="H427" t="s">
        <v>1291</v>
      </c>
    </row>
    <row r="428" spans="1:8" x14ac:dyDescent="0.25">
      <c r="A428" t="s">
        <v>1292</v>
      </c>
      <c r="B428" t="s">
        <v>1293</v>
      </c>
      <c r="C428" s="1">
        <v>46026.014930555553</v>
      </c>
      <c r="D428">
        <v>395.55</v>
      </c>
      <c r="E428" t="s">
        <v>25</v>
      </c>
      <c r="F428" t="s">
        <v>20</v>
      </c>
      <c r="G428" t="s">
        <v>30</v>
      </c>
      <c r="H428" t="s">
        <v>1294</v>
      </c>
    </row>
    <row r="429" spans="1:8" x14ac:dyDescent="0.25">
      <c r="A429" t="s">
        <v>1295</v>
      </c>
      <c r="B429" t="s">
        <v>1296</v>
      </c>
      <c r="C429" s="1">
        <v>46027.094606481478</v>
      </c>
      <c r="D429">
        <v>1404.64</v>
      </c>
      <c r="E429" t="s">
        <v>25</v>
      </c>
      <c r="F429" t="s">
        <v>20</v>
      </c>
      <c r="G429" t="s">
        <v>21</v>
      </c>
      <c r="H429" t="s">
        <v>1297</v>
      </c>
    </row>
    <row r="430" spans="1:8" x14ac:dyDescent="0.25">
      <c r="A430" t="s">
        <v>1298</v>
      </c>
      <c r="B430" t="s">
        <v>1299</v>
      </c>
      <c r="C430" s="1">
        <v>46028.200439814813</v>
      </c>
      <c r="D430">
        <v>2033.45</v>
      </c>
      <c r="E430" t="s">
        <v>25</v>
      </c>
      <c r="F430" t="s">
        <v>20</v>
      </c>
      <c r="G430" t="s">
        <v>26</v>
      </c>
      <c r="H430" t="s">
        <v>1300</v>
      </c>
    </row>
    <row r="431" spans="1:8" x14ac:dyDescent="0.25">
      <c r="A431" t="s">
        <v>1301</v>
      </c>
      <c r="B431" t="s">
        <v>1302</v>
      </c>
      <c r="C431" s="1">
        <v>46028.293842592589</v>
      </c>
      <c r="D431">
        <v>1717.99</v>
      </c>
      <c r="E431" t="s">
        <v>25</v>
      </c>
      <c r="F431" t="s">
        <v>20</v>
      </c>
      <c r="G431" t="s">
        <v>30</v>
      </c>
      <c r="H431" t="s">
        <v>1303</v>
      </c>
    </row>
    <row r="432" spans="1:8" x14ac:dyDescent="0.25">
      <c r="A432" t="s">
        <v>1304</v>
      </c>
      <c r="B432" t="s">
        <v>1305</v>
      </c>
      <c r="C432" s="1">
        <v>46029.379340277781</v>
      </c>
      <c r="D432">
        <v>1222.3699999999999</v>
      </c>
      <c r="E432" t="s">
        <v>25</v>
      </c>
      <c r="F432" t="s">
        <v>20</v>
      </c>
      <c r="G432" t="s">
        <v>21</v>
      </c>
      <c r="H432" t="s">
        <v>1306</v>
      </c>
    </row>
    <row r="433" spans="1:8" x14ac:dyDescent="0.25">
      <c r="A433" t="s">
        <v>1307</v>
      </c>
      <c r="B433" t="s">
        <v>1308</v>
      </c>
      <c r="C433" s="1">
        <v>46030.498020833336</v>
      </c>
      <c r="D433">
        <v>921.96</v>
      </c>
      <c r="E433" t="s">
        <v>25</v>
      </c>
      <c r="F433" t="s">
        <v>20</v>
      </c>
      <c r="G433" t="s">
        <v>26</v>
      </c>
      <c r="H433" t="s">
        <v>1309</v>
      </c>
    </row>
    <row r="434" spans="1:8" x14ac:dyDescent="0.25">
      <c r="A434" t="s">
        <v>1310</v>
      </c>
      <c r="B434" t="s">
        <v>1311</v>
      </c>
      <c r="C434" s="1">
        <v>46031.549583333333</v>
      </c>
      <c r="D434">
        <v>1991.44</v>
      </c>
      <c r="E434" t="s">
        <v>25</v>
      </c>
      <c r="F434" t="s">
        <v>20</v>
      </c>
      <c r="G434" t="s">
        <v>30</v>
      </c>
      <c r="H434" t="s">
        <v>1312</v>
      </c>
    </row>
    <row r="435" spans="1:8" x14ac:dyDescent="0.25">
      <c r="A435" t="s">
        <v>1313</v>
      </c>
      <c r="B435" t="s">
        <v>1314</v>
      </c>
      <c r="C435" s="1">
        <v>46032.669976851852</v>
      </c>
      <c r="D435">
        <v>1821.97</v>
      </c>
      <c r="E435" t="s">
        <v>52</v>
      </c>
      <c r="F435" t="s">
        <v>20</v>
      </c>
      <c r="G435" t="s">
        <v>21</v>
      </c>
      <c r="H435" t="s">
        <v>1315</v>
      </c>
    </row>
    <row r="436" spans="1:8" x14ac:dyDescent="0.25">
      <c r="A436" t="s">
        <v>1316</v>
      </c>
      <c r="B436" t="s">
        <v>1317</v>
      </c>
      <c r="C436" s="1">
        <v>46033.767210648148</v>
      </c>
      <c r="D436">
        <v>1218.07</v>
      </c>
      <c r="E436" t="s">
        <v>19</v>
      </c>
      <c r="F436" t="s">
        <v>92</v>
      </c>
      <c r="G436" t="s">
        <v>26</v>
      </c>
      <c r="H436" t="s">
        <v>1318</v>
      </c>
    </row>
    <row r="437" spans="1:8" x14ac:dyDescent="0.25">
      <c r="A437" t="s">
        <v>1319</v>
      </c>
      <c r="B437" t="s">
        <v>1320</v>
      </c>
      <c r="C437" s="1">
        <v>46034.862881944442</v>
      </c>
      <c r="D437">
        <v>19.22</v>
      </c>
      <c r="E437" t="s">
        <v>25</v>
      </c>
      <c r="F437" t="s">
        <v>20</v>
      </c>
      <c r="G437" t="s">
        <v>30</v>
      </c>
      <c r="H437" t="s">
        <v>1321</v>
      </c>
    </row>
    <row r="438" spans="1:8" x14ac:dyDescent="0.25">
      <c r="A438" t="s">
        <v>1322</v>
      </c>
      <c r="B438" t="s">
        <v>1323</v>
      </c>
      <c r="C438" s="1">
        <v>46035.950787037036</v>
      </c>
      <c r="D438">
        <v>566.23</v>
      </c>
      <c r="E438" t="s">
        <v>25</v>
      </c>
      <c r="F438" t="s">
        <v>20</v>
      </c>
      <c r="G438" t="s">
        <v>21</v>
      </c>
      <c r="H438" t="s">
        <v>1324</v>
      </c>
    </row>
    <row r="439" spans="1:8" x14ac:dyDescent="0.25">
      <c r="A439" t="s">
        <v>1325</v>
      </c>
      <c r="B439" t="s">
        <v>1326</v>
      </c>
      <c r="C439" s="1">
        <v>46037.044664351852</v>
      </c>
      <c r="D439">
        <v>1576.75</v>
      </c>
      <c r="E439" t="s">
        <v>25</v>
      </c>
      <c r="F439" t="s">
        <v>20</v>
      </c>
      <c r="G439" t="s">
        <v>26</v>
      </c>
      <c r="H439" t="s">
        <v>1327</v>
      </c>
    </row>
    <row r="440" spans="1:8" x14ac:dyDescent="0.25">
      <c r="A440" t="s">
        <v>1328</v>
      </c>
      <c r="B440" t="s">
        <v>1329</v>
      </c>
      <c r="C440" s="1">
        <v>46024.139861111114</v>
      </c>
      <c r="D440">
        <v>1642.79</v>
      </c>
      <c r="E440" t="s">
        <v>25</v>
      </c>
      <c r="F440" t="s">
        <v>20</v>
      </c>
      <c r="G440" t="s">
        <v>30</v>
      </c>
      <c r="H440" t="s">
        <v>1330</v>
      </c>
    </row>
    <row r="441" spans="1:8" x14ac:dyDescent="0.25">
      <c r="A441" t="s">
        <v>1331</v>
      </c>
      <c r="B441" t="s">
        <v>1332</v>
      </c>
      <c r="C441" s="1">
        <v>46025.204317129632</v>
      </c>
      <c r="D441">
        <v>1600.98</v>
      </c>
      <c r="E441" t="s">
        <v>25</v>
      </c>
      <c r="F441" t="s">
        <v>20</v>
      </c>
      <c r="G441" t="s">
        <v>21</v>
      </c>
      <c r="H441" t="s">
        <v>1333</v>
      </c>
    </row>
    <row r="442" spans="1:8" x14ac:dyDescent="0.25">
      <c r="A442" t="s">
        <v>1334</v>
      </c>
      <c r="B442" t="s">
        <v>1335</v>
      </c>
      <c r="C442" s="1">
        <v>46025.312060185184</v>
      </c>
      <c r="D442">
        <v>1925.14</v>
      </c>
      <c r="E442" t="s">
        <v>25</v>
      </c>
      <c r="F442" t="s">
        <v>20</v>
      </c>
      <c r="G442" t="s">
        <v>26</v>
      </c>
      <c r="H442" t="s">
        <v>1336</v>
      </c>
    </row>
    <row r="443" spans="1:8" x14ac:dyDescent="0.25">
      <c r="A443" t="s">
        <v>1337</v>
      </c>
      <c r="B443" t="s">
        <v>1338</v>
      </c>
      <c r="C443" s="1">
        <v>46026.390057870369</v>
      </c>
      <c r="D443">
        <v>2374.63</v>
      </c>
      <c r="E443" t="s">
        <v>25</v>
      </c>
      <c r="F443" t="s">
        <v>20</v>
      </c>
      <c r="G443" t="s">
        <v>30</v>
      </c>
      <c r="H443" t="s">
        <v>1339</v>
      </c>
    </row>
    <row r="444" spans="1:8" x14ac:dyDescent="0.25">
      <c r="A444" t="s">
        <v>1340</v>
      </c>
      <c r="B444" t="s">
        <v>1341</v>
      </c>
      <c r="C444" s="1">
        <v>46027.489340277774</v>
      </c>
      <c r="D444">
        <v>822.81</v>
      </c>
      <c r="E444" t="s">
        <v>25</v>
      </c>
      <c r="F444" t="s">
        <v>429</v>
      </c>
      <c r="G444" t="s">
        <v>21</v>
      </c>
      <c r="H444" t="s">
        <v>1342</v>
      </c>
    </row>
    <row r="445" spans="1:8" x14ac:dyDescent="0.25">
      <c r="A445" t="s">
        <v>1343</v>
      </c>
      <c r="B445" t="s">
        <v>1344</v>
      </c>
      <c r="C445" s="1">
        <v>46028.585821759261</v>
      </c>
      <c r="D445">
        <v>1814.6</v>
      </c>
      <c r="E445" t="s">
        <v>52</v>
      </c>
      <c r="F445" t="s">
        <v>20</v>
      </c>
      <c r="G445" t="s">
        <v>26</v>
      </c>
      <c r="H445" t="s">
        <v>1345</v>
      </c>
    </row>
    <row r="446" spans="1:8" x14ac:dyDescent="0.25">
      <c r="A446" t="s">
        <v>1346</v>
      </c>
      <c r="B446" t="s">
        <v>1347</v>
      </c>
      <c r="C446" s="1">
        <v>46029.677314814813</v>
      </c>
      <c r="D446">
        <v>1656.51</v>
      </c>
      <c r="E446" t="s">
        <v>19</v>
      </c>
      <c r="F446" t="s">
        <v>20</v>
      </c>
      <c r="G446" t="s">
        <v>30</v>
      </c>
      <c r="H446" t="s">
        <v>1348</v>
      </c>
    </row>
    <row r="447" spans="1:8" x14ac:dyDescent="0.25">
      <c r="A447" t="s">
        <v>1349</v>
      </c>
      <c r="B447" t="s">
        <v>1350</v>
      </c>
      <c r="C447" s="1">
        <v>46030.757939814815</v>
      </c>
      <c r="D447">
        <v>1449.6</v>
      </c>
      <c r="E447" t="s">
        <v>25</v>
      </c>
      <c r="F447" t="s">
        <v>20</v>
      </c>
      <c r="G447" t="s">
        <v>21</v>
      </c>
      <c r="H447" t="s">
        <v>1351</v>
      </c>
    </row>
    <row r="448" spans="1:8" x14ac:dyDescent="0.25">
      <c r="A448" t="s">
        <v>1352</v>
      </c>
      <c r="B448" t="s">
        <v>1353</v>
      </c>
      <c r="C448" s="1">
        <v>46031.838680555556</v>
      </c>
      <c r="D448">
        <v>574.20000000000005</v>
      </c>
      <c r="E448" t="s">
        <v>25</v>
      </c>
      <c r="F448" t="s">
        <v>20</v>
      </c>
      <c r="G448" t="s">
        <v>26</v>
      </c>
      <c r="H448" t="s">
        <v>1354</v>
      </c>
    </row>
    <row r="449" spans="1:8" x14ac:dyDescent="0.25">
      <c r="A449" t="s">
        <v>1355</v>
      </c>
      <c r="B449" t="s">
        <v>1356</v>
      </c>
      <c r="C449" s="1">
        <v>46032.953935185185</v>
      </c>
      <c r="D449">
        <v>808.18</v>
      </c>
      <c r="E449" t="s">
        <v>25</v>
      </c>
      <c r="F449" t="s">
        <v>20</v>
      </c>
      <c r="G449" t="s">
        <v>30</v>
      </c>
      <c r="H449" t="s">
        <v>1357</v>
      </c>
    </row>
    <row r="450" spans="1:8" x14ac:dyDescent="0.25">
      <c r="A450" t="s">
        <v>1358</v>
      </c>
      <c r="B450" t="s">
        <v>1359</v>
      </c>
      <c r="C450" s="1">
        <v>46034.056145833332</v>
      </c>
      <c r="D450">
        <v>884.84</v>
      </c>
      <c r="E450" t="s">
        <v>25</v>
      </c>
      <c r="F450" t="s">
        <v>92</v>
      </c>
      <c r="G450" t="s">
        <v>21</v>
      </c>
      <c r="H450" t="s">
        <v>1360</v>
      </c>
    </row>
    <row r="451" spans="1:8" x14ac:dyDescent="0.25">
      <c r="A451" t="s">
        <v>1361</v>
      </c>
      <c r="B451" t="s">
        <v>1362</v>
      </c>
      <c r="C451" s="1">
        <v>46035.117777777778</v>
      </c>
      <c r="D451">
        <v>1112.8599999999999</v>
      </c>
      <c r="E451" t="s">
        <v>25</v>
      </c>
      <c r="F451" t="s">
        <v>20</v>
      </c>
      <c r="G451" t="s">
        <v>26</v>
      </c>
      <c r="H451" t="s">
        <v>1363</v>
      </c>
    </row>
    <row r="452" spans="1:8" x14ac:dyDescent="0.25">
      <c r="A452" t="s">
        <v>1364</v>
      </c>
      <c r="B452" t="s">
        <v>1365</v>
      </c>
      <c r="C452" s="1">
        <v>46036.203101851854</v>
      </c>
      <c r="D452">
        <v>556.37</v>
      </c>
      <c r="E452" t="s">
        <v>25</v>
      </c>
      <c r="F452" t="s">
        <v>20</v>
      </c>
      <c r="G452" t="s">
        <v>30</v>
      </c>
      <c r="H452" t="s">
        <v>1366</v>
      </c>
    </row>
    <row r="453" spans="1:8" x14ac:dyDescent="0.25">
      <c r="A453" t="s">
        <v>1367</v>
      </c>
      <c r="B453" t="s">
        <v>1368</v>
      </c>
      <c r="C453" s="1">
        <v>46036.29409722222</v>
      </c>
      <c r="D453">
        <v>900.24</v>
      </c>
      <c r="E453" t="s">
        <v>25</v>
      </c>
      <c r="F453" t="s">
        <v>20</v>
      </c>
      <c r="G453" t="s">
        <v>21</v>
      </c>
      <c r="H453" t="s">
        <v>1369</v>
      </c>
    </row>
    <row r="454" spans="1:8" x14ac:dyDescent="0.25">
      <c r="A454" t="s">
        <v>1370</v>
      </c>
      <c r="B454" t="s">
        <v>1371</v>
      </c>
      <c r="C454" s="1">
        <v>46023.423333333332</v>
      </c>
      <c r="D454">
        <v>1858.89</v>
      </c>
      <c r="E454" t="s">
        <v>25</v>
      </c>
      <c r="F454" t="s">
        <v>20</v>
      </c>
      <c r="G454" t="s">
        <v>26</v>
      </c>
      <c r="H454" t="s">
        <v>1372</v>
      </c>
    </row>
    <row r="455" spans="1:8" x14ac:dyDescent="0.25">
      <c r="A455" t="s">
        <v>1373</v>
      </c>
      <c r="B455" t="s">
        <v>1374</v>
      </c>
      <c r="C455" s="1">
        <v>46024.504988425928</v>
      </c>
      <c r="D455">
        <v>1273.3499999999999</v>
      </c>
      <c r="E455" t="s">
        <v>52</v>
      </c>
      <c r="F455" t="s">
        <v>20</v>
      </c>
      <c r="G455" t="s">
        <v>30</v>
      </c>
      <c r="H455" t="s">
        <v>1375</v>
      </c>
    </row>
    <row r="456" spans="1:8" x14ac:dyDescent="0.25">
      <c r="A456" t="s">
        <v>1376</v>
      </c>
      <c r="B456" t="s">
        <v>1377</v>
      </c>
      <c r="C456" s="1">
        <v>46025.567835648151</v>
      </c>
      <c r="D456">
        <v>2247.9299999999998</v>
      </c>
      <c r="E456" t="s">
        <v>19</v>
      </c>
      <c r="F456" t="s">
        <v>20</v>
      </c>
      <c r="G456" t="s">
        <v>21</v>
      </c>
      <c r="H456" t="s">
        <v>1378</v>
      </c>
    </row>
    <row r="457" spans="1:8" x14ac:dyDescent="0.25">
      <c r="A457" t="s">
        <v>1379</v>
      </c>
      <c r="B457" t="s">
        <v>1380</v>
      </c>
      <c r="C457" s="1">
        <v>46026.659074074072</v>
      </c>
      <c r="D457">
        <v>1470.58</v>
      </c>
      <c r="E457" t="s">
        <v>25</v>
      </c>
      <c r="F457" t="s">
        <v>20</v>
      </c>
      <c r="G457" t="s">
        <v>26</v>
      </c>
      <c r="H457" t="s">
        <v>1381</v>
      </c>
    </row>
    <row r="458" spans="1:8" x14ac:dyDescent="0.25">
      <c r="A458" t="s">
        <v>1382</v>
      </c>
      <c r="B458" t="s">
        <v>1383</v>
      </c>
      <c r="C458" s="1">
        <v>46027.771817129629</v>
      </c>
      <c r="D458">
        <v>1029.44</v>
      </c>
      <c r="E458" t="s">
        <v>25</v>
      </c>
      <c r="F458" t="s">
        <v>20</v>
      </c>
      <c r="G458" t="s">
        <v>30</v>
      </c>
      <c r="H458" t="s">
        <v>1384</v>
      </c>
    </row>
    <row r="459" spans="1:8" x14ac:dyDescent="0.25">
      <c r="A459" t="s">
        <v>1385</v>
      </c>
      <c r="B459" t="s">
        <v>1386</v>
      </c>
      <c r="C459" s="1">
        <v>46028.870659722219</v>
      </c>
      <c r="D459">
        <v>2163.9699999999998</v>
      </c>
      <c r="E459" t="s">
        <v>25</v>
      </c>
      <c r="F459" t="s">
        <v>20</v>
      </c>
      <c r="G459" t="s">
        <v>21</v>
      </c>
      <c r="H459" t="s">
        <v>1387</v>
      </c>
    </row>
    <row r="460" spans="1:8" x14ac:dyDescent="0.25">
      <c r="A460" t="s">
        <v>1388</v>
      </c>
      <c r="B460" t="s">
        <v>1389</v>
      </c>
      <c r="C460" s="1">
        <v>46029.962581018517</v>
      </c>
      <c r="D460">
        <v>2090.86</v>
      </c>
      <c r="E460" t="s">
        <v>25</v>
      </c>
      <c r="F460" t="s">
        <v>20</v>
      </c>
      <c r="G460" t="s">
        <v>26</v>
      </c>
      <c r="H460" t="s">
        <v>1390</v>
      </c>
    </row>
    <row r="461" spans="1:8" x14ac:dyDescent="0.25">
      <c r="A461" t="s">
        <v>1391</v>
      </c>
      <c r="B461" t="s">
        <v>1392</v>
      </c>
      <c r="C461" s="1">
        <v>46031.044606481482</v>
      </c>
      <c r="D461">
        <v>2498.21</v>
      </c>
      <c r="E461" t="s">
        <v>25</v>
      </c>
      <c r="F461" t="s">
        <v>20</v>
      </c>
      <c r="G461" t="s">
        <v>30</v>
      </c>
      <c r="H461" t="s">
        <v>1393</v>
      </c>
    </row>
    <row r="462" spans="1:8" x14ac:dyDescent="0.25">
      <c r="A462" t="s">
        <v>1394</v>
      </c>
      <c r="B462" t="s">
        <v>1395</v>
      </c>
      <c r="C462" s="1">
        <v>46032.149548611109</v>
      </c>
      <c r="D462">
        <v>182.84</v>
      </c>
      <c r="E462" t="s">
        <v>25</v>
      </c>
      <c r="F462" t="s">
        <v>20</v>
      </c>
      <c r="G462" t="s">
        <v>21</v>
      </c>
      <c r="H462" t="s">
        <v>1396</v>
      </c>
    </row>
    <row r="463" spans="1:8" x14ac:dyDescent="0.25">
      <c r="A463" t="s">
        <v>1397</v>
      </c>
      <c r="B463" t="s">
        <v>1398</v>
      </c>
      <c r="C463" s="1">
        <v>46032.243576388886</v>
      </c>
      <c r="D463">
        <v>1488.52</v>
      </c>
      <c r="E463" t="s">
        <v>25</v>
      </c>
      <c r="F463" t="s">
        <v>20</v>
      </c>
      <c r="G463" t="s">
        <v>26</v>
      </c>
      <c r="H463" t="s">
        <v>1399</v>
      </c>
    </row>
    <row r="464" spans="1:8" x14ac:dyDescent="0.25">
      <c r="A464" t="s">
        <v>1400</v>
      </c>
      <c r="B464" t="s">
        <v>1401</v>
      </c>
      <c r="C464" s="1">
        <v>46033.319976851853</v>
      </c>
      <c r="D464">
        <v>2153.5300000000002</v>
      </c>
      <c r="E464" t="s">
        <v>25</v>
      </c>
      <c r="F464" t="s">
        <v>20</v>
      </c>
      <c r="G464" t="s">
        <v>30</v>
      </c>
      <c r="H464" t="s">
        <v>1402</v>
      </c>
    </row>
    <row r="465" spans="1:8" x14ac:dyDescent="0.25">
      <c r="A465" t="s">
        <v>1403</v>
      </c>
      <c r="B465" t="s">
        <v>1404</v>
      </c>
      <c r="C465" s="1">
        <v>46034.39916666667</v>
      </c>
      <c r="D465">
        <v>1421.68</v>
      </c>
      <c r="E465" t="s">
        <v>52</v>
      </c>
      <c r="F465" t="s">
        <v>20</v>
      </c>
      <c r="G465" t="s">
        <v>21</v>
      </c>
      <c r="H465" t="s">
        <v>1405</v>
      </c>
    </row>
    <row r="466" spans="1:8" x14ac:dyDescent="0.25">
      <c r="A466" t="s">
        <v>1406</v>
      </c>
      <c r="B466" t="s">
        <v>1407</v>
      </c>
      <c r="C466" s="1">
        <v>46035.497534722221</v>
      </c>
      <c r="D466">
        <v>1306.4100000000001</v>
      </c>
      <c r="E466" t="s">
        <v>19</v>
      </c>
      <c r="F466" t="s">
        <v>20</v>
      </c>
      <c r="G466" t="s">
        <v>26</v>
      </c>
      <c r="H466" t="s">
        <v>1408</v>
      </c>
    </row>
    <row r="467" spans="1:8" x14ac:dyDescent="0.25">
      <c r="A467" t="s">
        <v>1409</v>
      </c>
      <c r="B467" t="s">
        <v>1410</v>
      </c>
      <c r="C467" s="1">
        <v>46036.585740740738</v>
      </c>
      <c r="D467">
        <v>304.58999999999997</v>
      </c>
      <c r="E467" t="s">
        <v>25</v>
      </c>
      <c r="F467" t="s">
        <v>20</v>
      </c>
      <c r="G467" t="s">
        <v>30</v>
      </c>
      <c r="H467" t="s">
        <v>1411</v>
      </c>
    </row>
    <row r="468" spans="1:8" x14ac:dyDescent="0.25">
      <c r="A468" t="s">
        <v>1412</v>
      </c>
      <c r="B468" t="s">
        <v>1413</v>
      </c>
      <c r="C468" s="1">
        <v>46023.677824074075</v>
      </c>
      <c r="D468">
        <v>2167.5700000000002</v>
      </c>
      <c r="E468" t="s">
        <v>25</v>
      </c>
      <c r="F468" t="s">
        <v>20</v>
      </c>
      <c r="G468" t="s">
        <v>21</v>
      </c>
      <c r="H468" t="s">
        <v>1414</v>
      </c>
    </row>
    <row r="469" spans="1:8" x14ac:dyDescent="0.25">
      <c r="A469" t="s">
        <v>1415</v>
      </c>
      <c r="B469" t="s">
        <v>1416</v>
      </c>
      <c r="C469" s="1">
        <v>46024.776956018519</v>
      </c>
      <c r="D469">
        <v>306.08</v>
      </c>
      <c r="E469" t="s">
        <v>25</v>
      </c>
      <c r="F469" t="s">
        <v>20</v>
      </c>
      <c r="G469" t="s">
        <v>26</v>
      </c>
      <c r="H469" t="s">
        <v>1417</v>
      </c>
    </row>
    <row r="470" spans="1:8" x14ac:dyDescent="0.25">
      <c r="A470" t="s">
        <v>1418</v>
      </c>
      <c r="B470" t="s">
        <v>1419</v>
      </c>
      <c r="C470" s="1">
        <v>46025.869699074072</v>
      </c>
      <c r="D470">
        <v>809.07</v>
      </c>
      <c r="E470" t="s">
        <v>25</v>
      </c>
      <c r="F470" t="s">
        <v>20</v>
      </c>
      <c r="G470" t="s">
        <v>30</v>
      </c>
      <c r="H470" t="s">
        <v>1420</v>
      </c>
    </row>
    <row r="471" spans="1:8" x14ac:dyDescent="0.25">
      <c r="A471" t="s">
        <v>1421</v>
      </c>
      <c r="B471" t="s">
        <v>1422</v>
      </c>
      <c r="C471" s="1">
        <v>46026.949884259258</v>
      </c>
      <c r="D471">
        <v>2138.7600000000002</v>
      </c>
      <c r="E471" t="s">
        <v>25</v>
      </c>
      <c r="F471" t="s">
        <v>20</v>
      </c>
      <c r="G471" t="s">
        <v>21</v>
      </c>
      <c r="H471" t="s">
        <v>1423</v>
      </c>
    </row>
    <row r="472" spans="1:8" x14ac:dyDescent="0.25">
      <c r="A472" t="s">
        <v>1424</v>
      </c>
      <c r="B472" t="s">
        <v>1425</v>
      </c>
      <c r="C472" s="1">
        <v>46028.068391203706</v>
      </c>
      <c r="D472">
        <v>313.99</v>
      </c>
      <c r="E472" t="s">
        <v>25</v>
      </c>
      <c r="F472" t="s">
        <v>20</v>
      </c>
      <c r="G472" t="s">
        <v>26</v>
      </c>
      <c r="H472" t="s">
        <v>1426</v>
      </c>
    </row>
    <row r="473" spans="1:8" x14ac:dyDescent="0.25">
      <c r="A473" t="s">
        <v>1427</v>
      </c>
      <c r="B473" t="s">
        <v>1428</v>
      </c>
      <c r="C473" s="1">
        <v>46029.123854166668</v>
      </c>
      <c r="D473">
        <v>1823.14</v>
      </c>
      <c r="E473" t="s">
        <v>25</v>
      </c>
      <c r="F473" t="s">
        <v>20</v>
      </c>
      <c r="G473" t="s">
        <v>30</v>
      </c>
      <c r="H473" t="s">
        <v>1429</v>
      </c>
    </row>
    <row r="474" spans="1:8" x14ac:dyDescent="0.25">
      <c r="A474" t="s">
        <v>1430</v>
      </c>
      <c r="B474" t="s">
        <v>1431</v>
      </c>
      <c r="C474" s="1">
        <v>46029.250277777777</v>
      </c>
      <c r="D474">
        <v>722.27</v>
      </c>
      <c r="E474" t="s">
        <v>25</v>
      </c>
      <c r="F474" t="s">
        <v>429</v>
      </c>
      <c r="G474" t="s">
        <v>21</v>
      </c>
      <c r="H474" t="s">
        <v>1432</v>
      </c>
    </row>
    <row r="475" spans="1:8" x14ac:dyDescent="0.25">
      <c r="A475" t="s">
        <v>1433</v>
      </c>
      <c r="B475" t="s">
        <v>1434</v>
      </c>
      <c r="C475" s="1">
        <v>46030.315092592595</v>
      </c>
      <c r="D475">
        <v>363.72</v>
      </c>
      <c r="E475" t="s">
        <v>52</v>
      </c>
      <c r="F475" t="s">
        <v>20</v>
      </c>
      <c r="G475" t="s">
        <v>26</v>
      </c>
      <c r="H475" t="s">
        <v>1435</v>
      </c>
    </row>
    <row r="476" spans="1:8" x14ac:dyDescent="0.25">
      <c r="A476" t="s">
        <v>1436</v>
      </c>
      <c r="B476" t="s">
        <v>1437</v>
      </c>
      <c r="C476" s="1">
        <v>46031.432164351849</v>
      </c>
      <c r="D476">
        <v>2499.0500000000002</v>
      </c>
      <c r="E476" t="s">
        <v>19</v>
      </c>
      <c r="F476" t="s">
        <v>20</v>
      </c>
      <c r="G476" t="s">
        <v>30</v>
      </c>
      <c r="H476" t="s">
        <v>1438</v>
      </c>
    </row>
    <row r="477" spans="1:8" x14ac:dyDescent="0.25">
      <c r="A477" t="s">
        <v>1439</v>
      </c>
      <c r="B477" t="s">
        <v>1440</v>
      </c>
      <c r="C477" s="1">
        <v>46032.517013888886</v>
      </c>
      <c r="D477">
        <v>1134.32</v>
      </c>
      <c r="E477" t="s">
        <v>25</v>
      </c>
      <c r="F477" t="s">
        <v>20</v>
      </c>
      <c r="G477" t="s">
        <v>21</v>
      </c>
      <c r="H477" t="s">
        <v>1441</v>
      </c>
    </row>
    <row r="478" spans="1:8" x14ac:dyDescent="0.25">
      <c r="A478" t="s">
        <v>1442</v>
      </c>
      <c r="B478" t="s">
        <v>1443</v>
      </c>
      <c r="C478" s="1">
        <v>46033.592349537037</v>
      </c>
      <c r="D478">
        <v>597.30999999999995</v>
      </c>
      <c r="E478" t="s">
        <v>25</v>
      </c>
      <c r="F478" t="s">
        <v>20</v>
      </c>
      <c r="G478" t="s">
        <v>26</v>
      </c>
      <c r="H478" t="s">
        <v>1444</v>
      </c>
    </row>
    <row r="479" spans="1:8" x14ac:dyDescent="0.25">
      <c r="A479" t="s">
        <v>1445</v>
      </c>
      <c r="B479" t="s">
        <v>1446</v>
      </c>
      <c r="C479" s="1">
        <v>46034.70103009259</v>
      </c>
      <c r="D479">
        <v>1371.03</v>
      </c>
      <c r="E479" t="s">
        <v>25</v>
      </c>
      <c r="F479" t="s">
        <v>20</v>
      </c>
      <c r="G479" t="s">
        <v>30</v>
      </c>
      <c r="H479" t="s">
        <v>1447</v>
      </c>
    </row>
    <row r="480" spans="1:8" x14ac:dyDescent="0.25">
      <c r="A480" t="s">
        <v>1448</v>
      </c>
      <c r="B480" t="s">
        <v>1449</v>
      </c>
      <c r="C480" s="1">
        <v>46035.783437500002</v>
      </c>
      <c r="D480">
        <v>1228.1500000000001</v>
      </c>
      <c r="E480" t="s">
        <v>25</v>
      </c>
      <c r="F480" t="s">
        <v>20</v>
      </c>
      <c r="G480" t="s">
        <v>21</v>
      </c>
      <c r="H480" t="s">
        <v>1450</v>
      </c>
    </row>
    <row r="481" spans="1:8" x14ac:dyDescent="0.25">
      <c r="A481" t="s">
        <v>1451</v>
      </c>
      <c r="B481" t="s">
        <v>1452</v>
      </c>
      <c r="C481" s="1">
        <v>46036.871319444443</v>
      </c>
      <c r="D481">
        <v>952.14</v>
      </c>
      <c r="E481" t="s">
        <v>25</v>
      </c>
      <c r="F481" t="s">
        <v>429</v>
      </c>
      <c r="G481" t="s">
        <v>26</v>
      </c>
      <c r="H481" t="s">
        <v>1453</v>
      </c>
    </row>
    <row r="482" spans="1:8" x14ac:dyDescent="0.25">
      <c r="A482" t="s">
        <v>1454</v>
      </c>
      <c r="B482" t="s">
        <v>1455</v>
      </c>
      <c r="C482" s="1">
        <v>46023.979479166665</v>
      </c>
      <c r="D482">
        <v>491.27</v>
      </c>
      <c r="E482" t="s">
        <v>25</v>
      </c>
      <c r="F482" t="s">
        <v>20</v>
      </c>
      <c r="G482" t="s">
        <v>30</v>
      </c>
      <c r="H482" t="s">
        <v>1456</v>
      </c>
    </row>
    <row r="483" spans="1:8" x14ac:dyDescent="0.25">
      <c r="A483" t="s">
        <v>1457</v>
      </c>
      <c r="B483" t="s">
        <v>1458</v>
      </c>
      <c r="C483" s="1">
        <v>46025.052835648145</v>
      </c>
      <c r="D483">
        <v>2014.85</v>
      </c>
      <c r="E483" t="s">
        <v>25</v>
      </c>
      <c r="F483" t="s">
        <v>20</v>
      </c>
      <c r="G483" t="s">
        <v>21</v>
      </c>
      <c r="H483" t="s">
        <v>1459</v>
      </c>
    </row>
    <row r="484" spans="1:8" x14ac:dyDescent="0.25">
      <c r="A484" t="s">
        <v>1460</v>
      </c>
      <c r="B484" t="s">
        <v>1461</v>
      </c>
      <c r="C484" s="1">
        <v>46026.160891203705</v>
      </c>
      <c r="D484">
        <v>1331.4</v>
      </c>
      <c r="E484" t="s">
        <v>25</v>
      </c>
      <c r="F484" t="s">
        <v>20</v>
      </c>
      <c r="G484" t="s">
        <v>26</v>
      </c>
      <c r="H484" t="s">
        <v>1462</v>
      </c>
    </row>
    <row r="485" spans="1:8" x14ac:dyDescent="0.25">
      <c r="A485" t="s">
        <v>1463</v>
      </c>
      <c r="B485" t="s">
        <v>1464</v>
      </c>
      <c r="C485" s="1">
        <v>46026.232453703706</v>
      </c>
      <c r="D485">
        <v>585.12</v>
      </c>
      <c r="E485" t="s">
        <v>52</v>
      </c>
      <c r="F485" t="s">
        <v>20</v>
      </c>
      <c r="G485" t="s">
        <v>30</v>
      </c>
      <c r="H485" t="s">
        <v>1465</v>
      </c>
    </row>
    <row r="486" spans="1:8" x14ac:dyDescent="0.25">
      <c r="A486" t="s">
        <v>1466</v>
      </c>
      <c r="B486" t="s">
        <v>1467</v>
      </c>
      <c r="C486" s="1">
        <v>46027.354537037034</v>
      </c>
      <c r="D486">
        <v>1823.83</v>
      </c>
      <c r="E486" t="s">
        <v>19</v>
      </c>
      <c r="F486" t="s">
        <v>20</v>
      </c>
      <c r="G486" t="s">
        <v>21</v>
      </c>
      <c r="H486" t="s">
        <v>1468</v>
      </c>
    </row>
    <row r="487" spans="1:8" x14ac:dyDescent="0.25">
      <c r="A487" t="s">
        <v>1469</v>
      </c>
      <c r="B487" t="s">
        <v>1470</v>
      </c>
      <c r="C487" s="1">
        <v>46028.437604166669</v>
      </c>
      <c r="D487">
        <v>719.73</v>
      </c>
      <c r="E487" t="s">
        <v>25</v>
      </c>
      <c r="F487" t="s">
        <v>20</v>
      </c>
      <c r="G487" t="s">
        <v>26</v>
      </c>
      <c r="H487" t="s">
        <v>1471</v>
      </c>
    </row>
    <row r="488" spans="1:8" x14ac:dyDescent="0.25">
      <c r="A488" t="s">
        <v>1472</v>
      </c>
      <c r="B488" t="s">
        <v>1473</v>
      </c>
      <c r="C488" s="1">
        <v>46029.50613425926</v>
      </c>
      <c r="D488">
        <v>1083.48</v>
      </c>
      <c r="E488" t="s">
        <v>25</v>
      </c>
      <c r="F488" t="s">
        <v>20</v>
      </c>
      <c r="G488" t="s">
        <v>30</v>
      </c>
      <c r="H488" t="s">
        <v>1474</v>
      </c>
    </row>
    <row r="489" spans="1:8" x14ac:dyDescent="0.25">
      <c r="A489" t="s">
        <v>1475</v>
      </c>
      <c r="B489" t="s">
        <v>1476</v>
      </c>
      <c r="C489" s="1">
        <v>46030.59337962963</v>
      </c>
      <c r="D489">
        <v>894.83</v>
      </c>
      <c r="E489" t="s">
        <v>25</v>
      </c>
      <c r="F489" t="s">
        <v>20</v>
      </c>
      <c r="G489" t="s">
        <v>21</v>
      </c>
      <c r="H489" t="s">
        <v>1477</v>
      </c>
    </row>
    <row r="490" spans="1:8" x14ac:dyDescent="0.25">
      <c r="A490" t="s">
        <v>1478</v>
      </c>
      <c r="B490" t="s">
        <v>1479</v>
      </c>
      <c r="C490" s="1">
        <v>46031.689513888887</v>
      </c>
      <c r="D490">
        <v>1227.3499999999999</v>
      </c>
      <c r="E490" t="s">
        <v>25</v>
      </c>
      <c r="F490" t="s">
        <v>20</v>
      </c>
      <c r="G490" t="s">
        <v>26</v>
      </c>
      <c r="H490" t="s">
        <v>1480</v>
      </c>
    </row>
    <row r="491" spans="1:8" x14ac:dyDescent="0.25">
      <c r="A491" t="s">
        <v>1481</v>
      </c>
      <c r="B491" t="s">
        <v>1482</v>
      </c>
      <c r="C491" s="1">
        <v>46032.796909722223</v>
      </c>
      <c r="D491">
        <v>1111.55</v>
      </c>
      <c r="E491" t="s">
        <v>25</v>
      </c>
      <c r="F491" t="s">
        <v>20</v>
      </c>
      <c r="G491" t="s">
        <v>30</v>
      </c>
      <c r="H491" t="s">
        <v>1483</v>
      </c>
    </row>
    <row r="492" spans="1:8" x14ac:dyDescent="0.25">
      <c r="A492" t="s">
        <v>1484</v>
      </c>
      <c r="B492" t="s">
        <v>1485</v>
      </c>
      <c r="C492" s="1">
        <v>46033.896527777775</v>
      </c>
      <c r="D492">
        <v>1066.55</v>
      </c>
      <c r="E492" t="s">
        <v>25</v>
      </c>
      <c r="F492" t="s">
        <v>92</v>
      </c>
      <c r="G492" t="s">
        <v>21</v>
      </c>
      <c r="H492" t="s">
        <v>1486</v>
      </c>
    </row>
    <row r="493" spans="1:8" x14ac:dyDescent="0.25">
      <c r="A493" t="s">
        <v>1487</v>
      </c>
      <c r="B493" t="s">
        <v>1488</v>
      </c>
      <c r="C493" s="1">
        <v>46034.997650462959</v>
      </c>
      <c r="D493">
        <v>2273.65</v>
      </c>
      <c r="E493" t="s">
        <v>25</v>
      </c>
      <c r="F493" t="s">
        <v>20</v>
      </c>
      <c r="G493" t="s">
        <v>26</v>
      </c>
      <c r="H493" t="s">
        <v>1489</v>
      </c>
    </row>
    <row r="494" spans="1:8" x14ac:dyDescent="0.25">
      <c r="A494" t="s">
        <v>1490</v>
      </c>
      <c r="B494" t="s">
        <v>1491</v>
      </c>
      <c r="C494" s="1">
        <v>46036.061539351853</v>
      </c>
      <c r="D494">
        <v>1878.14</v>
      </c>
      <c r="E494" t="s">
        <v>25</v>
      </c>
      <c r="F494" t="s">
        <v>20</v>
      </c>
      <c r="G494" t="s">
        <v>30</v>
      </c>
      <c r="H494" t="s">
        <v>1492</v>
      </c>
    </row>
    <row r="495" spans="1:8" x14ac:dyDescent="0.25">
      <c r="A495" t="s">
        <v>1493</v>
      </c>
      <c r="B495" t="s">
        <v>1494</v>
      </c>
      <c r="C495" s="1">
        <v>46037.170532407406</v>
      </c>
      <c r="D495">
        <v>1907.21</v>
      </c>
      <c r="E495" t="s">
        <v>52</v>
      </c>
      <c r="F495" t="s">
        <v>20</v>
      </c>
      <c r="G495" t="s">
        <v>21</v>
      </c>
      <c r="H495" t="s">
        <v>1495</v>
      </c>
    </row>
    <row r="496" spans="1:8" x14ac:dyDescent="0.25">
      <c r="A496" t="s">
        <v>1496</v>
      </c>
      <c r="B496" t="s">
        <v>1497</v>
      </c>
      <c r="C496" s="1">
        <v>46023.241307870368</v>
      </c>
      <c r="D496">
        <v>2096.2600000000002</v>
      </c>
      <c r="E496" t="s">
        <v>19</v>
      </c>
      <c r="F496" t="s">
        <v>20</v>
      </c>
      <c r="G496" t="s">
        <v>26</v>
      </c>
      <c r="H496" t="s">
        <v>1498</v>
      </c>
    </row>
    <row r="497" spans="1:8" x14ac:dyDescent="0.25">
      <c r="A497" t="s">
        <v>1499</v>
      </c>
      <c r="B497" t="s">
        <v>1500</v>
      </c>
      <c r="C497" s="1">
        <v>46024.336481481485</v>
      </c>
      <c r="D497">
        <v>616.87</v>
      </c>
      <c r="E497" t="s">
        <v>25</v>
      </c>
      <c r="F497" t="s">
        <v>20</v>
      </c>
      <c r="G497" t="s">
        <v>30</v>
      </c>
      <c r="H497" t="s">
        <v>1501</v>
      </c>
    </row>
    <row r="498" spans="1:8" x14ac:dyDescent="0.25">
      <c r="A498" t="s">
        <v>1502</v>
      </c>
      <c r="B498" t="s">
        <v>1503</v>
      </c>
      <c r="C498" s="1">
        <v>46025.45385416667</v>
      </c>
      <c r="D498">
        <v>1810.8</v>
      </c>
      <c r="E498" t="s">
        <v>25</v>
      </c>
      <c r="F498" t="s">
        <v>20</v>
      </c>
      <c r="G498" t="s">
        <v>21</v>
      </c>
      <c r="H498" t="s">
        <v>1504</v>
      </c>
    </row>
    <row r="499" spans="1:8" x14ac:dyDescent="0.25">
      <c r="A499" t="s">
        <v>1505</v>
      </c>
      <c r="B499" t="s">
        <v>1506</v>
      </c>
      <c r="C499" s="1">
        <v>46026.54755787037</v>
      </c>
      <c r="D499">
        <v>1419.1</v>
      </c>
      <c r="E499" t="s">
        <v>25</v>
      </c>
      <c r="F499" t="s">
        <v>20</v>
      </c>
      <c r="G499" t="s">
        <v>26</v>
      </c>
      <c r="H499" t="s">
        <v>1507</v>
      </c>
    </row>
    <row r="500" spans="1:8" x14ac:dyDescent="0.25">
      <c r="A500" t="s">
        <v>1508</v>
      </c>
      <c r="B500" t="s">
        <v>1509</v>
      </c>
      <c r="C500" s="1">
        <v>46027.638414351852</v>
      </c>
      <c r="D500">
        <v>984.03</v>
      </c>
      <c r="E500" t="s">
        <v>25</v>
      </c>
      <c r="F500" t="s">
        <v>20</v>
      </c>
      <c r="G500" t="s">
        <v>30</v>
      </c>
      <c r="H500" t="s">
        <v>1510</v>
      </c>
    </row>
    <row r="501" spans="1:8" x14ac:dyDescent="0.25">
      <c r="A501" t="s">
        <v>1511</v>
      </c>
      <c r="B501" t="s">
        <v>1512</v>
      </c>
      <c r="C501" s="1">
        <v>46028.6953587963</v>
      </c>
      <c r="D501">
        <v>1129.74</v>
      </c>
      <c r="E501" t="s">
        <v>25</v>
      </c>
      <c r="F501" t="s">
        <v>20</v>
      </c>
      <c r="G501" t="s">
        <v>21</v>
      </c>
      <c r="H501" t="s">
        <v>1513</v>
      </c>
    </row>
    <row r="502" spans="1:8" x14ac:dyDescent="0.25">
      <c r="A502" t="s">
        <v>1514</v>
      </c>
      <c r="B502" t="s">
        <v>1515</v>
      </c>
      <c r="C502" s="1">
        <v>46029.785833333335</v>
      </c>
      <c r="D502">
        <v>1283.3</v>
      </c>
      <c r="E502" t="s">
        <v>25</v>
      </c>
      <c r="F502" t="s">
        <v>20</v>
      </c>
      <c r="G502" t="s">
        <v>26</v>
      </c>
      <c r="H502" t="s">
        <v>1516</v>
      </c>
    </row>
    <row r="503" spans="1:8" x14ac:dyDescent="0.25">
      <c r="A503" t="s">
        <v>1517</v>
      </c>
      <c r="B503" t="s">
        <v>1518</v>
      </c>
      <c r="C503" s="1">
        <v>46030.877800925926</v>
      </c>
      <c r="D503">
        <v>577.48</v>
      </c>
      <c r="E503" t="s">
        <v>25</v>
      </c>
      <c r="F503" t="s">
        <v>20</v>
      </c>
      <c r="G503" t="s">
        <v>30</v>
      </c>
      <c r="H503" t="s">
        <v>1519</v>
      </c>
    </row>
    <row r="504" spans="1:8" x14ac:dyDescent="0.25">
      <c r="A504" t="s">
        <v>1520</v>
      </c>
      <c r="B504" t="s">
        <v>1521</v>
      </c>
      <c r="C504" s="1">
        <v>46031.976585648146</v>
      </c>
      <c r="D504">
        <v>2080.63</v>
      </c>
      <c r="E504" t="s">
        <v>25</v>
      </c>
      <c r="F504" t="s">
        <v>20</v>
      </c>
      <c r="G504" t="s">
        <v>21</v>
      </c>
      <c r="H504" t="s">
        <v>1522</v>
      </c>
    </row>
    <row r="505" spans="1:8" x14ac:dyDescent="0.25">
      <c r="A505" t="s">
        <v>1523</v>
      </c>
      <c r="B505" t="s">
        <v>1524</v>
      </c>
      <c r="C505" s="1">
        <v>46033.083611111113</v>
      </c>
      <c r="D505">
        <v>2159.4299999999998</v>
      </c>
      <c r="E505" t="s">
        <v>52</v>
      </c>
      <c r="F505" t="s">
        <v>20</v>
      </c>
      <c r="G505" t="s">
        <v>26</v>
      </c>
      <c r="H505" t="s">
        <v>1525</v>
      </c>
    </row>
    <row r="506" spans="1:8" x14ac:dyDescent="0.25">
      <c r="A506" t="s">
        <v>1526</v>
      </c>
      <c r="B506" t="s">
        <v>1527</v>
      </c>
      <c r="C506" s="1">
        <v>46034.158634259256</v>
      </c>
      <c r="D506">
        <v>1122.44</v>
      </c>
      <c r="E506" t="s">
        <v>19</v>
      </c>
      <c r="F506" t="s">
        <v>20</v>
      </c>
      <c r="G506" t="s">
        <v>30</v>
      </c>
      <c r="H506" t="s">
        <v>1528</v>
      </c>
    </row>
    <row r="507" spans="1:8" x14ac:dyDescent="0.25">
      <c r="A507" t="s">
        <v>1529</v>
      </c>
      <c r="B507" t="s">
        <v>1530</v>
      </c>
      <c r="C507" s="1">
        <v>46034.244386574072</v>
      </c>
      <c r="D507">
        <v>895</v>
      </c>
      <c r="E507" t="s">
        <v>25</v>
      </c>
      <c r="F507" t="s">
        <v>20</v>
      </c>
      <c r="G507" t="s">
        <v>21</v>
      </c>
      <c r="H507" t="s">
        <v>1531</v>
      </c>
    </row>
    <row r="508" spans="1:8" x14ac:dyDescent="0.25">
      <c r="A508" t="s">
        <v>1532</v>
      </c>
      <c r="B508" t="s">
        <v>1533</v>
      </c>
      <c r="C508" s="1">
        <v>46035.34275462963</v>
      </c>
      <c r="D508">
        <v>2491.7600000000002</v>
      </c>
      <c r="E508" t="s">
        <v>25</v>
      </c>
      <c r="F508" t="s">
        <v>20</v>
      </c>
      <c r="G508" t="s">
        <v>26</v>
      </c>
      <c r="H508" t="s">
        <v>1534</v>
      </c>
    </row>
    <row r="509" spans="1:8" x14ac:dyDescent="0.25">
      <c r="A509" t="s">
        <v>1535</v>
      </c>
      <c r="B509" t="s">
        <v>1536</v>
      </c>
      <c r="C509" s="1">
        <v>46036.453900462962</v>
      </c>
      <c r="D509">
        <v>2339.1799999999998</v>
      </c>
      <c r="E509" t="s">
        <v>25</v>
      </c>
      <c r="F509" t="s">
        <v>20</v>
      </c>
      <c r="G509" t="s">
        <v>30</v>
      </c>
      <c r="H509" t="s">
        <v>1537</v>
      </c>
    </row>
    <row r="510" spans="1:8" x14ac:dyDescent="0.25">
      <c r="A510" t="s">
        <v>1538</v>
      </c>
      <c r="B510" t="s">
        <v>1539</v>
      </c>
      <c r="C510" s="1">
        <v>46023.538715277777</v>
      </c>
      <c r="D510">
        <v>676.71</v>
      </c>
      <c r="E510" t="s">
        <v>25</v>
      </c>
      <c r="F510" t="s">
        <v>20</v>
      </c>
      <c r="G510" t="s">
        <v>21</v>
      </c>
      <c r="H510" t="s">
        <v>1540</v>
      </c>
    </row>
    <row r="511" spans="1:8" x14ac:dyDescent="0.25">
      <c r="A511" t="s">
        <v>1541</v>
      </c>
      <c r="B511" t="s">
        <v>1542</v>
      </c>
      <c r="C511" s="1">
        <v>46024.612939814811</v>
      </c>
      <c r="D511">
        <v>471.67</v>
      </c>
      <c r="E511" t="s">
        <v>25</v>
      </c>
      <c r="F511" t="s">
        <v>20</v>
      </c>
      <c r="G511" t="s">
        <v>26</v>
      </c>
      <c r="H511" t="s">
        <v>1543</v>
      </c>
    </row>
    <row r="512" spans="1:8" x14ac:dyDescent="0.25">
      <c r="A512" t="s">
        <v>1544</v>
      </c>
      <c r="B512" t="s">
        <v>1545</v>
      </c>
      <c r="C512" s="1">
        <v>46025.738622685189</v>
      </c>
      <c r="D512">
        <v>1422.47</v>
      </c>
      <c r="E512" t="s">
        <v>25</v>
      </c>
      <c r="F512" t="s">
        <v>20</v>
      </c>
      <c r="G512" t="s">
        <v>30</v>
      </c>
      <c r="H512" t="s">
        <v>1546</v>
      </c>
    </row>
    <row r="513" spans="1:8" x14ac:dyDescent="0.25">
      <c r="A513" t="s">
        <v>1547</v>
      </c>
      <c r="B513" t="s">
        <v>1548</v>
      </c>
      <c r="C513" s="1">
        <v>46026.795844907407</v>
      </c>
      <c r="D513">
        <v>1694.06</v>
      </c>
      <c r="E513" t="s">
        <v>25</v>
      </c>
      <c r="F513" t="s">
        <v>20</v>
      </c>
      <c r="G513" t="s">
        <v>21</v>
      </c>
      <c r="H513" t="s">
        <v>1549</v>
      </c>
    </row>
    <row r="514" spans="1:8" x14ac:dyDescent="0.25">
      <c r="A514" t="s">
        <v>1550</v>
      </c>
      <c r="B514" t="s">
        <v>1551</v>
      </c>
      <c r="C514" s="1">
        <v>46027.893252314818</v>
      </c>
      <c r="D514">
        <v>1080.8399999999999</v>
      </c>
      <c r="E514" t="s">
        <v>25</v>
      </c>
      <c r="F514" t="s">
        <v>20</v>
      </c>
      <c r="G514" t="s">
        <v>26</v>
      </c>
      <c r="H514" t="s">
        <v>1552</v>
      </c>
    </row>
    <row r="515" spans="1:8" x14ac:dyDescent="0.25">
      <c r="A515" t="s">
        <v>1553</v>
      </c>
      <c r="B515" t="s">
        <v>1554</v>
      </c>
      <c r="C515" s="1">
        <v>46029.003668981481</v>
      </c>
      <c r="D515">
        <v>924.9</v>
      </c>
      <c r="E515" t="s">
        <v>52</v>
      </c>
      <c r="F515" t="s">
        <v>20</v>
      </c>
      <c r="G515" t="s">
        <v>30</v>
      </c>
      <c r="H515" t="s">
        <v>1555</v>
      </c>
    </row>
    <row r="516" spans="1:8" x14ac:dyDescent="0.25">
      <c r="A516" t="s">
        <v>1556</v>
      </c>
      <c r="B516" t="s">
        <v>1557</v>
      </c>
      <c r="C516" s="1">
        <v>46030.08965277778</v>
      </c>
      <c r="D516">
        <v>814.76</v>
      </c>
      <c r="E516" t="s">
        <v>19</v>
      </c>
      <c r="F516" t="s">
        <v>20</v>
      </c>
      <c r="G516" t="s">
        <v>21</v>
      </c>
      <c r="H516" t="s">
        <v>1558</v>
      </c>
    </row>
    <row r="517" spans="1:8" x14ac:dyDescent="0.25">
      <c r="A517" t="s">
        <v>1559</v>
      </c>
      <c r="B517" t="s">
        <v>1560</v>
      </c>
      <c r="C517" s="1">
        <v>46031.192175925928</v>
      </c>
      <c r="D517">
        <v>1931.09</v>
      </c>
      <c r="E517" t="s">
        <v>25</v>
      </c>
      <c r="F517" t="s">
        <v>20</v>
      </c>
      <c r="G517" t="s">
        <v>26</v>
      </c>
      <c r="H517" t="s">
        <v>1561</v>
      </c>
    </row>
    <row r="518" spans="1:8" x14ac:dyDescent="0.25">
      <c r="A518" t="s">
        <v>1562</v>
      </c>
      <c r="B518" t="s">
        <v>1563</v>
      </c>
      <c r="C518" s="1">
        <v>46031.254143518519</v>
      </c>
      <c r="D518">
        <v>1834.13</v>
      </c>
      <c r="E518" t="s">
        <v>25</v>
      </c>
      <c r="F518" t="s">
        <v>20</v>
      </c>
      <c r="G518" t="s">
        <v>30</v>
      </c>
      <c r="H518" t="s">
        <v>1564</v>
      </c>
    </row>
    <row r="519" spans="1:8" x14ac:dyDescent="0.25">
      <c r="A519" t="s">
        <v>1565</v>
      </c>
      <c r="B519" t="s">
        <v>1566</v>
      </c>
      <c r="C519" s="1">
        <v>46032.350416666668</v>
      </c>
      <c r="D519">
        <v>1811.31</v>
      </c>
      <c r="E519" t="s">
        <v>25</v>
      </c>
      <c r="F519" t="s">
        <v>20</v>
      </c>
      <c r="G519" t="s">
        <v>21</v>
      </c>
      <c r="H519" t="s">
        <v>1567</v>
      </c>
    </row>
    <row r="520" spans="1:8" x14ac:dyDescent="0.25">
      <c r="A520" t="s">
        <v>1568</v>
      </c>
      <c r="B520" t="s">
        <v>1569</v>
      </c>
      <c r="C520" s="1">
        <v>46033.44976851852</v>
      </c>
      <c r="D520">
        <v>1135.72</v>
      </c>
      <c r="E520" t="s">
        <v>25</v>
      </c>
      <c r="F520" t="s">
        <v>20</v>
      </c>
      <c r="G520" t="s">
        <v>26</v>
      </c>
      <c r="H520" t="s">
        <v>1570</v>
      </c>
    </row>
    <row r="521" spans="1:8" x14ac:dyDescent="0.25">
      <c r="A521" t="s">
        <v>1571</v>
      </c>
      <c r="B521" t="s">
        <v>1572</v>
      </c>
      <c r="C521" s="1">
        <v>46034.563738425924</v>
      </c>
      <c r="D521">
        <v>409.76</v>
      </c>
      <c r="E521" t="s">
        <v>25</v>
      </c>
      <c r="F521" t="s">
        <v>20</v>
      </c>
      <c r="G521" t="s">
        <v>30</v>
      </c>
      <c r="H521" t="s">
        <v>1573</v>
      </c>
    </row>
    <row r="522" spans="1:8" x14ac:dyDescent="0.25">
      <c r="A522" t="s">
        <v>1574</v>
      </c>
      <c r="B522" t="s">
        <v>1575</v>
      </c>
      <c r="C522" s="1">
        <v>46035.644328703704</v>
      </c>
      <c r="D522">
        <v>773.07</v>
      </c>
      <c r="E522" t="s">
        <v>25</v>
      </c>
      <c r="F522" t="s">
        <v>20</v>
      </c>
      <c r="G522" t="s">
        <v>21</v>
      </c>
      <c r="H522" t="s">
        <v>1576</v>
      </c>
    </row>
    <row r="523" spans="1:8" x14ac:dyDescent="0.25">
      <c r="A523" t="s">
        <v>1577</v>
      </c>
      <c r="B523" t="s">
        <v>1578</v>
      </c>
      <c r="C523" s="1">
        <v>46036.74318287037</v>
      </c>
      <c r="D523">
        <v>1175.8499999999999</v>
      </c>
      <c r="E523" t="s">
        <v>25</v>
      </c>
      <c r="F523" t="s">
        <v>429</v>
      </c>
      <c r="G523" t="s">
        <v>26</v>
      </c>
      <c r="H523" t="s">
        <v>1579</v>
      </c>
    </row>
    <row r="524" spans="1:8" x14ac:dyDescent="0.25">
      <c r="A524" t="s">
        <v>1580</v>
      </c>
      <c r="B524" t="s">
        <v>1581</v>
      </c>
      <c r="C524" s="1">
        <v>46023.79828703704</v>
      </c>
      <c r="D524">
        <v>2341.44</v>
      </c>
      <c r="E524" t="s">
        <v>25</v>
      </c>
      <c r="F524" t="s">
        <v>20</v>
      </c>
      <c r="G524" t="s">
        <v>30</v>
      </c>
      <c r="H524" t="s">
        <v>1582</v>
      </c>
    </row>
    <row r="525" spans="1:8" x14ac:dyDescent="0.25">
      <c r="A525" t="s">
        <v>1580</v>
      </c>
      <c r="B525" t="s">
        <v>1581</v>
      </c>
      <c r="C525" s="1">
        <v>46023.79828703704</v>
      </c>
      <c r="D525">
        <v>2341.44</v>
      </c>
      <c r="E525" t="s">
        <v>25</v>
      </c>
      <c r="F525" t="s">
        <v>20</v>
      </c>
      <c r="G525" t="s">
        <v>30</v>
      </c>
      <c r="H525" t="s">
        <v>1582</v>
      </c>
    </row>
    <row r="526" spans="1:8" x14ac:dyDescent="0.25">
      <c r="A526" t="s">
        <v>1583</v>
      </c>
      <c r="B526" t="s">
        <v>1584</v>
      </c>
      <c r="C526" s="1">
        <v>46024.890219907407</v>
      </c>
      <c r="D526">
        <v>673.28</v>
      </c>
      <c r="E526" t="s">
        <v>52</v>
      </c>
      <c r="F526" t="s">
        <v>20</v>
      </c>
      <c r="G526" t="s">
        <v>21</v>
      </c>
      <c r="H526" t="s">
        <v>1585</v>
      </c>
    </row>
    <row r="527" spans="1:8" x14ac:dyDescent="0.25">
      <c r="A527" t="s">
        <v>1586</v>
      </c>
      <c r="B527" t="s">
        <v>1587</v>
      </c>
      <c r="C527" s="1">
        <v>46025.987175925926</v>
      </c>
      <c r="D527">
        <v>1814.1</v>
      </c>
      <c r="E527" t="s">
        <v>19</v>
      </c>
      <c r="F527" t="s">
        <v>20</v>
      </c>
      <c r="G527" t="s">
        <v>26</v>
      </c>
      <c r="H527" t="s">
        <v>1588</v>
      </c>
    </row>
    <row r="528" spans="1:8" x14ac:dyDescent="0.25">
      <c r="A528" t="s">
        <v>1589</v>
      </c>
      <c r="B528" t="s">
        <v>1590</v>
      </c>
      <c r="C528" s="1">
        <v>46027.07885416667</v>
      </c>
      <c r="D528">
        <v>508.29</v>
      </c>
      <c r="E528" t="s">
        <v>25</v>
      </c>
      <c r="F528" t="s">
        <v>20</v>
      </c>
      <c r="G528" t="s">
        <v>30</v>
      </c>
      <c r="H528" t="s">
        <v>1591</v>
      </c>
    </row>
    <row r="529" spans="1:8" x14ac:dyDescent="0.25">
      <c r="A529" t="s">
        <v>1592</v>
      </c>
      <c r="B529" t="s">
        <v>1593</v>
      </c>
      <c r="C529" s="1">
        <v>46028.167627314811</v>
      </c>
      <c r="D529">
        <v>228.86</v>
      </c>
      <c r="E529" t="s">
        <v>25</v>
      </c>
      <c r="F529" t="s">
        <v>20</v>
      </c>
      <c r="G529" t="s">
        <v>21</v>
      </c>
      <c r="H529" t="s">
        <v>1594</v>
      </c>
    </row>
    <row r="530" spans="1:8" x14ac:dyDescent="0.25">
      <c r="A530" t="s">
        <v>1595</v>
      </c>
      <c r="B530" t="s">
        <v>1596</v>
      </c>
      <c r="C530" s="1">
        <v>46028.281631944446</v>
      </c>
      <c r="D530">
        <v>1181.33</v>
      </c>
      <c r="E530" t="s">
        <v>25</v>
      </c>
      <c r="F530" t="s">
        <v>20</v>
      </c>
      <c r="G530" t="s">
        <v>26</v>
      </c>
      <c r="H530" t="s">
        <v>1597</v>
      </c>
    </row>
    <row r="531" spans="1:8" x14ac:dyDescent="0.25">
      <c r="A531" t="s">
        <v>1598</v>
      </c>
      <c r="B531" t="s">
        <v>1599</v>
      </c>
      <c r="C531" s="1">
        <v>46029.367037037038</v>
      </c>
      <c r="D531">
        <v>1132.8900000000001</v>
      </c>
      <c r="E531" t="s">
        <v>25</v>
      </c>
      <c r="F531" t="s">
        <v>20</v>
      </c>
      <c r="G531" t="s">
        <v>30</v>
      </c>
      <c r="H531" t="s">
        <v>1600</v>
      </c>
    </row>
    <row r="532" spans="1:8" x14ac:dyDescent="0.25">
      <c r="A532" t="s">
        <v>1601</v>
      </c>
      <c r="B532" t="s">
        <v>1602</v>
      </c>
      <c r="C532" s="1">
        <v>46030.440289351849</v>
      </c>
      <c r="D532">
        <v>2280.5500000000002</v>
      </c>
      <c r="E532" t="s">
        <v>25</v>
      </c>
      <c r="F532" t="s">
        <v>20</v>
      </c>
      <c r="G532" t="s">
        <v>21</v>
      </c>
      <c r="H532" t="s">
        <v>1603</v>
      </c>
    </row>
    <row r="533" spans="1:8" x14ac:dyDescent="0.25">
      <c r="A533" t="s">
        <v>1604</v>
      </c>
      <c r="B533" t="s">
        <v>1605</v>
      </c>
      <c r="C533" s="1">
        <v>46031.555092592593</v>
      </c>
      <c r="D533">
        <v>1883.5</v>
      </c>
      <c r="E533" t="s">
        <v>25</v>
      </c>
      <c r="F533" t="s">
        <v>20</v>
      </c>
      <c r="G533" t="s">
        <v>26</v>
      </c>
      <c r="H533" t="s">
        <v>1606</v>
      </c>
    </row>
    <row r="534" spans="1:8" x14ac:dyDescent="0.25">
      <c r="A534" t="s">
        <v>1607</v>
      </c>
      <c r="B534" t="s">
        <v>1608</v>
      </c>
      <c r="C534" s="1">
        <v>46032.632951388892</v>
      </c>
      <c r="D534">
        <v>2427.46</v>
      </c>
      <c r="E534" t="s">
        <v>25</v>
      </c>
      <c r="F534" t="s">
        <v>20</v>
      </c>
      <c r="G534" t="s">
        <v>30</v>
      </c>
      <c r="H534" t="s">
        <v>1609</v>
      </c>
    </row>
    <row r="535" spans="1:8" x14ac:dyDescent="0.25">
      <c r="A535" t="s">
        <v>1610</v>
      </c>
      <c r="B535" t="s">
        <v>1611</v>
      </c>
      <c r="C535" s="1">
        <v>46033.720775462964</v>
      </c>
      <c r="D535">
        <v>979.63</v>
      </c>
      <c r="E535" t="s">
        <v>25</v>
      </c>
      <c r="F535" t="s">
        <v>20</v>
      </c>
      <c r="G535" t="s">
        <v>21</v>
      </c>
      <c r="H535" t="s">
        <v>1612</v>
      </c>
    </row>
    <row r="536" spans="1:8" x14ac:dyDescent="0.25">
      <c r="A536" t="s">
        <v>1613</v>
      </c>
      <c r="B536" t="s">
        <v>1614</v>
      </c>
      <c r="C536" s="1">
        <v>46034.835439814815</v>
      </c>
      <c r="D536">
        <v>1587.87</v>
      </c>
      <c r="E536" t="s">
        <v>52</v>
      </c>
      <c r="F536" t="s">
        <v>20</v>
      </c>
      <c r="G536" t="s">
        <v>26</v>
      </c>
      <c r="H536" t="s">
        <v>1615</v>
      </c>
    </row>
    <row r="537" spans="1:8" x14ac:dyDescent="0.25">
      <c r="A537" t="s">
        <v>1616</v>
      </c>
      <c r="B537" t="s">
        <v>1617</v>
      </c>
      <c r="C537" s="1">
        <v>46035.936539351853</v>
      </c>
      <c r="D537">
        <v>883.1</v>
      </c>
      <c r="E537" t="s">
        <v>19</v>
      </c>
      <c r="F537" t="s">
        <v>20</v>
      </c>
      <c r="G537" t="s">
        <v>30</v>
      </c>
      <c r="H537" t="s">
        <v>1618</v>
      </c>
    </row>
    <row r="538" spans="1:8" x14ac:dyDescent="0.25">
      <c r="A538" t="s">
        <v>1619</v>
      </c>
      <c r="B538" t="s">
        <v>1620</v>
      </c>
      <c r="C538" s="1">
        <v>46037.015173611115</v>
      </c>
      <c r="D538">
        <v>2283.86</v>
      </c>
      <c r="E538" t="s">
        <v>25</v>
      </c>
      <c r="F538" t="s">
        <v>20</v>
      </c>
      <c r="G538" t="s">
        <v>21</v>
      </c>
      <c r="H538" t="s">
        <v>1621</v>
      </c>
    </row>
    <row r="539" spans="1:8" x14ac:dyDescent="0.25">
      <c r="A539" t="s">
        <v>1622</v>
      </c>
      <c r="B539" t="s">
        <v>1623</v>
      </c>
      <c r="C539" s="1">
        <v>46024.107430555552</v>
      </c>
      <c r="D539">
        <v>962.37</v>
      </c>
      <c r="E539" t="s">
        <v>25</v>
      </c>
      <c r="F539" t="s">
        <v>20</v>
      </c>
      <c r="G539" t="s">
        <v>26</v>
      </c>
      <c r="H539" t="s">
        <v>1624</v>
      </c>
    </row>
    <row r="540" spans="1:8" x14ac:dyDescent="0.25">
      <c r="A540" t="s">
        <v>1625</v>
      </c>
      <c r="B540" t="s">
        <v>1626</v>
      </c>
      <c r="C540" s="1">
        <v>46025.202893518515</v>
      </c>
      <c r="D540">
        <v>1620.21</v>
      </c>
      <c r="E540" t="s">
        <v>25</v>
      </c>
      <c r="F540" t="s">
        <v>20</v>
      </c>
      <c r="G540" t="s">
        <v>30</v>
      </c>
      <c r="H540" t="s">
        <v>1627</v>
      </c>
    </row>
    <row r="541" spans="1:8" x14ac:dyDescent="0.25">
      <c r="A541" t="s">
        <v>1628</v>
      </c>
      <c r="B541" t="s">
        <v>1629</v>
      </c>
      <c r="C541" s="1">
        <v>46025.268460648149</v>
      </c>
      <c r="D541">
        <v>876.95</v>
      </c>
      <c r="E541" t="s">
        <v>25</v>
      </c>
      <c r="F541" t="s">
        <v>20</v>
      </c>
      <c r="G541" t="s">
        <v>21</v>
      </c>
      <c r="H541" t="s">
        <v>1630</v>
      </c>
    </row>
    <row r="542" spans="1:8" x14ac:dyDescent="0.25">
      <c r="A542" t="s">
        <v>1631</v>
      </c>
      <c r="B542" t="s">
        <v>1632</v>
      </c>
      <c r="C542" s="1">
        <v>46026.39162037037</v>
      </c>
      <c r="D542">
        <v>1158.08</v>
      </c>
      <c r="E542" t="s">
        <v>25</v>
      </c>
      <c r="F542" t="s">
        <v>20</v>
      </c>
      <c r="G542" t="s">
        <v>26</v>
      </c>
      <c r="H542" t="s">
        <v>1633</v>
      </c>
    </row>
    <row r="543" spans="1:8" x14ac:dyDescent="0.25">
      <c r="A543" t="s">
        <v>1634</v>
      </c>
      <c r="B543" t="s">
        <v>1635</v>
      </c>
      <c r="C543" s="1">
        <v>46027.47760416667</v>
      </c>
      <c r="D543">
        <v>2204.52</v>
      </c>
      <c r="E543" t="s">
        <v>25</v>
      </c>
      <c r="F543" t="s">
        <v>20</v>
      </c>
      <c r="G543" t="s">
        <v>30</v>
      </c>
      <c r="H543" t="s">
        <v>1636</v>
      </c>
    </row>
    <row r="544" spans="1:8" x14ac:dyDescent="0.25">
      <c r="A544" t="s">
        <v>1637</v>
      </c>
      <c r="B544" t="s">
        <v>1638</v>
      </c>
      <c r="C544" s="1">
        <v>46028.577314814815</v>
      </c>
      <c r="D544">
        <v>2263.1799999999998</v>
      </c>
      <c r="E544" t="s">
        <v>25</v>
      </c>
      <c r="F544" t="s">
        <v>20</v>
      </c>
      <c r="G544" t="s">
        <v>21</v>
      </c>
      <c r="H544" t="s">
        <v>1639</v>
      </c>
    </row>
    <row r="545" spans="1:8" x14ac:dyDescent="0.25">
      <c r="A545" t="s">
        <v>1640</v>
      </c>
      <c r="B545" t="s">
        <v>1641</v>
      </c>
      <c r="C545" s="1">
        <v>46029.655949074076</v>
      </c>
      <c r="D545">
        <v>2388.0700000000002</v>
      </c>
      <c r="E545" t="s">
        <v>25</v>
      </c>
      <c r="F545" t="s">
        <v>20</v>
      </c>
      <c r="G545" t="s">
        <v>26</v>
      </c>
      <c r="H545" t="s">
        <v>1642</v>
      </c>
    </row>
    <row r="546" spans="1:8" x14ac:dyDescent="0.25">
      <c r="A546" t="s">
        <v>1643</v>
      </c>
      <c r="B546" t="s">
        <v>1644</v>
      </c>
      <c r="C546" s="1">
        <v>46030.725138888891</v>
      </c>
      <c r="D546">
        <v>2284.62</v>
      </c>
      <c r="E546" t="s">
        <v>52</v>
      </c>
      <c r="F546" t="s">
        <v>20</v>
      </c>
      <c r="G546" t="s">
        <v>30</v>
      </c>
      <c r="H546" t="s">
        <v>1645</v>
      </c>
    </row>
    <row r="547" spans="1:8" x14ac:dyDescent="0.25">
      <c r="A547" t="s">
        <v>1646</v>
      </c>
      <c r="B547" t="s">
        <v>1647</v>
      </c>
      <c r="C547" s="1">
        <v>46031.852662037039</v>
      </c>
      <c r="D547">
        <v>1321.87</v>
      </c>
      <c r="E547" t="s">
        <v>19</v>
      </c>
      <c r="F547" t="s">
        <v>20</v>
      </c>
      <c r="G547" t="s">
        <v>21</v>
      </c>
      <c r="H547" t="s">
        <v>1648</v>
      </c>
    </row>
    <row r="548" spans="1:8" x14ac:dyDescent="0.25">
      <c r="A548" t="s">
        <v>1649</v>
      </c>
      <c r="B548" t="s">
        <v>1650</v>
      </c>
      <c r="C548" s="1">
        <v>46032.939085648148</v>
      </c>
      <c r="D548">
        <v>1256.48</v>
      </c>
      <c r="E548" t="s">
        <v>25</v>
      </c>
      <c r="F548" t="s">
        <v>20</v>
      </c>
      <c r="G548" t="s">
        <v>26</v>
      </c>
      <c r="H548" t="s">
        <v>1651</v>
      </c>
    </row>
    <row r="549" spans="1:8" x14ac:dyDescent="0.25">
      <c r="A549" t="s">
        <v>1652</v>
      </c>
      <c r="B549" t="s">
        <v>1653</v>
      </c>
      <c r="C549" s="1">
        <v>46034.013854166667</v>
      </c>
      <c r="D549">
        <v>1530.72</v>
      </c>
      <c r="E549" t="s">
        <v>25</v>
      </c>
      <c r="F549" t="s">
        <v>20</v>
      </c>
      <c r="G549" t="s">
        <v>30</v>
      </c>
      <c r="H549" t="s">
        <v>1654</v>
      </c>
    </row>
    <row r="550" spans="1:8" x14ac:dyDescent="0.25">
      <c r="A550" t="s">
        <v>1655</v>
      </c>
      <c r="B550" t="s">
        <v>1656</v>
      </c>
      <c r="C550" s="1">
        <v>46035.109201388892</v>
      </c>
      <c r="D550">
        <v>805.35</v>
      </c>
      <c r="E550" t="s">
        <v>25</v>
      </c>
      <c r="F550" t="s">
        <v>20</v>
      </c>
      <c r="G550" t="s">
        <v>21</v>
      </c>
      <c r="H550" t="s">
        <v>1657</v>
      </c>
    </row>
    <row r="551" spans="1:8" x14ac:dyDescent="0.25">
      <c r="A551" t="s">
        <v>1658</v>
      </c>
      <c r="B551" t="s">
        <v>1659</v>
      </c>
      <c r="C551" s="1">
        <v>46036.202650462961</v>
      </c>
      <c r="D551">
        <v>2441.1799999999998</v>
      </c>
      <c r="E551" t="s">
        <v>25</v>
      </c>
      <c r="F551" t="s">
        <v>20</v>
      </c>
      <c r="G551" t="s">
        <v>26</v>
      </c>
      <c r="H551" t="s">
        <v>1660</v>
      </c>
    </row>
    <row r="552" spans="1:8" x14ac:dyDescent="0.25">
      <c r="A552" t="s">
        <v>1661</v>
      </c>
      <c r="B552" t="s">
        <v>1662</v>
      </c>
      <c r="C552" s="1">
        <v>46036.280613425923</v>
      </c>
      <c r="D552">
        <v>1171.99</v>
      </c>
      <c r="E552" t="s">
        <v>25</v>
      </c>
      <c r="F552" t="s">
        <v>20</v>
      </c>
      <c r="G552" t="s">
        <v>30</v>
      </c>
      <c r="H552" t="s">
        <v>1663</v>
      </c>
    </row>
    <row r="553" spans="1:8" x14ac:dyDescent="0.25">
      <c r="A553" t="s">
        <v>1664</v>
      </c>
      <c r="B553" t="s">
        <v>1665</v>
      </c>
      <c r="C553" s="1">
        <v>46023.402592592596</v>
      </c>
      <c r="D553">
        <v>1358.04</v>
      </c>
      <c r="E553" t="s">
        <v>25</v>
      </c>
      <c r="F553" t="s">
        <v>20</v>
      </c>
      <c r="G553" t="s">
        <v>21</v>
      </c>
      <c r="H553" t="s">
        <v>1666</v>
      </c>
    </row>
    <row r="554" spans="1:8" x14ac:dyDescent="0.25">
      <c r="A554" t="s">
        <v>1667</v>
      </c>
      <c r="B554" t="s">
        <v>1668</v>
      </c>
      <c r="C554" s="1">
        <v>46024.46707175926</v>
      </c>
      <c r="D554">
        <v>703.32</v>
      </c>
      <c r="E554" t="s">
        <v>25</v>
      </c>
      <c r="F554" t="s">
        <v>20</v>
      </c>
      <c r="G554" t="s">
        <v>26</v>
      </c>
      <c r="H554" t="s">
        <v>1669</v>
      </c>
    </row>
    <row r="555" spans="1:8" x14ac:dyDescent="0.25">
      <c r="A555" t="s">
        <v>1670</v>
      </c>
      <c r="B555" t="s">
        <v>1671</v>
      </c>
      <c r="C555" s="1">
        <v>46025.58803240741</v>
      </c>
      <c r="D555">
        <v>1849.68</v>
      </c>
      <c r="E555" t="s">
        <v>25</v>
      </c>
      <c r="F555" t="s">
        <v>20</v>
      </c>
      <c r="G555" t="s">
        <v>30</v>
      </c>
      <c r="H555" t="s">
        <v>1672</v>
      </c>
    </row>
    <row r="556" spans="1:8" x14ac:dyDescent="0.25">
      <c r="A556" t="s">
        <v>1673</v>
      </c>
      <c r="B556" t="s">
        <v>1674</v>
      </c>
      <c r="C556" s="1">
        <v>46026.6408912037</v>
      </c>
      <c r="D556">
        <v>1265.25</v>
      </c>
      <c r="E556" t="s">
        <v>52</v>
      </c>
      <c r="F556" t="s">
        <v>20</v>
      </c>
      <c r="G556" t="s">
        <v>21</v>
      </c>
      <c r="H556" t="s">
        <v>1675</v>
      </c>
    </row>
    <row r="557" spans="1:8" x14ac:dyDescent="0.25">
      <c r="A557" t="s">
        <v>1676</v>
      </c>
      <c r="B557" t="s">
        <v>1677</v>
      </c>
      <c r="C557" s="1">
        <v>46027.748622685183</v>
      </c>
      <c r="D557">
        <v>1121.67</v>
      </c>
      <c r="E557" t="s">
        <v>19</v>
      </c>
      <c r="F557" t="s">
        <v>20</v>
      </c>
      <c r="G557" t="s">
        <v>26</v>
      </c>
      <c r="H557" t="s">
        <v>1678</v>
      </c>
    </row>
    <row r="558" spans="1:8" x14ac:dyDescent="0.25">
      <c r="A558" t="s">
        <v>1679</v>
      </c>
      <c r="B558" t="s">
        <v>1680</v>
      </c>
      <c r="C558" s="1">
        <v>46028.82440972222</v>
      </c>
      <c r="D558">
        <v>2005.44</v>
      </c>
      <c r="E558" t="s">
        <v>25</v>
      </c>
      <c r="F558" t="s">
        <v>20</v>
      </c>
      <c r="G558" t="s">
        <v>30</v>
      </c>
      <c r="H558" t="s">
        <v>1681</v>
      </c>
    </row>
    <row r="559" spans="1:8" x14ac:dyDescent="0.25">
      <c r="A559" t="s">
        <v>1682</v>
      </c>
      <c r="B559" t="s">
        <v>1683</v>
      </c>
      <c r="C559" s="1">
        <v>46029.949282407404</v>
      </c>
      <c r="D559">
        <v>2104.71</v>
      </c>
      <c r="E559" t="s">
        <v>25</v>
      </c>
      <c r="F559" t="s">
        <v>20</v>
      </c>
      <c r="G559" t="s">
        <v>21</v>
      </c>
      <c r="H559" t="s">
        <v>1684</v>
      </c>
    </row>
    <row r="560" spans="1:8" x14ac:dyDescent="0.25">
      <c r="A560" t="s">
        <v>1685</v>
      </c>
      <c r="B560" t="s">
        <v>1686</v>
      </c>
      <c r="C560" s="1">
        <v>46031.019918981481</v>
      </c>
      <c r="D560">
        <v>1397.38</v>
      </c>
      <c r="E560" t="s">
        <v>25</v>
      </c>
      <c r="F560" t="s">
        <v>20</v>
      </c>
      <c r="G560" t="s">
        <v>26</v>
      </c>
      <c r="H560" t="s">
        <v>1687</v>
      </c>
    </row>
    <row r="561" spans="1:8" x14ac:dyDescent="0.25">
      <c r="A561" t="s">
        <v>1688</v>
      </c>
      <c r="B561" t="s">
        <v>1689</v>
      </c>
      <c r="C561" s="1">
        <v>46032.133414351854</v>
      </c>
      <c r="D561">
        <v>2419.94</v>
      </c>
      <c r="E561" t="s">
        <v>25</v>
      </c>
      <c r="F561" t="s">
        <v>20</v>
      </c>
      <c r="G561" t="s">
        <v>30</v>
      </c>
      <c r="H561" t="s">
        <v>1690</v>
      </c>
    </row>
    <row r="562" spans="1:8" x14ac:dyDescent="0.25">
      <c r="A562" t="s">
        <v>1691</v>
      </c>
      <c r="B562" t="s">
        <v>1692</v>
      </c>
      <c r="C562" s="1">
        <v>46033.204583333332</v>
      </c>
      <c r="D562">
        <v>1679.42</v>
      </c>
      <c r="E562" t="s">
        <v>25</v>
      </c>
      <c r="F562" t="s">
        <v>20</v>
      </c>
      <c r="G562" t="s">
        <v>21</v>
      </c>
      <c r="H562" t="s">
        <v>1693</v>
      </c>
    </row>
    <row r="563" spans="1:8" x14ac:dyDescent="0.25">
      <c r="A563" t="s">
        <v>1694</v>
      </c>
      <c r="B563" t="s">
        <v>1695</v>
      </c>
      <c r="C563" s="1">
        <v>46033.322500000002</v>
      </c>
      <c r="D563">
        <v>331.94</v>
      </c>
      <c r="E563" t="s">
        <v>25</v>
      </c>
      <c r="F563" t="s">
        <v>20</v>
      </c>
      <c r="G563" t="s">
        <v>26</v>
      </c>
      <c r="H563" t="s">
        <v>1696</v>
      </c>
    </row>
    <row r="564" spans="1:8" x14ac:dyDescent="0.25">
      <c r="A564" t="s">
        <v>1697</v>
      </c>
      <c r="B564" t="s">
        <v>1698</v>
      </c>
      <c r="C564" s="1">
        <v>46034.395208333335</v>
      </c>
      <c r="D564">
        <v>289.45999999999998</v>
      </c>
      <c r="E564" t="s">
        <v>25</v>
      </c>
      <c r="F564" t="s">
        <v>20</v>
      </c>
      <c r="G564" t="s">
        <v>30</v>
      </c>
      <c r="H564" t="s">
        <v>1699</v>
      </c>
    </row>
    <row r="565" spans="1:8" x14ac:dyDescent="0.25">
      <c r="A565" t="s">
        <v>1700</v>
      </c>
      <c r="B565" t="s">
        <v>1701</v>
      </c>
      <c r="C565" s="1">
        <v>46035.49119212963</v>
      </c>
      <c r="D565">
        <v>2332.38</v>
      </c>
      <c r="E565" t="s">
        <v>25</v>
      </c>
      <c r="F565" t="s">
        <v>20</v>
      </c>
      <c r="G565" t="s">
        <v>21</v>
      </c>
      <c r="H565" t="s">
        <v>1702</v>
      </c>
    </row>
    <row r="566" spans="1:8" x14ac:dyDescent="0.25">
      <c r="A566" t="s">
        <v>1703</v>
      </c>
      <c r="B566" t="s">
        <v>1704</v>
      </c>
      <c r="C566" s="1">
        <v>46036.574918981481</v>
      </c>
      <c r="D566">
        <v>674.55</v>
      </c>
      <c r="E566" t="s">
        <v>52</v>
      </c>
      <c r="F566" t="s">
        <v>20</v>
      </c>
      <c r="G566" t="s">
        <v>26</v>
      </c>
      <c r="H566" t="s">
        <v>1705</v>
      </c>
    </row>
    <row r="567" spans="1:8" x14ac:dyDescent="0.25">
      <c r="A567" t="s">
        <v>1706</v>
      </c>
      <c r="B567" t="s">
        <v>1707</v>
      </c>
      <c r="C567" s="1">
        <v>46023.685416666667</v>
      </c>
      <c r="D567">
        <v>1393.3</v>
      </c>
      <c r="E567" t="s">
        <v>19</v>
      </c>
      <c r="F567" t="s">
        <v>20</v>
      </c>
      <c r="G567" t="s">
        <v>30</v>
      </c>
      <c r="H567" t="s">
        <v>1708</v>
      </c>
    </row>
    <row r="568" spans="1:8" x14ac:dyDescent="0.25">
      <c r="A568" t="s">
        <v>1709</v>
      </c>
      <c r="B568" t="s">
        <v>1710</v>
      </c>
      <c r="C568" s="1">
        <v>46024.746087962965</v>
      </c>
      <c r="D568">
        <v>1311</v>
      </c>
      <c r="E568" t="s">
        <v>25</v>
      </c>
      <c r="F568" t="s">
        <v>20</v>
      </c>
      <c r="G568" t="s">
        <v>21</v>
      </c>
      <c r="H568" t="s">
        <v>1711</v>
      </c>
    </row>
    <row r="569" spans="1:8" x14ac:dyDescent="0.25">
      <c r="A569" t="s">
        <v>1709</v>
      </c>
      <c r="B569" t="s">
        <v>1710</v>
      </c>
      <c r="C569" s="1">
        <v>46024.746087962965</v>
      </c>
      <c r="D569">
        <v>1311</v>
      </c>
      <c r="E569" t="s">
        <v>25</v>
      </c>
      <c r="F569" t="s">
        <v>20</v>
      </c>
      <c r="G569" t="s">
        <v>21</v>
      </c>
      <c r="H569" t="s">
        <v>1711</v>
      </c>
    </row>
    <row r="570" spans="1:8" x14ac:dyDescent="0.25">
      <c r="A570" t="s">
        <v>1712</v>
      </c>
      <c r="B570" t="s">
        <v>1713</v>
      </c>
      <c r="C570" s="1">
        <v>46025.861354166664</v>
      </c>
      <c r="D570">
        <v>370.67</v>
      </c>
      <c r="E570" t="s">
        <v>25</v>
      </c>
      <c r="F570" t="s">
        <v>20</v>
      </c>
      <c r="G570" t="s">
        <v>26</v>
      </c>
      <c r="H570" t="s">
        <v>1714</v>
      </c>
    </row>
    <row r="571" spans="1:8" x14ac:dyDescent="0.25">
      <c r="A571" t="s">
        <v>1715</v>
      </c>
      <c r="B571" t="s">
        <v>1716</v>
      </c>
      <c r="C571" s="1">
        <v>46026.955451388887</v>
      </c>
      <c r="D571">
        <v>557.15</v>
      </c>
      <c r="E571" t="s">
        <v>25</v>
      </c>
      <c r="F571" t="s">
        <v>20</v>
      </c>
      <c r="G571" t="s">
        <v>30</v>
      </c>
      <c r="H571" t="s">
        <v>1717</v>
      </c>
    </row>
    <row r="572" spans="1:8" x14ac:dyDescent="0.25">
      <c r="A572" t="s">
        <v>1718</v>
      </c>
      <c r="B572" t="s">
        <v>1719</v>
      </c>
      <c r="C572" s="1">
        <v>46028.022939814815</v>
      </c>
      <c r="D572">
        <v>1010.54</v>
      </c>
      <c r="E572" t="s">
        <v>25</v>
      </c>
      <c r="F572" t="s">
        <v>20</v>
      </c>
      <c r="G572" t="s">
        <v>21</v>
      </c>
      <c r="H572" t="s">
        <v>1720</v>
      </c>
    </row>
    <row r="573" spans="1:8" x14ac:dyDescent="0.25">
      <c r="A573" t="s">
        <v>1721</v>
      </c>
      <c r="B573" t="s">
        <v>1722</v>
      </c>
      <c r="C573" s="1">
        <v>46029.113344907404</v>
      </c>
      <c r="D573">
        <v>1494.4</v>
      </c>
      <c r="E573" t="s">
        <v>25</v>
      </c>
      <c r="F573" t="s">
        <v>20</v>
      </c>
      <c r="G573" t="s">
        <v>26</v>
      </c>
      <c r="H573" t="s">
        <v>1723</v>
      </c>
    </row>
    <row r="574" spans="1:8" x14ac:dyDescent="0.25">
      <c r="A574" t="s">
        <v>1724</v>
      </c>
      <c r="B574" t="s">
        <v>1725</v>
      </c>
      <c r="C574" s="1">
        <v>46030.216354166667</v>
      </c>
      <c r="D574">
        <v>1738.63</v>
      </c>
      <c r="E574" t="s">
        <v>25</v>
      </c>
      <c r="F574" t="s">
        <v>20</v>
      </c>
      <c r="G574" t="s">
        <v>30</v>
      </c>
      <c r="H574" t="s">
        <v>1726</v>
      </c>
    </row>
    <row r="575" spans="1:8" x14ac:dyDescent="0.25">
      <c r="A575" t="s">
        <v>1727</v>
      </c>
      <c r="B575" t="s">
        <v>1728</v>
      </c>
      <c r="C575" s="1">
        <v>46030.311284722222</v>
      </c>
      <c r="D575">
        <v>2070.0700000000002</v>
      </c>
      <c r="E575" t="s">
        <v>25</v>
      </c>
      <c r="F575" t="s">
        <v>20</v>
      </c>
      <c r="G575" t="s">
        <v>21</v>
      </c>
      <c r="H575" t="s">
        <v>1729</v>
      </c>
    </row>
    <row r="576" spans="1:8" x14ac:dyDescent="0.25">
      <c r="A576" t="s">
        <v>1730</v>
      </c>
      <c r="B576" t="s">
        <v>1731</v>
      </c>
      <c r="C576" s="1">
        <v>46031.419120370374</v>
      </c>
      <c r="D576">
        <v>2385.5700000000002</v>
      </c>
      <c r="E576" t="s">
        <v>25</v>
      </c>
      <c r="F576" t="s">
        <v>20</v>
      </c>
      <c r="G576" t="s">
        <v>26</v>
      </c>
      <c r="H576" t="s">
        <v>1732</v>
      </c>
    </row>
    <row r="577" spans="1:8" x14ac:dyDescent="0.25">
      <c r="A577" t="s">
        <v>1733</v>
      </c>
      <c r="B577" t="s">
        <v>1734</v>
      </c>
      <c r="C577" s="1">
        <v>46032.487037037034</v>
      </c>
      <c r="D577">
        <v>1810.31</v>
      </c>
      <c r="E577" t="s">
        <v>52</v>
      </c>
      <c r="F577" t="s">
        <v>20</v>
      </c>
      <c r="G577" t="s">
        <v>30</v>
      </c>
      <c r="H577" t="s">
        <v>1735</v>
      </c>
    </row>
    <row r="578" spans="1:8" x14ac:dyDescent="0.25">
      <c r="A578" t="s">
        <v>1736</v>
      </c>
      <c r="B578" t="s">
        <v>1737</v>
      </c>
      <c r="C578" s="1">
        <v>46033.595150462963</v>
      </c>
      <c r="D578">
        <v>1693.55</v>
      </c>
      <c r="E578" t="s">
        <v>19</v>
      </c>
      <c r="F578" t="s">
        <v>20</v>
      </c>
      <c r="G578" t="s">
        <v>21</v>
      </c>
      <c r="H578" t="s">
        <v>1738</v>
      </c>
    </row>
    <row r="579" spans="1:8" x14ac:dyDescent="0.25">
      <c r="A579" t="s">
        <v>1739</v>
      </c>
      <c r="B579" t="s">
        <v>1740</v>
      </c>
      <c r="C579" s="1">
        <v>46034.667650462965</v>
      </c>
      <c r="D579">
        <v>1845.31</v>
      </c>
      <c r="E579" t="s">
        <v>25</v>
      </c>
      <c r="F579" t="s">
        <v>20</v>
      </c>
      <c r="G579" t="s">
        <v>26</v>
      </c>
      <c r="H579" t="s">
        <v>1741</v>
      </c>
    </row>
    <row r="580" spans="1:8" x14ac:dyDescent="0.25">
      <c r="A580" t="s">
        <v>1742</v>
      </c>
      <c r="B580" t="s">
        <v>1743</v>
      </c>
      <c r="C580" s="1">
        <v>46035.778379629628</v>
      </c>
      <c r="D580">
        <v>916.87</v>
      </c>
      <c r="E580" t="s">
        <v>25</v>
      </c>
      <c r="F580" t="s">
        <v>20</v>
      </c>
      <c r="G580" t="s">
        <v>30</v>
      </c>
      <c r="H580" t="s">
        <v>1744</v>
      </c>
    </row>
    <row r="581" spans="1:8" x14ac:dyDescent="0.25">
      <c r="A581" t="s">
        <v>1745</v>
      </c>
      <c r="B581" t="s">
        <v>1746</v>
      </c>
      <c r="C581" s="1">
        <v>46036.843969907408</v>
      </c>
      <c r="D581">
        <v>1926.29</v>
      </c>
      <c r="E581" t="s">
        <v>25</v>
      </c>
      <c r="F581" t="s">
        <v>20</v>
      </c>
      <c r="G581" t="s">
        <v>21</v>
      </c>
      <c r="H581" t="s">
        <v>1747</v>
      </c>
    </row>
    <row r="582" spans="1:8" x14ac:dyDescent="0.25">
      <c r="A582" t="s">
        <v>1748</v>
      </c>
      <c r="B582" t="s">
        <v>1749</v>
      </c>
      <c r="C582" s="1">
        <v>46023.96298611111</v>
      </c>
      <c r="D582">
        <v>55.6</v>
      </c>
      <c r="E582" t="s">
        <v>25</v>
      </c>
      <c r="F582" t="s">
        <v>20</v>
      </c>
      <c r="G582" t="s">
        <v>26</v>
      </c>
      <c r="H582" t="s">
        <v>1750</v>
      </c>
    </row>
    <row r="583" spans="1:8" x14ac:dyDescent="0.25">
      <c r="A583" t="s">
        <v>1751</v>
      </c>
      <c r="B583" t="s">
        <v>1752</v>
      </c>
      <c r="C583" s="1">
        <v>46025.024074074077</v>
      </c>
      <c r="D583">
        <v>214.83</v>
      </c>
      <c r="E583" t="s">
        <v>25</v>
      </c>
      <c r="F583" t="s">
        <v>20</v>
      </c>
      <c r="G583" t="s">
        <v>30</v>
      </c>
      <c r="H583" t="s">
        <v>1753</v>
      </c>
    </row>
    <row r="584" spans="1:8" x14ac:dyDescent="0.25">
      <c r="A584" t="s">
        <v>1754</v>
      </c>
      <c r="B584" t="s">
        <v>1755</v>
      </c>
      <c r="C584" s="1">
        <v>46026.122534722221</v>
      </c>
      <c r="D584">
        <v>582.35</v>
      </c>
      <c r="E584" t="s">
        <v>25</v>
      </c>
      <c r="F584" t="s">
        <v>20</v>
      </c>
      <c r="G584" t="s">
        <v>21</v>
      </c>
      <c r="H584" t="s">
        <v>1756</v>
      </c>
    </row>
    <row r="585" spans="1:8" x14ac:dyDescent="0.25">
      <c r="A585" t="s">
        <v>1757</v>
      </c>
      <c r="B585" t="s">
        <v>1758</v>
      </c>
      <c r="C585" s="1">
        <v>46026.234537037039</v>
      </c>
      <c r="D585">
        <v>1524.39</v>
      </c>
      <c r="E585" t="s">
        <v>25</v>
      </c>
      <c r="F585" t="s">
        <v>20</v>
      </c>
      <c r="G585" t="s">
        <v>26</v>
      </c>
      <c r="H585" t="s">
        <v>1759</v>
      </c>
    </row>
    <row r="586" spans="1:8" x14ac:dyDescent="0.25">
      <c r="A586" t="s">
        <v>1760</v>
      </c>
      <c r="B586" t="s">
        <v>1761</v>
      </c>
      <c r="C586" s="1">
        <v>46027.331701388888</v>
      </c>
      <c r="D586">
        <v>1385.87</v>
      </c>
      <c r="E586" t="s">
        <v>25</v>
      </c>
      <c r="F586" t="s">
        <v>20</v>
      </c>
      <c r="G586" t="s">
        <v>30</v>
      </c>
      <c r="H586" t="s">
        <v>1762</v>
      </c>
    </row>
    <row r="587" spans="1:8" x14ac:dyDescent="0.25">
      <c r="A587" t="s">
        <v>1763</v>
      </c>
      <c r="B587" t="s">
        <v>1764</v>
      </c>
      <c r="C587" s="1">
        <v>46028.416388888887</v>
      </c>
      <c r="D587">
        <v>196.4</v>
      </c>
      <c r="E587" t="s">
        <v>52</v>
      </c>
      <c r="F587" t="s">
        <v>20</v>
      </c>
      <c r="G587" t="s">
        <v>21</v>
      </c>
      <c r="H587" t="s">
        <v>1765</v>
      </c>
    </row>
    <row r="588" spans="1:8" x14ac:dyDescent="0.25">
      <c r="A588" t="s">
        <v>1766</v>
      </c>
      <c r="B588" t="s">
        <v>1767</v>
      </c>
      <c r="C588" s="1">
        <v>46029.506365740737</v>
      </c>
      <c r="D588">
        <v>310.01</v>
      </c>
      <c r="E588" t="s">
        <v>19</v>
      </c>
      <c r="F588" t="s">
        <v>20</v>
      </c>
      <c r="G588" t="s">
        <v>26</v>
      </c>
      <c r="H588" t="s">
        <v>1768</v>
      </c>
    </row>
    <row r="589" spans="1:8" x14ac:dyDescent="0.25">
      <c r="A589" t="s">
        <v>1769</v>
      </c>
      <c r="B589" t="s">
        <v>1770</v>
      </c>
      <c r="C589" s="1">
        <v>46030.578460648147</v>
      </c>
      <c r="D589">
        <v>2030.37</v>
      </c>
      <c r="E589" t="s">
        <v>25</v>
      </c>
      <c r="F589" t="s">
        <v>20</v>
      </c>
      <c r="G589" t="s">
        <v>30</v>
      </c>
      <c r="H589" t="s">
        <v>1771</v>
      </c>
    </row>
    <row r="590" spans="1:8" x14ac:dyDescent="0.25">
      <c r="A590" t="s">
        <v>1772</v>
      </c>
      <c r="B590" t="s">
        <v>1773</v>
      </c>
      <c r="C590" s="1">
        <v>46031.673425925925</v>
      </c>
      <c r="D590">
        <v>1042.3499999999999</v>
      </c>
      <c r="E590" t="s">
        <v>25</v>
      </c>
      <c r="F590" t="s">
        <v>20</v>
      </c>
      <c r="G590" t="s">
        <v>21</v>
      </c>
      <c r="H590" t="s">
        <v>1774</v>
      </c>
    </row>
    <row r="591" spans="1:8" x14ac:dyDescent="0.25">
      <c r="A591" t="s">
        <v>1775</v>
      </c>
      <c r="B591" t="s">
        <v>1776</v>
      </c>
      <c r="C591" s="1">
        <v>46032.789988425924</v>
      </c>
      <c r="D591">
        <v>1252.4000000000001</v>
      </c>
      <c r="E591" t="s">
        <v>25</v>
      </c>
      <c r="F591" t="s">
        <v>20</v>
      </c>
      <c r="G591" t="s">
        <v>26</v>
      </c>
      <c r="H591" t="s">
        <v>1777</v>
      </c>
    </row>
    <row r="592" spans="1:8" x14ac:dyDescent="0.25">
      <c r="A592" t="s">
        <v>1778</v>
      </c>
      <c r="B592" t="s">
        <v>1779</v>
      </c>
      <c r="C592" s="1">
        <v>46033.869201388887</v>
      </c>
      <c r="D592">
        <v>1404.41</v>
      </c>
      <c r="E592" t="s">
        <v>25</v>
      </c>
      <c r="F592" t="s">
        <v>20</v>
      </c>
      <c r="G592" t="s">
        <v>30</v>
      </c>
      <c r="H592" t="s">
        <v>1780</v>
      </c>
    </row>
    <row r="593" spans="1:8" x14ac:dyDescent="0.25">
      <c r="A593" t="s">
        <v>1781</v>
      </c>
      <c r="B593" t="s">
        <v>1782</v>
      </c>
      <c r="C593" s="1">
        <v>46034.977349537039</v>
      </c>
      <c r="D593">
        <v>1821.7</v>
      </c>
      <c r="E593" t="s">
        <v>25</v>
      </c>
      <c r="F593" t="s">
        <v>20</v>
      </c>
      <c r="G593" t="s">
        <v>21</v>
      </c>
      <c r="H593" t="s">
        <v>1783</v>
      </c>
    </row>
    <row r="594" spans="1:8" x14ac:dyDescent="0.25">
      <c r="A594" t="s">
        <v>1784</v>
      </c>
      <c r="B594" t="s">
        <v>1785</v>
      </c>
      <c r="C594" s="1">
        <v>46036.051400462966</v>
      </c>
      <c r="D594">
        <v>1001.13</v>
      </c>
      <c r="E594" t="s">
        <v>25</v>
      </c>
      <c r="F594" t="s">
        <v>20</v>
      </c>
      <c r="G594" t="s">
        <v>26</v>
      </c>
      <c r="H594" t="s">
        <v>1786</v>
      </c>
    </row>
    <row r="595" spans="1:8" x14ac:dyDescent="0.25">
      <c r="A595" t="s">
        <v>1787</v>
      </c>
      <c r="B595" t="s">
        <v>1788</v>
      </c>
      <c r="C595" s="1">
        <v>46037.136388888888</v>
      </c>
      <c r="D595">
        <v>2272.7199999999998</v>
      </c>
      <c r="E595" t="s">
        <v>25</v>
      </c>
      <c r="F595" t="s">
        <v>20</v>
      </c>
      <c r="G595" t="s">
        <v>30</v>
      </c>
      <c r="H595" t="s">
        <v>1789</v>
      </c>
    </row>
    <row r="596" spans="1:8" x14ac:dyDescent="0.25">
      <c r="A596" t="s">
        <v>1790</v>
      </c>
      <c r="B596" t="s">
        <v>1791</v>
      </c>
      <c r="C596" s="1">
        <v>46023.254907407405</v>
      </c>
      <c r="D596">
        <v>2290.2800000000002</v>
      </c>
      <c r="E596" t="s">
        <v>25</v>
      </c>
      <c r="F596" t="s">
        <v>20</v>
      </c>
      <c r="G596" t="s">
        <v>21</v>
      </c>
      <c r="H596" t="s">
        <v>1792</v>
      </c>
    </row>
    <row r="597" spans="1:8" x14ac:dyDescent="0.25">
      <c r="A597" t="s">
        <v>1793</v>
      </c>
      <c r="B597" t="s">
        <v>1794</v>
      </c>
      <c r="C597" s="1">
        <v>46024.318379629629</v>
      </c>
      <c r="D597">
        <v>1626.72</v>
      </c>
      <c r="E597" t="s">
        <v>52</v>
      </c>
      <c r="F597" t="s">
        <v>20</v>
      </c>
      <c r="G597" t="s">
        <v>26</v>
      </c>
      <c r="H597" t="s">
        <v>1795</v>
      </c>
    </row>
    <row r="598" spans="1:8" x14ac:dyDescent="0.25">
      <c r="A598" t="s">
        <v>1796</v>
      </c>
      <c r="B598" t="s">
        <v>1797</v>
      </c>
      <c r="C598" s="1">
        <v>46025.438530092593</v>
      </c>
      <c r="D598">
        <v>674.9</v>
      </c>
      <c r="E598" t="s">
        <v>19</v>
      </c>
      <c r="F598" t="s">
        <v>20</v>
      </c>
      <c r="G598" t="s">
        <v>30</v>
      </c>
      <c r="H598" t="s">
        <v>1798</v>
      </c>
    </row>
    <row r="599" spans="1:8" x14ac:dyDescent="0.25">
      <c r="A599" t="s">
        <v>1799</v>
      </c>
      <c r="B599" t="s">
        <v>1800</v>
      </c>
      <c r="C599" s="1">
        <v>46026.530555555553</v>
      </c>
      <c r="D599">
        <v>960.49</v>
      </c>
      <c r="E599" t="s">
        <v>25</v>
      </c>
      <c r="F599" t="s">
        <v>20</v>
      </c>
      <c r="G599" t="s">
        <v>21</v>
      </c>
      <c r="H599" t="s">
        <v>1801</v>
      </c>
    </row>
    <row r="600" spans="1:8" x14ac:dyDescent="0.25">
      <c r="A600" t="s">
        <v>1802</v>
      </c>
      <c r="B600" t="s">
        <v>1803</v>
      </c>
      <c r="C600" s="1">
        <v>46027.611377314817</v>
      </c>
      <c r="D600">
        <v>606.83000000000004</v>
      </c>
      <c r="E600" t="s">
        <v>25</v>
      </c>
      <c r="F600" t="s">
        <v>20</v>
      </c>
      <c r="G600" t="s">
        <v>26</v>
      </c>
      <c r="H600" t="s">
        <v>1804</v>
      </c>
    </row>
    <row r="601" spans="1:8" x14ac:dyDescent="0.25">
      <c r="A601" t="s">
        <v>1805</v>
      </c>
      <c r="B601" t="s">
        <v>1806</v>
      </c>
      <c r="C601" s="1">
        <v>46028.682812500003</v>
      </c>
      <c r="D601">
        <v>660.26</v>
      </c>
      <c r="E601" t="s">
        <v>25</v>
      </c>
      <c r="F601" t="s">
        <v>20</v>
      </c>
      <c r="G601" t="s">
        <v>30</v>
      </c>
      <c r="H601" t="s">
        <v>1807</v>
      </c>
    </row>
    <row r="602" spans="1:8" x14ac:dyDescent="0.25">
      <c r="A602" t="s">
        <v>1808</v>
      </c>
      <c r="B602" t="s">
        <v>1809</v>
      </c>
      <c r="C602" s="1">
        <v>46029.772060185183</v>
      </c>
      <c r="D602">
        <v>150.6</v>
      </c>
      <c r="E602" t="s">
        <v>25</v>
      </c>
      <c r="F602" t="s">
        <v>20</v>
      </c>
      <c r="G602" t="s">
        <v>21</v>
      </c>
      <c r="H602" t="s">
        <v>1810</v>
      </c>
    </row>
    <row r="603" spans="1:8" x14ac:dyDescent="0.25">
      <c r="A603" t="s">
        <v>1811</v>
      </c>
      <c r="B603" t="s">
        <v>1812</v>
      </c>
      <c r="C603" s="1">
        <v>46030.885300925926</v>
      </c>
      <c r="D603">
        <v>1245.53</v>
      </c>
      <c r="E603" t="s">
        <v>25</v>
      </c>
      <c r="F603" t="s">
        <v>20</v>
      </c>
      <c r="G603" t="s">
        <v>26</v>
      </c>
      <c r="H603" t="s">
        <v>1813</v>
      </c>
    </row>
    <row r="604" spans="1:8" x14ac:dyDescent="0.25">
      <c r="A604" t="s">
        <v>1814</v>
      </c>
      <c r="B604" t="s">
        <v>1815</v>
      </c>
      <c r="C604" s="1">
        <v>46031.951898148145</v>
      </c>
      <c r="D604">
        <v>1302.3499999999999</v>
      </c>
      <c r="E604" t="s">
        <v>25</v>
      </c>
      <c r="F604" t="s">
        <v>20</v>
      </c>
      <c r="G604" t="s">
        <v>30</v>
      </c>
      <c r="H604" t="s">
        <v>1816</v>
      </c>
    </row>
    <row r="605" spans="1:8" x14ac:dyDescent="0.25">
      <c r="A605" t="s">
        <v>1817</v>
      </c>
      <c r="B605" t="s">
        <v>1818</v>
      </c>
      <c r="C605" s="1">
        <v>46033.042326388888</v>
      </c>
      <c r="D605">
        <v>92.71</v>
      </c>
      <c r="E605" t="s">
        <v>25</v>
      </c>
      <c r="F605" t="s">
        <v>20</v>
      </c>
      <c r="G605" t="s">
        <v>21</v>
      </c>
      <c r="H605" t="s">
        <v>1819</v>
      </c>
    </row>
    <row r="606" spans="1:8" x14ac:dyDescent="0.25">
      <c r="A606" t="s">
        <v>1820</v>
      </c>
      <c r="B606" t="s">
        <v>1821</v>
      </c>
      <c r="C606" s="1">
        <v>46034.170289351852</v>
      </c>
      <c r="D606">
        <v>21.8</v>
      </c>
      <c r="E606" t="s">
        <v>25</v>
      </c>
      <c r="F606" t="s">
        <v>20</v>
      </c>
      <c r="G606" t="s">
        <v>26</v>
      </c>
      <c r="H606" t="s">
        <v>1822</v>
      </c>
    </row>
    <row r="607" spans="1:8" x14ac:dyDescent="0.25">
      <c r="A607" t="s">
        <v>1823</v>
      </c>
      <c r="B607" t="s">
        <v>1824</v>
      </c>
      <c r="C607" s="1">
        <v>46034.246018518519</v>
      </c>
      <c r="D607">
        <v>26.36</v>
      </c>
      <c r="E607" t="s">
        <v>52</v>
      </c>
      <c r="F607" t="s">
        <v>20</v>
      </c>
      <c r="G607" t="s">
        <v>30</v>
      </c>
      <c r="H607" t="s">
        <v>1825</v>
      </c>
    </row>
    <row r="608" spans="1:8" x14ac:dyDescent="0.25">
      <c r="A608" t="s">
        <v>1826</v>
      </c>
      <c r="B608" t="s">
        <v>1827</v>
      </c>
      <c r="C608" s="1">
        <v>46035.327962962961</v>
      </c>
      <c r="D608">
        <v>1466.25</v>
      </c>
      <c r="E608" t="s">
        <v>19</v>
      </c>
      <c r="F608" t="s">
        <v>20</v>
      </c>
      <c r="G608" t="s">
        <v>21</v>
      </c>
      <c r="H608" t="s">
        <v>1828</v>
      </c>
    </row>
    <row r="609" spans="1:8" x14ac:dyDescent="0.25">
      <c r="A609" t="s">
        <v>1829</v>
      </c>
      <c r="B609" t="s">
        <v>1830</v>
      </c>
      <c r="C609" s="1">
        <v>46036.406851851854</v>
      </c>
      <c r="D609">
        <v>1804.93</v>
      </c>
      <c r="E609" t="s">
        <v>25</v>
      </c>
      <c r="F609" t="s">
        <v>20</v>
      </c>
      <c r="G609" t="s">
        <v>26</v>
      </c>
      <c r="H609" t="s">
        <v>1831</v>
      </c>
    </row>
    <row r="610" spans="1:8" x14ac:dyDescent="0.25">
      <c r="A610" t="s">
        <v>1832</v>
      </c>
      <c r="B610" t="s">
        <v>1833</v>
      </c>
      <c r="C610" s="1">
        <v>46023.504074074073</v>
      </c>
      <c r="D610">
        <v>868.26</v>
      </c>
      <c r="E610" t="s">
        <v>25</v>
      </c>
      <c r="F610" t="s">
        <v>20</v>
      </c>
      <c r="G610" t="s">
        <v>30</v>
      </c>
      <c r="H610" t="s">
        <v>1834</v>
      </c>
    </row>
    <row r="611" spans="1:8" x14ac:dyDescent="0.25">
      <c r="A611" t="s">
        <v>1835</v>
      </c>
      <c r="B611" t="s">
        <v>1836</v>
      </c>
      <c r="C611" s="1">
        <v>46024.617824074077</v>
      </c>
      <c r="D611">
        <v>55.83</v>
      </c>
      <c r="E611" t="s">
        <v>25</v>
      </c>
      <c r="F611" t="s">
        <v>20</v>
      </c>
      <c r="G611" t="s">
        <v>21</v>
      </c>
      <c r="H611" t="s">
        <v>1837</v>
      </c>
    </row>
    <row r="612" spans="1:8" x14ac:dyDescent="0.25">
      <c r="A612" t="s">
        <v>1838</v>
      </c>
      <c r="B612" t="s">
        <v>1839</v>
      </c>
      <c r="C612" s="1">
        <v>46025.6950462963</v>
      </c>
      <c r="D612">
        <v>2036.82</v>
      </c>
      <c r="E612" t="s">
        <v>25</v>
      </c>
      <c r="F612" t="s">
        <v>20</v>
      </c>
      <c r="G612" t="s">
        <v>26</v>
      </c>
      <c r="H612" t="s">
        <v>1840</v>
      </c>
    </row>
    <row r="613" spans="1:8" x14ac:dyDescent="0.25">
      <c r="A613" t="s">
        <v>1841</v>
      </c>
      <c r="B613" t="s">
        <v>1842</v>
      </c>
      <c r="C613" s="1">
        <v>46026.785925925928</v>
      </c>
      <c r="D613">
        <v>2310.1999999999998</v>
      </c>
      <c r="E613" t="s">
        <v>25</v>
      </c>
      <c r="F613" t="s">
        <v>20</v>
      </c>
      <c r="G613" t="s">
        <v>30</v>
      </c>
      <c r="H613" t="s">
        <v>1843</v>
      </c>
    </row>
    <row r="614" spans="1:8" x14ac:dyDescent="0.25">
      <c r="A614" t="s">
        <v>1844</v>
      </c>
      <c r="B614" t="s">
        <v>1845</v>
      </c>
      <c r="C614" s="1">
        <v>46027.88690972222</v>
      </c>
      <c r="D614">
        <v>80.77</v>
      </c>
      <c r="E614" t="s">
        <v>25</v>
      </c>
      <c r="F614" t="s">
        <v>20</v>
      </c>
      <c r="G614" t="s">
        <v>21</v>
      </c>
      <c r="H614" t="s">
        <v>1846</v>
      </c>
    </row>
    <row r="615" spans="1:8" x14ac:dyDescent="0.25">
      <c r="A615" t="s">
        <v>1847</v>
      </c>
      <c r="B615" t="s">
        <v>1848</v>
      </c>
      <c r="C615" s="1">
        <v>46028.991261574076</v>
      </c>
      <c r="D615">
        <v>1103.1400000000001</v>
      </c>
      <c r="E615" t="s">
        <v>25</v>
      </c>
      <c r="F615" t="s">
        <v>92</v>
      </c>
      <c r="G615" t="s">
        <v>26</v>
      </c>
      <c r="H615" t="s">
        <v>1849</v>
      </c>
    </row>
    <row r="616" spans="1:8" x14ac:dyDescent="0.25">
      <c r="A616" t="s">
        <v>1850</v>
      </c>
      <c r="B616" t="s">
        <v>1851</v>
      </c>
      <c r="C616" s="1">
        <v>46030.071331018517</v>
      </c>
      <c r="D616">
        <v>994.14</v>
      </c>
      <c r="E616" t="s">
        <v>25</v>
      </c>
      <c r="F616" t="s">
        <v>20</v>
      </c>
      <c r="G616" t="s">
        <v>30</v>
      </c>
      <c r="H616" t="s">
        <v>1852</v>
      </c>
    </row>
    <row r="617" spans="1:8" x14ac:dyDescent="0.25">
      <c r="A617" t="s">
        <v>1853</v>
      </c>
      <c r="B617" t="s">
        <v>1854</v>
      </c>
      <c r="C617" s="1">
        <v>46031.141331018516</v>
      </c>
      <c r="D617">
        <v>1262.3</v>
      </c>
      <c r="E617" t="s">
        <v>52</v>
      </c>
      <c r="F617" t="s">
        <v>20</v>
      </c>
      <c r="G617" t="s">
        <v>21</v>
      </c>
      <c r="H617" t="s">
        <v>1855</v>
      </c>
    </row>
    <row r="618" spans="1:8" x14ac:dyDescent="0.25">
      <c r="A618" t="s">
        <v>1856</v>
      </c>
      <c r="B618" t="s">
        <v>1857</v>
      </c>
      <c r="C618" s="1">
        <v>46031.242731481485</v>
      </c>
      <c r="D618">
        <v>603.08000000000004</v>
      </c>
      <c r="E618" t="s">
        <v>19</v>
      </c>
      <c r="F618" t="s">
        <v>20</v>
      </c>
      <c r="G618" t="s">
        <v>26</v>
      </c>
      <c r="H618" t="s">
        <v>1858</v>
      </c>
    </row>
    <row r="619" spans="1:8" x14ac:dyDescent="0.25">
      <c r="A619" t="s">
        <v>1859</v>
      </c>
      <c r="B619" t="s">
        <v>1860</v>
      </c>
      <c r="C619" s="1">
        <v>46032.352372685185</v>
      </c>
      <c r="D619">
        <v>2034.74</v>
      </c>
      <c r="E619" t="s">
        <v>25</v>
      </c>
      <c r="F619" t="s">
        <v>20</v>
      </c>
      <c r="G619" t="s">
        <v>30</v>
      </c>
      <c r="H619" t="s">
        <v>1861</v>
      </c>
    </row>
    <row r="620" spans="1:8" x14ac:dyDescent="0.25">
      <c r="A620" t="s">
        <v>1862</v>
      </c>
      <c r="B620" t="s">
        <v>1863</v>
      </c>
      <c r="C620" s="1">
        <v>46033.43310185185</v>
      </c>
      <c r="D620">
        <v>344.54</v>
      </c>
      <c r="E620" t="s">
        <v>25</v>
      </c>
      <c r="F620" t="s">
        <v>20</v>
      </c>
      <c r="G620" t="s">
        <v>21</v>
      </c>
      <c r="H620" t="s">
        <v>1864</v>
      </c>
    </row>
    <row r="621" spans="1:8" x14ac:dyDescent="0.25">
      <c r="A621" t="s">
        <v>1865</v>
      </c>
      <c r="B621" t="s">
        <v>1866</v>
      </c>
      <c r="C621" s="1">
        <v>46034.522638888891</v>
      </c>
      <c r="D621">
        <v>1430.55</v>
      </c>
      <c r="E621" t="s">
        <v>25</v>
      </c>
      <c r="F621" t="s">
        <v>20</v>
      </c>
      <c r="G621" t="s">
        <v>26</v>
      </c>
      <c r="H621" t="s">
        <v>1867</v>
      </c>
    </row>
    <row r="622" spans="1:8" x14ac:dyDescent="0.25">
      <c r="A622" t="s">
        <v>1868</v>
      </c>
      <c r="B622" t="s">
        <v>1869</v>
      </c>
      <c r="C622" s="1">
        <v>46035.626469907409</v>
      </c>
      <c r="D622">
        <v>2224.5500000000002</v>
      </c>
      <c r="E622" t="s">
        <v>25</v>
      </c>
      <c r="F622" t="s">
        <v>20</v>
      </c>
      <c r="G622" t="s">
        <v>30</v>
      </c>
      <c r="H622" t="s">
        <v>1870</v>
      </c>
    </row>
    <row r="623" spans="1:8" x14ac:dyDescent="0.25">
      <c r="A623" t="s">
        <v>1871</v>
      </c>
      <c r="B623" t="s">
        <v>1872</v>
      </c>
      <c r="C623" s="1">
        <v>46036.71770833333</v>
      </c>
      <c r="D623">
        <v>262.08</v>
      </c>
      <c r="E623" t="s">
        <v>25</v>
      </c>
      <c r="F623" t="s">
        <v>20</v>
      </c>
      <c r="G623" t="s">
        <v>21</v>
      </c>
      <c r="H623" t="s">
        <v>1873</v>
      </c>
    </row>
    <row r="624" spans="1:8" x14ac:dyDescent="0.25">
      <c r="A624" t="s">
        <v>1874</v>
      </c>
      <c r="B624" t="s">
        <v>1875</v>
      </c>
      <c r="C624" s="1">
        <v>46023.79886574074</v>
      </c>
      <c r="D624">
        <v>1601.97</v>
      </c>
      <c r="E624" t="s">
        <v>25</v>
      </c>
      <c r="F624" t="s">
        <v>20</v>
      </c>
      <c r="G624" t="s">
        <v>26</v>
      </c>
      <c r="H624" t="s">
        <v>1876</v>
      </c>
    </row>
    <row r="625" spans="1:8" x14ac:dyDescent="0.25">
      <c r="A625" t="s">
        <v>1877</v>
      </c>
      <c r="B625" t="s">
        <v>1878</v>
      </c>
      <c r="C625" s="1">
        <v>46024.881585648145</v>
      </c>
      <c r="D625">
        <v>2423.31</v>
      </c>
      <c r="E625" t="s">
        <v>25</v>
      </c>
      <c r="F625" t="s">
        <v>20</v>
      </c>
      <c r="G625" t="s">
        <v>30</v>
      </c>
      <c r="H625" t="s">
        <v>1879</v>
      </c>
    </row>
    <row r="626" spans="1:8" x14ac:dyDescent="0.25">
      <c r="A626" t="s">
        <v>1880</v>
      </c>
      <c r="B626" t="s">
        <v>1881</v>
      </c>
      <c r="C626" s="1">
        <v>46025.987141203703</v>
      </c>
      <c r="D626">
        <v>329.07</v>
      </c>
      <c r="E626" t="s">
        <v>25</v>
      </c>
      <c r="F626" t="s">
        <v>20</v>
      </c>
      <c r="G626" t="s">
        <v>21</v>
      </c>
      <c r="H626" t="s">
        <v>1882</v>
      </c>
    </row>
    <row r="627" spans="1:8" x14ac:dyDescent="0.25">
      <c r="A627" t="s">
        <v>1883</v>
      </c>
      <c r="B627" t="s">
        <v>1884</v>
      </c>
      <c r="C627" s="1">
        <v>46027.096134259256</v>
      </c>
      <c r="D627">
        <v>651.76</v>
      </c>
      <c r="E627" t="s">
        <v>52</v>
      </c>
      <c r="F627" t="s">
        <v>20</v>
      </c>
      <c r="G627" t="s">
        <v>26</v>
      </c>
      <c r="H627" t="s">
        <v>1885</v>
      </c>
    </row>
    <row r="628" spans="1:8" x14ac:dyDescent="0.25">
      <c r="A628" t="s">
        <v>1886</v>
      </c>
      <c r="B628" t="s">
        <v>1887</v>
      </c>
      <c r="C628" s="1">
        <v>46028.185740740744</v>
      </c>
      <c r="D628">
        <v>911.79</v>
      </c>
      <c r="E628" t="s">
        <v>19</v>
      </c>
      <c r="F628" t="s">
        <v>20</v>
      </c>
      <c r="G628" t="s">
        <v>30</v>
      </c>
      <c r="H628" t="s">
        <v>1888</v>
      </c>
    </row>
    <row r="629" spans="1:8" x14ac:dyDescent="0.25">
      <c r="A629" t="s">
        <v>1889</v>
      </c>
      <c r="B629" t="s">
        <v>1890</v>
      </c>
      <c r="C629" s="1">
        <v>46028.272638888891</v>
      </c>
      <c r="D629">
        <v>80.38</v>
      </c>
      <c r="E629" t="s">
        <v>25</v>
      </c>
      <c r="F629" t="s">
        <v>20</v>
      </c>
      <c r="G629" t="s">
        <v>21</v>
      </c>
      <c r="H629" t="s">
        <v>1891</v>
      </c>
    </row>
    <row r="630" spans="1:8" x14ac:dyDescent="0.25">
      <c r="A630" t="s">
        <v>1892</v>
      </c>
      <c r="B630" t="s">
        <v>1893</v>
      </c>
      <c r="C630" s="1">
        <v>46029.33662037037</v>
      </c>
      <c r="D630">
        <v>1880.6</v>
      </c>
      <c r="E630" t="s">
        <v>25</v>
      </c>
      <c r="F630" t="s">
        <v>20</v>
      </c>
      <c r="G630" t="s">
        <v>26</v>
      </c>
      <c r="H630" t="s">
        <v>1894</v>
      </c>
    </row>
    <row r="631" spans="1:8" x14ac:dyDescent="0.25">
      <c r="A631" t="s">
        <v>1895</v>
      </c>
      <c r="B631" t="s">
        <v>1896</v>
      </c>
      <c r="C631" s="1">
        <v>46030.443831018521</v>
      </c>
      <c r="D631">
        <v>876.28</v>
      </c>
      <c r="E631" t="s">
        <v>25</v>
      </c>
      <c r="F631" t="s">
        <v>20</v>
      </c>
      <c r="G631" t="s">
        <v>30</v>
      </c>
      <c r="H631" t="s">
        <v>1897</v>
      </c>
    </row>
    <row r="632" spans="1:8" x14ac:dyDescent="0.25">
      <c r="A632" t="s">
        <v>1898</v>
      </c>
      <c r="B632" t="s">
        <v>1899</v>
      </c>
      <c r="C632" s="1">
        <v>46031.515196759261</v>
      </c>
      <c r="D632">
        <v>934.88</v>
      </c>
      <c r="E632" t="s">
        <v>25</v>
      </c>
      <c r="F632" t="s">
        <v>20</v>
      </c>
      <c r="G632" t="s">
        <v>21</v>
      </c>
      <c r="H632" t="s">
        <v>1900</v>
      </c>
    </row>
    <row r="633" spans="1:8" x14ac:dyDescent="0.25">
      <c r="A633" t="s">
        <v>1901</v>
      </c>
      <c r="B633" t="s">
        <v>1902</v>
      </c>
      <c r="C633" s="1">
        <v>46032.610960648148</v>
      </c>
      <c r="D633">
        <v>376.75</v>
      </c>
      <c r="E633" t="s">
        <v>25</v>
      </c>
      <c r="F633" t="s">
        <v>20</v>
      </c>
      <c r="G633" t="s">
        <v>26</v>
      </c>
      <c r="H633" t="s">
        <v>1903</v>
      </c>
    </row>
    <row r="634" spans="1:8" x14ac:dyDescent="0.25">
      <c r="A634" t="s">
        <v>1904</v>
      </c>
      <c r="B634" t="s">
        <v>1905</v>
      </c>
      <c r="C634" s="1">
        <v>46033.712175925924</v>
      </c>
      <c r="D634">
        <v>2000.87</v>
      </c>
      <c r="E634" t="s">
        <v>25</v>
      </c>
      <c r="F634" t="s">
        <v>20</v>
      </c>
      <c r="G634" t="s">
        <v>30</v>
      </c>
      <c r="H634" t="s">
        <v>1906</v>
      </c>
    </row>
    <row r="635" spans="1:8" x14ac:dyDescent="0.25">
      <c r="A635" t="s">
        <v>1907</v>
      </c>
      <c r="B635" t="s">
        <v>1908</v>
      </c>
      <c r="C635" s="1">
        <v>46034.795312499999</v>
      </c>
      <c r="D635">
        <v>2363.73</v>
      </c>
      <c r="E635" t="s">
        <v>25</v>
      </c>
      <c r="F635" t="s">
        <v>20</v>
      </c>
      <c r="G635" t="s">
        <v>21</v>
      </c>
      <c r="H635" t="s">
        <v>1909</v>
      </c>
    </row>
    <row r="636" spans="1:8" x14ac:dyDescent="0.25">
      <c r="A636" t="s">
        <v>1910</v>
      </c>
      <c r="B636" t="s">
        <v>1911</v>
      </c>
      <c r="C636" s="1">
        <v>46035.893055555556</v>
      </c>
      <c r="D636">
        <v>955.41</v>
      </c>
      <c r="E636" t="s">
        <v>25</v>
      </c>
      <c r="F636" t="s">
        <v>20</v>
      </c>
      <c r="G636" t="s">
        <v>26</v>
      </c>
      <c r="H636" t="s">
        <v>1912</v>
      </c>
    </row>
    <row r="637" spans="1:8" x14ac:dyDescent="0.25">
      <c r="A637" t="s">
        <v>1913</v>
      </c>
      <c r="B637" t="s">
        <v>1914</v>
      </c>
      <c r="C637" s="1">
        <v>46036.98636574074</v>
      </c>
      <c r="D637">
        <v>20.78</v>
      </c>
      <c r="E637" t="s">
        <v>52</v>
      </c>
      <c r="F637" t="s">
        <v>20</v>
      </c>
      <c r="G637" t="s">
        <v>30</v>
      </c>
      <c r="H637" t="s">
        <v>1915</v>
      </c>
    </row>
    <row r="638" spans="1:8" x14ac:dyDescent="0.25">
      <c r="A638" t="s">
        <v>1916</v>
      </c>
      <c r="B638" t="s">
        <v>1917</v>
      </c>
      <c r="C638" s="1">
        <v>46024.071238425924</v>
      </c>
      <c r="D638">
        <v>1803.21</v>
      </c>
      <c r="E638" t="s">
        <v>19</v>
      </c>
      <c r="F638" t="s">
        <v>20</v>
      </c>
      <c r="G638" t="s">
        <v>21</v>
      </c>
      <c r="H638" t="s">
        <v>1918</v>
      </c>
    </row>
    <row r="639" spans="1:8" x14ac:dyDescent="0.25">
      <c r="A639" t="s">
        <v>1919</v>
      </c>
      <c r="B639" t="s">
        <v>1920</v>
      </c>
      <c r="C639" s="1">
        <v>46025.171712962961</v>
      </c>
      <c r="D639">
        <v>1728.99</v>
      </c>
      <c r="E639" t="s">
        <v>25</v>
      </c>
      <c r="F639" t="s">
        <v>20</v>
      </c>
      <c r="G639" t="s">
        <v>26</v>
      </c>
      <c r="H639" t="s">
        <v>1921</v>
      </c>
    </row>
    <row r="640" spans="1:8" x14ac:dyDescent="0.25">
      <c r="A640" t="s">
        <v>1922</v>
      </c>
      <c r="B640" t="s">
        <v>1923</v>
      </c>
      <c r="C640" s="1">
        <v>46025.282164351855</v>
      </c>
      <c r="D640">
        <v>2419.88</v>
      </c>
      <c r="E640" t="s">
        <v>25</v>
      </c>
      <c r="F640" t="s">
        <v>20</v>
      </c>
      <c r="G640" t="s">
        <v>30</v>
      </c>
      <c r="H640" t="s">
        <v>1924</v>
      </c>
    </row>
    <row r="641" spans="1:8" x14ac:dyDescent="0.25">
      <c r="A641" t="s">
        <v>1925</v>
      </c>
      <c r="B641" t="s">
        <v>1926</v>
      </c>
      <c r="C641" s="1">
        <v>46026.347511574073</v>
      </c>
      <c r="D641">
        <v>172.49</v>
      </c>
      <c r="E641" t="s">
        <v>25</v>
      </c>
      <c r="F641" t="s">
        <v>20</v>
      </c>
      <c r="G641" t="s">
        <v>21</v>
      </c>
      <c r="H641" t="s">
        <v>1927</v>
      </c>
    </row>
    <row r="642" spans="1:8" x14ac:dyDescent="0.25">
      <c r="A642" t="s">
        <v>1928</v>
      </c>
      <c r="B642" t="s">
        <v>1929</v>
      </c>
      <c r="C642" s="1">
        <v>46027.461388888885</v>
      </c>
      <c r="D642">
        <v>1950.81</v>
      </c>
      <c r="E642" t="s">
        <v>25</v>
      </c>
      <c r="F642" t="s">
        <v>20</v>
      </c>
      <c r="G642" t="s">
        <v>26</v>
      </c>
      <c r="H642" t="s">
        <v>1930</v>
      </c>
    </row>
    <row r="643" spans="1:8" x14ac:dyDescent="0.25">
      <c r="A643" t="s">
        <v>1931</v>
      </c>
      <c r="B643" t="s">
        <v>1932</v>
      </c>
      <c r="C643" s="1">
        <v>46028.541712962964</v>
      </c>
      <c r="D643">
        <v>976.84</v>
      </c>
      <c r="E643" t="s">
        <v>25</v>
      </c>
      <c r="F643" t="s">
        <v>20</v>
      </c>
      <c r="G643" t="s">
        <v>30</v>
      </c>
      <c r="H643" t="s">
        <v>1933</v>
      </c>
    </row>
    <row r="644" spans="1:8" x14ac:dyDescent="0.25">
      <c r="A644" t="s">
        <v>1934</v>
      </c>
      <c r="B644" t="s">
        <v>1935</v>
      </c>
      <c r="C644" s="1">
        <v>46029.633194444446</v>
      </c>
      <c r="D644">
        <v>2438.5</v>
      </c>
      <c r="E644" t="s">
        <v>25</v>
      </c>
      <c r="F644" t="s">
        <v>20</v>
      </c>
      <c r="G644" t="s">
        <v>21</v>
      </c>
      <c r="H644" t="s">
        <v>1936</v>
      </c>
    </row>
    <row r="645" spans="1:8" x14ac:dyDescent="0.25">
      <c r="A645" t="s">
        <v>1937</v>
      </c>
      <c r="B645" t="s">
        <v>1938</v>
      </c>
      <c r="C645" s="1">
        <v>46030.740115740744</v>
      </c>
      <c r="D645">
        <v>706.29</v>
      </c>
      <c r="E645" t="s">
        <v>25</v>
      </c>
      <c r="F645" t="s">
        <v>20</v>
      </c>
      <c r="G645" t="s">
        <v>26</v>
      </c>
      <c r="H645" t="s">
        <v>1939</v>
      </c>
    </row>
    <row r="646" spans="1:8" x14ac:dyDescent="0.25">
      <c r="A646" t="s">
        <v>1940</v>
      </c>
      <c r="B646" t="s">
        <v>1941</v>
      </c>
      <c r="C646" s="1">
        <v>46031.818310185183</v>
      </c>
      <c r="D646">
        <v>1795.33</v>
      </c>
      <c r="E646" t="s">
        <v>25</v>
      </c>
      <c r="F646" t="s">
        <v>20</v>
      </c>
      <c r="G646" t="s">
        <v>30</v>
      </c>
      <c r="H646" t="s">
        <v>1942</v>
      </c>
    </row>
    <row r="647" spans="1:8" x14ac:dyDescent="0.25">
      <c r="A647" t="s">
        <v>1943</v>
      </c>
      <c r="B647" t="s">
        <v>1944</v>
      </c>
      <c r="C647" s="1">
        <v>46032.889606481483</v>
      </c>
      <c r="D647">
        <v>625.12</v>
      </c>
      <c r="E647" t="s">
        <v>52</v>
      </c>
      <c r="F647" t="s">
        <v>20</v>
      </c>
      <c r="G647" t="s">
        <v>21</v>
      </c>
      <c r="H647" t="s">
        <v>1945</v>
      </c>
    </row>
    <row r="648" spans="1:8" x14ac:dyDescent="0.25">
      <c r="A648" t="s">
        <v>1946</v>
      </c>
      <c r="B648" t="s">
        <v>1947</v>
      </c>
      <c r="C648" s="1">
        <v>46033.985671296294</v>
      </c>
      <c r="D648">
        <v>2353.5500000000002</v>
      </c>
      <c r="E648" t="s">
        <v>19</v>
      </c>
      <c r="F648" t="s">
        <v>20</v>
      </c>
      <c r="G648" t="s">
        <v>26</v>
      </c>
      <c r="H648" t="s">
        <v>1948</v>
      </c>
    </row>
    <row r="649" spans="1:8" x14ac:dyDescent="0.25">
      <c r="A649" t="s">
        <v>1949</v>
      </c>
      <c r="B649" t="s">
        <v>1950</v>
      </c>
      <c r="C649" s="1">
        <v>46035.074791666666</v>
      </c>
      <c r="D649">
        <v>1595.97</v>
      </c>
      <c r="E649" t="s">
        <v>25</v>
      </c>
      <c r="F649" t="s">
        <v>20</v>
      </c>
      <c r="G649" t="s">
        <v>30</v>
      </c>
      <c r="H649" t="s">
        <v>1951</v>
      </c>
    </row>
    <row r="650" spans="1:8" x14ac:dyDescent="0.25">
      <c r="A650" t="s">
        <v>1952</v>
      </c>
      <c r="B650" t="s">
        <v>1953</v>
      </c>
      <c r="C650" s="1">
        <v>46036.199745370373</v>
      </c>
      <c r="D650">
        <v>1491.55</v>
      </c>
      <c r="E650" t="s">
        <v>25</v>
      </c>
      <c r="F650" t="s">
        <v>20</v>
      </c>
      <c r="G650" t="s">
        <v>21</v>
      </c>
      <c r="H650" t="s">
        <v>1954</v>
      </c>
    </row>
    <row r="651" spans="1:8" x14ac:dyDescent="0.25">
      <c r="A651" t="s">
        <v>1955</v>
      </c>
      <c r="B651" t="s">
        <v>1956</v>
      </c>
      <c r="C651" s="1">
        <v>46036.282199074078</v>
      </c>
      <c r="D651">
        <v>1402.73</v>
      </c>
      <c r="E651" t="s">
        <v>25</v>
      </c>
      <c r="F651" t="s">
        <v>20</v>
      </c>
      <c r="G651" t="s">
        <v>26</v>
      </c>
      <c r="H651" t="s">
        <v>1957</v>
      </c>
    </row>
    <row r="652" spans="1:8" x14ac:dyDescent="0.25">
      <c r="A652" t="s">
        <v>1958</v>
      </c>
      <c r="B652" t="s">
        <v>1959</v>
      </c>
      <c r="C652" s="1">
        <v>46023.360208333332</v>
      </c>
      <c r="D652">
        <v>330.24</v>
      </c>
      <c r="E652" t="s">
        <v>25</v>
      </c>
      <c r="F652" t="s">
        <v>20</v>
      </c>
      <c r="G652" t="s">
        <v>30</v>
      </c>
      <c r="H652" t="s">
        <v>1960</v>
      </c>
    </row>
    <row r="653" spans="1:8" x14ac:dyDescent="0.25">
      <c r="A653" t="s">
        <v>1961</v>
      </c>
      <c r="B653" t="s">
        <v>1962</v>
      </c>
      <c r="C653" s="1">
        <v>46024.473680555559</v>
      </c>
      <c r="D653">
        <v>117.83</v>
      </c>
      <c r="E653" t="s">
        <v>25</v>
      </c>
      <c r="F653" t="s">
        <v>20</v>
      </c>
      <c r="G653" t="s">
        <v>21</v>
      </c>
      <c r="H653" t="s">
        <v>1963</v>
      </c>
    </row>
    <row r="654" spans="1:8" x14ac:dyDescent="0.25">
      <c r="A654" t="s">
        <v>1964</v>
      </c>
      <c r="B654" t="s">
        <v>1965</v>
      </c>
      <c r="C654" s="1">
        <v>46025.545011574075</v>
      </c>
      <c r="D654">
        <v>1154.48</v>
      </c>
      <c r="E654" t="s">
        <v>25</v>
      </c>
      <c r="F654" t="s">
        <v>20</v>
      </c>
      <c r="G654" t="s">
        <v>26</v>
      </c>
      <c r="H654" t="s">
        <v>1966</v>
      </c>
    </row>
    <row r="655" spans="1:8" x14ac:dyDescent="0.25">
      <c r="A655" t="s">
        <v>1967</v>
      </c>
      <c r="B655" t="s">
        <v>1968</v>
      </c>
      <c r="C655" s="1">
        <v>46026.65425925926</v>
      </c>
      <c r="D655">
        <v>539.03</v>
      </c>
      <c r="E655" t="s">
        <v>25</v>
      </c>
      <c r="F655" t="s">
        <v>20</v>
      </c>
      <c r="G655" t="s">
        <v>30</v>
      </c>
      <c r="H655" t="s">
        <v>1969</v>
      </c>
    </row>
    <row r="656" spans="1:8" x14ac:dyDescent="0.25">
      <c r="A656" t="s">
        <v>1970</v>
      </c>
      <c r="B656" t="s">
        <v>1971</v>
      </c>
      <c r="C656" s="1">
        <v>46027.726782407408</v>
      </c>
      <c r="D656">
        <v>1979.31</v>
      </c>
      <c r="E656" t="s">
        <v>25</v>
      </c>
      <c r="F656" t="s">
        <v>20</v>
      </c>
      <c r="G656" t="s">
        <v>21</v>
      </c>
      <c r="H656" t="s">
        <v>1972</v>
      </c>
    </row>
    <row r="657" spans="1:8" x14ac:dyDescent="0.25">
      <c r="A657" t="s">
        <v>1973</v>
      </c>
      <c r="B657" t="s">
        <v>1974</v>
      </c>
      <c r="C657" s="1">
        <v>46028.831342592595</v>
      </c>
      <c r="D657">
        <v>180.96</v>
      </c>
      <c r="E657" t="s">
        <v>52</v>
      </c>
      <c r="F657" t="s">
        <v>20</v>
      </c>
      <c r="G657" t="s">
        <v>26</v>
      </c>
      <c r="H657" t="s">
        <v>1975</v>
      </c>
    </row>
    <row r="658" spans="1:8" x14ac:dyDescent="0.25">
      <c r="A658" t="s">
        <v>1976</v>
      </c>
      <c r="B658" t="s">
        <v>1977</v>
      </c>
      <c r="C658" s="1">
        <v>46029.902395833335</v>
      </c>
      <c r="D658">
        <v>1295.5</v>
      </c>
      <c r="E658" t="s">
        <v>19</v>
      </c>
      <c r="F658" t="s">
        <v>20</v>
      </c>
      <c r="G658" t="s">
        <v>30</v>
      </c>
      <c r="H658" t="s">
        <v>1978</v>
      </c>
    </row>
    <row r="659" spans="1:8" x14ac:dyDescent="0.25">
      <c r="A659" t="s">
        <v>1979</v>
      </c>
      <c r="B659" t="s">
        <v>1980</v>
      </c>
      <c r="C659" s="1">
        <v>46031.001979166664</v>
      </c>
      <c r="D659">
        <v>2134.33</v>
      </c>
      <c r="E659" t="s">
        <v>25</v>
      </c>
      <c r="F659" t="s">
        <v>20</v>
      </c>
      <c r="G659" t="s">
        <v>21</v>
      </c>
      <c r="H659" t="s">
        <v>1981</v>
      </c>
    </row>
    <row r="660" spans="1:8" x14ac:dyDescent="0.25">
      <c r="A660" t="s">
        <v>1982</v>
      </c>
      <c r="B660" t="s">
        <v>1983</v>
      </c>
      <c r="C660" s="1">
        <v>46032.091956018521</v>
      </c>
      <c r="D660">
        <v>1703.09</v>
      </c>
      <c r="E660" t="s">
        <v>25</v>
      </c>
      <c r="F660" t="s">
        <v>20</v>
      </c>
      <c r="G660" t="s">
        <v>26</v>
      </c>
      <c r="H660" t="s">
        <v>1984</v>
      </c>
    </row>
    <row r="661" spans="1:8" x14ac:dyDescent="0.25">
      <c r="A661" t="s">
        <v>1985</v>
      </c>
      <c r="B661" t="s">
        <v>1986</v>
      </c>
      <c r="C661" s="1">
        <v>46033.200462962966</v>
      </c>
      <c r="D661">
        <v>1588.41</v>
      </c>
      <c r="E661" t="s">
        <v>25</v>
      </c>
      <c r="F661" t="s">
        <v>20</v>
      </c>
      <c r="G661" t="s">
        <v>30</v>
      </c>
      <c r="H661" t="s">
        <v>1987</v>
      </c>
    </row>
    <row r="662" spans="1:8" x14ac:dyDescent="0.25">
      <c r="A662" t="s">
        <v>1988</v>
      </c>
      <c r="B662" t="s">
        <v>1989</v>
      </c>
      <c r="C662" s="1">
        <v>46033.299722222226</v>
      </c>
      <c r="D662">
        <v>8.43</v>
      </c>
      <c r="E662" t="s">
        <v>25</v>
      </c>
      <c r="F662" t="s">
        <v>20</v>
      </c>
      <c r="G662" t="s">
        <v>21</v>
      </c>
      <c r="H662" t="s">
        <v>1990</v>
      </c>
    </row>
    <row r="663" spans="1:8" x14ac:dyDescent="0.25">
      <c r="A663" t="s">
        <v>1991</v>
      </c>
      <c r="B663" t="s">
        <v>1992</v>
      </c>
      <c r="C663" s="1">
        <v>46034.396284722221</v>
      </c>
      <c r="D663">
        <v>2393.37</v>
      </c>
      <c r="E663" t="s">
        <v>25</v>
      </c>
      <c r="F663" t="s">
        <v>20</v>
      </c>
      <c r="G663" t="s">
        <v>26</v>
      </c>
      <c r="H663" t="s">
        <v>1993</v>
      </c>
    </row>
    <row r="664" spans="1:8" x14ac:dyDescent="0.25">
      <c r="A664" t="s">
        <v>1994</v>
      </c>
      <c r="B664" t="s">
        <v>1995</v>
      </c>
      <c r="C664" s="1">
        <v>46035.471458333333</v>
      </c>
      <c r="D664">
        <v>2317.9899999999998</v>
      </c>
      <c r="E664" t="s">
        <v>25</v>
      </c>
      <c r="F664" t="s">
        <v>20</v>
      </c>
      <c r="G664" t="s">
        <v>30</v>
      </c>
      <c r="H664" t="s">
        <v>1996</v>
      </c>
    </row>
    <row r="665" spans="1:8" x14ac:dyDescent="0.25">
      <c r="A665" t="s">
        <v>1997</v>
      </c>
      <c r="B665" t="s">
        <v>1998</v>
      </c>
      <c r="C665" s="1">
        <v>46036.548275462963</v>
      </c>
      <c r="D665">
        <v>685.82</v>
      </c>
      <c r="E665" t="s">
        <v>25</v>
      </c>
      <c r="F665" t="s">
        <v>20</v>
      </c>
      <c r="G665" t="s">
        <v>21</v>
      </c>
      <c r="H665" t="s">
        <v>1999</v>
      </c>
    </row>
    <row r="666" spans="1:8" x14ac:dyDescent="0.25">
      <c r="A666" t="s">
        <v>2000</v>
      </c>
      <c r="B666" t="s">
        <v>2001</v>
      </c>
      <c r="C666" s="1">
        <v>46023.638391203705</v>
      </c>
      <c r="D666">
        <v>133.13999999999999</v>
      </c>
      <c r="E666" t="s">
        <v>25</v>
      </c>
      <c r="F666" t="s">
        <v>20</v>
      </c>
      <c r="G666" t="s">
        <v>26</v>
      </c>
      <c r="H666" t="s">
        <v>2002</v>
      </c>
    </row>
    <row r="667" spans="1:8" x14ac:dyDescent="0.25">
      <c r="A667" t="s">
        <v>2003</v>
      </c>
      <c r="B667" t="s">
        <v>2004</v>
      </c>
      <c r="C667" s="1">
        <v>46024.730474537035</v>
      </c>
      <c r="D667">
        <v>291.95</v>
      </c>
      <c r="E667" t="s">
        <v>52</v>
      </c>
      <c r="F667" t="s">
        <v>20</v>
      </c>
      <c r="G667" t="s">
        <v>30</v>
      </c>
      <c r="H667" t="s">
        <v>2005</v>
      </c>
    </row>
    <row r="668" spans="1:8" x14ac:dyDescent="0.25">
      <c r="A668" t="s">
        <v>2006</v>
      </c>
      <c r="B668" t="s">
        <v>2007</v>
      </c>
      <c r="C668" s="1">
        <v>46025.852337962962</v>
      </c>
      <c r="D668">
        <v>1320.42</v>
      </c>
      <c r="E668" t="s">
        <v>19</v>
      </c>
      <c r="F668" t="s">
        <v>20</v>
      </c>
      <c r="G668" t="s">
        <v>21</v>
      </c>
      <c r="H668" t="s">
        <v>2008</v>
      </c>
    </row>
    <row r="669" spans="1:8" x14ac:dyDescent="0.25">
      <c r="A669" t="s">
        <v>2009</v>
      </c>
      <c r="B669" t="s">
        <v>2010</v>
      </c>
      <c r="C669" s="1">
        <v>46026.927453703705</v>
      </c>
      <c r="D669">
        <v>15.06</v>
      </c>
      <c r="E669" t="s">
        <v>25</v>
      </c>
      <c r="F669" t="s">
        <v>20</v>
      </c>
      <c r="G669" t="s">
        <v>26</v>
      </c>
      <c r="H669" t="s">
        <v>2011</v>
      </c>
    </row>
    <row r="670" spans="1:8" x14ac:dyDescent="0.25">
      <c r="A670" t="s">
        <v>2009</v>
      </c>
      <c r="B670" t="s">
        <v>2010</v>
      </c>
      <c r="C670" s="1">
        <v>46026.927453703705</v>
      </c>
      <c r="D670">
        <v>15.06</v>
      </c>
      <c r="E670" t="s">
        <v>25</v>
      </c>
      <c r="F670" t="s">
        <v>20</v>
      </c>
      <c r="G670" t="s">
        <v>26</v>
      </c>
      <c r="H670" t="s">
        <v>2011</v>
      </c>
    </row>
    <row r="671" spans="1:8" x14ac:dyDescent="0.25">
      <c r="A671" t="s">
        <v>2012</v>
      </c>
      <c r="B671" t="s">
        <v>2013</v>
      </c>
      <c r="C671" s="1">
        <v>46028.00304398148</v>
      </c>
      <c r="D671">
        <v>1809.81</v>
      </c>
      <c r="E671" t="s">
        <v>25</v>
      </c>
      <c r="F671" t="s">
        <v>20</v>
      </c>
      <c r="G671" t="s">
        <v>30</v>
      </c>
      <c r="H671" t="s">
        <v>2014</v>
      </c>
    </row>
    <row r="672" spans="1:8" x14ac:dyDescent="0.25">
      <c r="A672" t="s">
        <v>2015</v>
      </c>
      <c r="B672" t="s">
        <v>2016</v>
      </c>
      <c r="C672" s="1">
        <v>46029.12736111111</v>
      </c>
      <c r="D672">
        <v>1568.45</v>
      </c>
      <c r="E672" t="s">
        <v>25</v>
      </c>
      <c r="F672" t="s">
        <v>20</v>
      </c>
      <c r="G672" t="s">
        <v>21</v>
      </c>
      <c r="H672" t="s">
        <v>2017</v>
      </c>
    </row>
    <row r="673" spans="1:8" x14ac:dyDescent="0.25">
      <c r="A673" t="s">
        <v>2018</v>
      </c>
      <c r="B673" t="s">
        <v>2019</v>
      </c>
      <c r="C673" s="1">
        <v>46030.213055555556</v>
      </c>
      <c r="D673">
        <v>951.4</v>
      </c>
      <c r="E673" t="s">
        <v>25</v>
      </c>
      <c r="F673" t="s">
        <v>20</v>
      </c>
      <c r="G673" t="s">
        <v>26</v>
      </c>
      <c r="H673" t="s">
        <v>2020</v>
      </c>
    </row>
    <row r="674" spans="1:8" x14ac:dyDescent="0.25">
      <c r="A674" t="s">
        <v>2021</v>
      </c>
      <c r="B674" t="s">
        <v>2022</v>
      </c>
      <c r="C674" s="1">
        <v>46030.280844907407</v>
      </c>
      <c r="D674">
        <v>1549.39</v>
      </c>
      <c r="E674" t="s">
        <v>25</v>
      </c>
      <c r="F674" t="s">
        <v>20</v>
      </c>
      <c r="G674" t="s">
        <v>30</v>
      </c>
      <c r="H674" t="s">
        <v>2023</v>
      </c>
    </row>
    <row r="675" spans="1:8" x14ac:dyDescent="0.25">
      <c r="A675" t="s">
        <v>2024</v>
      </c>
      <c r="B675" t="s">
        <v>2025</v>
      </c>
      <c r="C675" s="1">
        <v>46031.381053240744</v>
      </c>
      <c r="D675">
        <v>2210.02</v>
      </c>
      <c r="E675" t="s">
        <v>25</v>
      </c>
      <c r="F675" t="s">
        <v>20</v>
      </c>
      <c r="G675" t="s">
        <v>21</v>
      </c>
      <c r="H675" t="s">
        <v>2026</v>
      </c>
    </row>
    <row r="676" spans="1:8" x14ac:dyDescent="0.25">
      <c r="A676" t="s">
        <v>2027</v>
      </c>
      <c r="B676" t="s">
        <v>2028</v>
      </c>
      <c r="C676" s="1">
        <v>46032.479780092595</v>
      </c>
      <c r="D676">
        <v>116.71</v>
      </c>
      <c r="E676" t="s">
        <v>25</v>
      </c>
      <c r="F676" t="s">
        <v>20</v>
      </c>
      <c r="G676" t="s">
        <v>26</v>
      </c>
      <c r="H676" t="s">
        <v>2029</v>
      </c>
    </row>
    <row r="677" spans="1:8" x14ac:dyDescent="0.25">
      <c r="A677" t="s">
        <v>2030</v>
      </c>
      <c r="B677" t="s">
        <v>2031</v>
      </c>
      <c r="C677" s="1">
        <v>46033.559537037036</v>
      </c>
      <c r="D677">
        <v>2128.0500000000002</v>
      </c>
      <c r="E677" t="s">
        <v>25</v>
      </c>
      <c r="F677" t="s">
        <v>20</v>
      </c>
      <c r="G677" t="s">
        <v>30</v>
      </c>
      <c r="H677" t="s">
        <v>2032</v>
      </c>
    </row>
    <row r="678" spans="1:8" x14ac:dyDescent="0.25">
      <c r="A678" t="s">
        <v>2033</v>
      </c>
      <c r="B678" t="s">
        <v>2034</v>
      </c>
      <c r="C678" s="1">
        <v>46034.673252314817</v>
      </c>
      <c r="D678">
        <v>2408.9899999999998</v>
      </c>
      <c r="E678" t="s">
        <v>52</v>
      </c>
      <c r="F678" t="s">
        <v>20</v>
      </c>
      <c r="G678" t="s">
        <v>21</v>
      </c>
      <c r="H678" t="s">
        <v>2035</v>
      </c>
    </row>
    <row r="679" spans="1:8" x14ac:dyDescent="0.25">
      <c r="A679" t="s">
        <v>2036</v>
      </c>
      <c r="B679" t="s">
        <v>2037</v>
      </c>
      <c r="C679" s="1">
        <v>46035.7346875</v>
      </c>
      <c r="D679">
        <v>111.56</v>
      </c>
      <c r="E679" t="s">
        <v>19</v>
      </c>
      <c r="F679" t="s">
        <v>20</v>
      </c>
      <c r="G679" t="s">
        <v>26</v>
      </c>
      <c r="H679" t="s">
        <v>2038</v>
      </c>
    </row>
    <row r="680" spans="1:8" x14ac:dyDescent="0.25">
      <c r="A680" t="s">
        <v>2039</v>
      </c>
      <c r="B680" t="s">
        <v>2040</v>
      </c>
      <c r="C680" s="1">
        <v>46036.834236111114</v>
      </c>
      <c r="D680">
        <v>2162.87</v>
      </c>
      <c r="E680" t="s">
        <v>25</v>
      </c>
      <c r="F680" t="s">
        <v>20</v>
      </c>
      <c r="G680" t="s">
        <v>30</v>
      </c>
      <c r="H680" t="s">
        <v>2041</v>
      </c>
    </row>
    <row r="681" spans="1:8" x14ac:dyDescent="0.25">
      <c r="A681" t="s">
        <v>2042</v>
      </c>
      <c r="B681" t="s">
        <v>2043</v>
      </c>
      <c r="C681" s="1">
        <v>46023.929467592592</v>
      </c>
      <c r="D681">
        <v>704.84</v>
      </c>
      <c r="E681" t="s">
        <v>25</v>
      </c>
      <c r="F681" t="s">
        <v>20</v>
      </c>
      <c r="G681" t="s">
        <v>21</v>
      </c>
      <c r="H681" t="s">
        <v>2044</v>
      </c>
    </row>
    <row r="682" spans="1:8" x14ac:dyDescent="0.25">
      <c r="A682" t="s">
        <v>2045</v>
      </c>
      <c r="B682" t="s">
        <v>2046</v>
      </c>
      <c r="C682" s="1">
        <v>46025.030740740738</v>
      </c>
      <c r="D682">
        <v>2390.73</v>
      </c>
      <c r="E682" t="s">
        <v>25</v>
      </c>
      <c r="F682" t="s">
        <v>20</v>
      </c>
      <c r="G682" t="s">
        <v>26</v>
      </c>
      <c r="H682" t="s">
        <v>2047</v>
      </c>
    </row>
    <row r="683" spans="1:8" x14ac:dyDescent="0.25">
      <c r="A683" t="s">
        <v>2048</v>
      </c>
      <c r="B683" t="s">
        <v>2049</v>
      </c>
      <c r="C683" s="1">
        <v>46026.122199074074</v>
      </c>
      <c r="D683">
        <v>1922.93</v>
      </c>
      <c r="E683" t="s">
        <v>25</v>
      </c>
      <c r="F683" t="s">
        <v>20</v>
      </c>
      <c r="G683" t="s">
        <v>30</v>
      </c>
      <c r="H683" t="s">
        <v>2050</v>
      </c>
    </row>
    <row r="684" spans="1:8" x14ac:dyDescent="0.25">
      <c r="A684" t="s">
        <v>2051</v>
      </c>
      <c r="B684" t="s">
        <v>2052</v>
      </c>
      <c r="C684" s="1">
        <v>46027.223969907405</v>
      </c>
      <c r="D684">
        <v>88.44</v>
      </c>
      <c r="E684" t="s">
        <v>25</v>
      </c>
      <c r="F684" t="s">
        <v>20</v>
      </c>
      <c r="G684" t="s">
        <v>21</v>
      </c>
      <c r="H684" t="s">
        <v>2053</v>
      </c>
    </row>
    <row r="685" spans="1:8" x14ac:dyDescent="0.25">
      <c r="A685" t="s">
        <v>2054</v>
      </c>
      <c r="B685" t="s">
        <v>2055</v>
      </c>
      <c r="C685" s="1">
        <v>46027.308993055558</v>
      </c>
      <c r="D685">
        <v>233.87</v>
      </c>
      <c r="E685" t="s">
        <v>25</v>
      </c>
      <c r="F685" t="s">
        <v>20</v>
      </c>
      <c r="G685" t="s">
        <v>26</v>
      </c>
      <c r="H685" t="s">
        <v>2056</v>
      </c>
    </row>
    <row r="686" spans="1:8" x14ac:dyDescent="0.25">
      <c r="A686" t="s">
        <v>2057</v>
      </c>
      <c r="B686" t="s">
        <v>2058</v>
      </c>
      <c r="C686" s="1">
        <v>46028.410046296296</v>
      </c>
      <c r="D686">
        <v>1849.91</v>
      </c>
      <c r="E686" t="s">
        <v>25</v>
      </c>
      <c r="F686" t="s">
        <v>20</v>
      </c>
      <c r="G686" t="s">
        <v>30</v>
      </c>
      <c r="H686" t="s">
        <v>2059</v>
      </c>
    </row>
    <row r="687" spans="1:8" x14ac:dyDescent="0.25">
      <c r="A687" t="s">
        <v>2060</v>
      </c>
      <c r="B687" t="s">
        <v>2061</v>
      </c>
      <c r="C687" s="1">
        <v>46029.487847222219</v>
      </c>
      <c r="D687">
        <v>789.77</v>
      </c>
      <c r="E687" t="s">
        <v>25</v>
      </c>
      <c r="F687" t="s">
        <v>20</v>
      </c>
      <c r="G687" t="s">
        <v>21</v>
      </c>
      <c r="H687" t="s">
        <v>2062</v>
      </c>
    </row>
    <row r="688" spans="1:8" x14ac:dyDescent="0.25">
      <c r="A688" t="s">
        <v>2063</v>
      </c>
      <c r="B688" t="s">
        <v>2064</v>
      </c>
      <c r="C688" s="1">
        <v>46030.585324074076</v>
      </c>
      <c r="D688">
        <v>2164.17</v>
      </c>
      <c r="E688" t="s">
        <v>52</v>
      </c>
      <c r="F688" t="s">
        <v>20</v>
      </c>
      <c r="G688" t="s">
        <v>26</v>
      </c>
      <c r="H688" t="s">
        <v>2065</v>
      </c>
    </row>
    <row r="689" spans="1:8" x14ac:dyDescent="0.25">
      <c r="A689" t="s">
        <v>2066</v>
      </c>
      <c r="B689" t="s">
        <v>2067</v>
      </c>
      <c r="C689" s="1">
        <v>46031.667546296296</v>
      </c>
      <c r="D689">
        <v>571.66</v>
      </c>
      <c r="E689" t="s">
        <v>19</v>
      </c>
      <c r="F689" t="s">
        <v>20</v>
      </c>
      <c r="G689" t="s">
        <v>30</v>
      </c>
      <c r="H689" t="s">
        <v>2068</v>
      </c>
    </row>
    <row r="690" spans="1:8" x14ac:dyDescent="0.25">
      <c r="A690" t="s">
        <v>2069</v>
      </c>
      <c r="B690" t="s">
        <v>2070</v>
      </c>
      <c r="C690" s="1">
        <v>46032.749710648146</v>
      </c>
      <c r="D690">
        <v>1670.89</v>
      </c>
      <c r="E690" t="s">
        <v>25</v>
      </c>
      <c r="F690" t="s">
        <v>20</v>
      </c>
      <c r="G690" t="s">
        <v>21</v>
      </c>
      <c r="H690" t="s">
        <v>2071</v>
      </c>
    </row>
    <row r="691" spans="1:8" x14ac:dyDescent="0.25">
      <c r="A691" t="s">
        <v>2072</v>
      </c>
      <c r="B691" t="s">
        <v>2073</v>
      </c>
      <c r="C691" s="1">
        <v>46033.839780092596</v>
      </c>
      <c r="D691">
        <v>1425.31</v>
      </c>
      <c r="E691" t="s">
        <v>25</v>
      </c>
      <c r="F691" t="s">
        <v>20</v>
      </c>
      <c r="G691" t="s">
        <v>26</v>
      </c>
      <c r="H691" t="s">
        <v>2074</v>
      </c>
    </row>
    <row r="692" spans="1:8" x14ac:dyDescent="0.25">
      <c r="A692" t="s">
        <v>2075</v>
      </c>
      <c r="B692" t="s">
        <v>2076</v>
      </c>
      <c r="C692" s="1">
        <v>46034.930856481478</v>
      </c>
      <c r="D692">
        <v>684.67</v>
      </c>
      <c r="E692" t="s">
        <v>25</v>
      </c>
      <c r="F692" t="s">
        <v>20</v>
      </c>
      <c r="G692" t="s">
        <v>30</v>
      </c>
      <c r="H692" t="s">
        <v>2077</v>
      </c>
    </row>
    <row r="693" spans="1:8" x14ac:dyDescent="0.25">
      <c r="A693" t="s">
        <v>2078</v>
      </c>
      <c r="B693" t="s">
        <v>2079</v>
      </c>
      <c r="C693" s="1">
        <v>46036.01730324074</v>
      </c>
      <c r="D693">
        <v>725.68</v>
      </c>
      <c r="E693" t="s">
        <v>25</v>
      </c>
      <c r="F693" t="s">
        <v>20</v>
      </c>
      <c r="G693" t="s">
        <v>21</v>
      </c>
      <c r="H693" t="s">
        <v>2080</v>
      </c>
    </row>
    <row r="694" spans="1:8" x14ac:dyDescent="0.25">
      <c r="A694" t="s">
        <v>2081</v>
      </c>
      <c r="B694" t="s">
        <v>2082</v>
      </c>
      <c r="C694" s="1">
        <v>46037.117731481485</v>
      </c>
      <c r="D694">
        <v>1457.74</v>
      </c>
      <c r="E694" t="s">
        <v>25</v>
      </c>
      <c r="F694" t="s">
        <v>20</v>
      </c>
      <c r="G694" t="s">
        <v>26</v>
      </c>
      <c r="H694" t="s">
        <v>2083</v>
      </c>
    </row>
    <row r="695" spans="1:8" x14ac:dyDescent="0.25">
      <c r="A695" t="s">
        <v>2084</v>
      </c>
      <c r="B695" t="s">
        <v>2085</v>
      </c>
      <c r="C695" s="1">
        <v>46024.203946759262</v>
      </c>
      <c r="D695">
        <v>373.47</v>
      </c>
      <c r="E695" t="s">
        <v>25</v>
      </c>
      <c r="F695" t="s">
        <v>20</v>
      </c>
      <c r="G695" t="s">
        <v>30</v>
      </c>
      <c r="H695" t="s">
        <v>2086</v>
      </c>
    </row>
    <row r="696" spans="1:8" x14ac:dyDescent="0.25">
      <c r="A696" t="s">
        <v>2087</v>
      </c>
      <c r="B696" t="s">
        <v>2088</v>
      </c>
      <c r="C696" s="1">
        <v>46024.31454861111</v>
      </c>
      <c r="D696">
        <v>710.36</v>
      </c>
      <c r="E696" t="s">
        <v>25</v>
      </c>
      <c r="F696" t="s">
        <v>20</v>
      </c>
      <c r="G696" t="s">
        <v>21</v>
      </c>
      <c r="H696" t="s">
        <v>2089</v>
      </c>
    </row>
    <row r="697" spans="1:8" x14ac:dyDescent="0.25">
      <c r="A697" t="s">
        <v>2090</v>
      </c>
      <c r="B697" t="s">
        <v>2091</v>
      </c>
      <c r="C697" s="1">
        <v>46025.411377314813</v>
      </c>
      <c r="D697">
        <v>713.36</v>
      </c>
      <c r="E697" t="s">
        <v>25</v>
      </c>
      <c r="F697" t="s">
        <v>429</v>
      </c>
      <c r="G697" t="s">
        <v>26</v>
      </c>
      <c r="H697" t="s">
        <v>2092</v>
      </c>
    </row>
    <row r="698" spans="1:8" x14ac:dyDescent="0.25">
      <c r="A698" t="s">
        <v>2093</v>
      </c>
      <c r="B698" t="s">
        <v>2094</v>
      </c>
      <c r="C698" s="1">
        <v>46026.494085648148</v>
      </c>
      <c r="D698">
        <v>554.65</v>
      </c>
      <c r="E698" t="s">
        <v>52</v>
      </c>
      <c r="F698" t="s">
        <v>20</v>
      </c>
      <c r="G698" t="s">
        <v>30</v>
      </c>
      <c r="H698" t="s">
        <v>2095</v>
      </c>
    </row>
    <row r="699" spans="1:8" x14ac:dyDescent="0.25">
      <c r="A699" t="s">
        <v>2096</v>
      </c>
      <c r="B699" t="s">
        <v>2097</v>
      </c>
      <c r="C699" s="1">
        <v>46027.577650462961</v>
      </c>
      <c r="D699">
        <v>645.59</v>
      </c>
      <c r="E699" t="s">
        <v>19</v>
      </c>
      <c r="F699" t="s">
        <v>20</v>
      </c>
      <c r="G699" t="s">
        <v>21</v>
      </c>
      <c r="H699" t="s">
        <v>2098</v>
      </c>
    </row>
    <row r="700" spans="1:8" x14ac:dyDescent="0.25">
      <c r="A700" t="s">
        <v>2099</v>
      </c>
      <c r="B700" t="s">
        <v>2100</v>
      </c>
      <c r="C700" s="1">
        <v>46028.67087962963</v>
      </c>
      <c r="D700">
        <v>645.11</v>
      </c>
      <c r="E700" t="s">
        <v>25</v>
      </c>
      <c r="F700" t="s">
        <v>20</v>
      </c>
      <c r="G700" t="s">
        <v>26</v>
      </c>
      <c r="H700" t="s">
        <v>2101</v>
      </c>
    </row>
    <row r="701" spans="1:8" x14ac:dyDescent="0.25">
      <c r="A701" t="s">
        <v>2102</v>
      </c>
      <c r="B701" t="s">
        <v>2103</v>
      </c>
      <c r="C701" s="1">
        <v>46029.771481481483</v>
      </c>
      <c r="D701">
        <v>885.44</v>
      </c>
      <c r="E701" t="s">
        <v>25</v>
      </c>
      <c r="F701" t="s">
        <v>20</v>
      </c>
      <c r="G701" t="s">
        <v>30</v>
      </c>
      <c r="H701" t="s">
        <v>2104</v>
      </c>
    </row>
    <row r="702" spans="1:8" x14ac:dyDescent="0.25">
      <c r="A702" t="s">
        <v>2105</v>
      </c>
      <c r="B702" t="s">
        <v>2106</v>
      </c>
      <c r="C702" s="1">
        <v>46030.878206018519</v>
      </c>
      <c r="D702">
        <v>1112.48</v>
      </c>
      <c r="E702" t="s">
        <v>25</v>
      </c>
      <c r="F702" t="s">
        <v>20</v>
      </c>
      <c r="G702" t="s">
        <v>21</v>
      </c>
      <c r="H702" t="s">
        <v>2107</v>
      </c>
    </row>
    <row r="703" spans="1:8" x14ac:dyDescent="0.25">
      <c r="A703" t="s">
        <v>2108</v>
      </c>
      <c r="B703" t="s">
        <v>2109</v>
      </c>
      <c r="C703" s="1">
        <v>46031.961458333331</v>
      </c>
      <c r="D703">
        <v>1255.19</v>
      </c>
      <c r="E703" t="s">
        <v>25</v>
      </c>
      <c r="F703" t="s">
        <v>20</v>
      </c>
      <c r="G703" t="s">
        <v>26</v>
      </c>
      <c r="H703" t="s">
        <v>2110</v>
      </c>
    </row>
    <row r="704" spans="1:8" x14ac:dyDescent="0.25">
      <c r="A704" t="s">
        <v>2111</v>
      </c>
      <c r="B704" t="s">
        <v>2112</v>
      </c>
      <c r="C704" s="1">
        <v>46033.050879629627</v>
      </c>
      <c r="D704">
        <v>1049.6099999999999</v>
      </c>
      <c r="E704" t="s">
        <v>25</v>
      </c>
      <c r="F704" t="s">
        <v>20</v>
      </c>
      <c r="G704" t="s">
        <v>30</v>
      </c>
      <c r="H704" t="s">
        <v>2113</v>
      </c>
    </row>
    <row r="705" spans="1:8" x14ac:dyDescent="0.25">
      <c r="A705" t="s">
        <v>2114</v>
      </c>
      <c r="B705" t="s">
        <v>2115</v>
      </c>
      <c r="C705" s="1">
        <v>46034.119664351849</v>
      </c>
      <c r="D705">
        <v>1013.91</v>
      </c>
      <c r="E705" t="s">
        <v>25</v>
      </c>
      <c r="F705" t="s">
        <v>20</v>
      </c>
      <c r="G705" t="s">
        <v>21</v>
      </c>
      <c r="H705" t="s">
        <v>2116</v>
      </c>
    </row>
    <row r="706" spans="1:8" x14ac:dyDescent="0.25">
      <c r="A706" t="s">
        <v>2117</v>
      </c>
      <c r="B706" t="s">
        <v>2118</v>
      </c>
      <c r="C706" s="1">
        <v>46034.243101851855</v>
      </c>
      <c r="D706">
        <v>2418.23</v>
      </c>
      <c r="E706" t="s">
        <v>25</v>
      </c>
      <c r="F706" t="s">
        <v>20</v>
      </c>
      <c r="G706" t="s">
        <v>26</v>
      </c>
      <c r="H706" t="s">
        <v>2119</v>
      </c>
    </row>
    <row r="707" spans="1:8" x14ac:dyDescent="0.25">
      <c r="A707" t="s">
        <v>2120</v>
      </c>
      <c r="B707" t="s">
        <v>2121</v>
      </c>
      <c r="C707" s="1">
        <v>46035.318136574075</v>
      </c>
      <c r="D707">
        <v>865.91</v>
      </c>
      <c r="E707" t="s">
        <v>25</v>
      </c>
      <c r="F707" t="s">
        <v>20</v>
      </c>
      <c r="G707" t="s">
        <v>30</v>
      </c>
      <c r="H707" t="s">
        <v>2122</v>
      </c>
    </row>
    <row r="708" spans="1:8" x14ac:dyDescent="0.25">
      <c r="A708" t="s">
        <v>2123</v>
      </c>
      <c r="B708" t="s">
        <v>2124</v>
      </c>
      <c r="C708" s="1">
        <v>46036.391064814816</v>
      </c>
      <c r="D708">
        <v>925.49</v>
      </c>
      <c r="E708" t="s">
        <v>52</v>
      </c>
      <c r="F708" t="s">
        <v>20</v>
      </c>
      <c r="G708" t="s">
        <v>21</v>
      </c>
      <c r="H708" t="s">
        <v>2125</v>
      </c>
    </row>
    <row r="709" spans="1:8" x14ac:dyDescent="0.25">
      <c r="A709" t="s">
        <v>2126</v>
      </c>
      <c r="B709" t="s">
        <v>2127</v>
      </c>
      <c r="C709" s="1">
        <v>46023.490983796299</v>
      </c>
      <c r="D709">
        <v>760.58</v>
      </c>
      <c r="E709" t="s">
        <v>19</v>
      </c>
      <c r="F709" t="s">
        <v>20</v>
      </c>
      <c r="G709" t="s">
        <v>26</v>
      </c>
      <c r="H709" t="s">
        <v>2128</v>
      </c>
    </row>
    <row r="710" spans="1:8" x14ac:dyDescent="0.25">
      <c r="A710" t="s">
        <v>2129</v>
      </c>
      <c r="B710" t="s">
        <v>2130</v>
      </c>
      <c r="C710" s="1">
        <v>46024.577893518515</v>
      </c>
      <c r="D710">
        <v>2117.7600000000002</v>
      </c>
      <c r="E710" t="s">
        <v>25</v>
      </c>
      <c r="F710" t="s">
        <v>92</v>
      </c>
      <c r="G710" t="s">
        <v>30</v>
      </c>
      <c r="H710" t="s">
        <v>2131</v>
      </c>
    </row>
    <row r="711" spans="1:8" x14ac:dyDescent="0.25">
      <c r="A711" t="s">
        <v>2132</v>
      </c>
      <c r="B711" t="s">
        <v>2133</v>
      </c>
      <c r="C711" s="1">
        <v>46025.675856481481</v>
      </c>
      <c r="D711">
        <v>2115.19</v>
      </c>
      <c r="E711" t="s">
        <v>25</v>
      </c>
      <c r="F711" t="s">
        <v>20</v>
      </c>
      <c r="G711" t="s">
        <v>21</v>
      </c>
      <c r="H711" t="s">
        <v>2134</v>
      </c>
    </row>
    <row r="712" spans="1:8" x14ac:dyDescent="0.25">
      <c r="A712" t="s">
        <v>2135</v>
      </c>
      <c r="B712" t="s">
        <v>2136</v>
      </c>
      <c r="C712" s="1">
        <v>46026.783599537041</v>
      </c>
      <c r="D712">
        <v>1313.01</v>
      </c>
      <c r="E712" t="s">
        <v>25</v>
      </c>
      <c r="F712" t="s">
        <v>20</v>
      </c>
      <c r="G712" t="s">
        <v>26</v>
      </c>
      <c r="H712" t="s">
        <v>2137</v>
      </c>
    </row>
    <row r="713" spans="1:8" x14ac:dyDescent="0.25">
      <c r="A713" t="s">
        <v>2138</v>
      </c>
      <c r="B713" t="s">
        <v>2139</v>
      </c>
      <c r="C713" s="1">
        <v>46027.86859953704</v>
      </c>
      <c r="D713">
        <v>2243.4699999999998</v>
      </c>
      <c r="E713" t="s">
        <v>25</v>
      </c>
      <c r="F713" t="s">
        <v>20</v>
      </c>
      <c r="G713" t="s">
        <v>30</v>
      </c>
      <c r="H713" t="s">
        <v>2140</v>
      </c>
    </row>
    <row r="714" spans="1:8" x14ac:dyDescent="0.25">
      <c r="A714" t="s">
        <v>2141</v>
      </c>
      <c r="B714" t="s">
        <v>2142</v>
      </c>
      <c r="C714" s="1">
        <v>46028.977222222224</v>
      </c>
      <c r="D714">
        <v>1137.75</v>
      </c>
      <c r="E714" t="s">
        <v>25</v>
      </c>
      <c r="F714" t="s">
        <v>20</v>
      </c>
      <c r="G714" t="s">
        <v>21</v>
      </c>
      <c r="H714" t="s">
        <v>2143</v>
      </c>
    </row>
    <row r="715" spans="1:8" x14ac:dyDescent="0.25">
      <c r="A715" t="s">
        <v>2144</v>
      </c>
      <c r="B715" t="s">
        <v>2145</v>
      </c>
      <c r="C715" s="1">
        <v>46030.04724537037</v>
      </c>
      <c r="D715">
        <v>1027.43</v>
      </c>
      <c r="E715" t="s">
        <v>25</v>
      </c>
      <c r="F715" t="s">
        <v>20</v>
      </c>
      <c r="G715" t="s">
        <v>26</v>
      </c>
      <c r="H715" t="s">
        <v>2146</v>
      </c>
    </row>
    <row r="716" spans="1:8" x14ac:dyDescent="0.25">
      <c r="A716" t="s">
        <v>2147</v>
      </c>
      <c r="B716" t="s">
        <v>2148</v>
      </c>
      <c r="C716" s="1">
        <v>46031.142118055555</v>
      </c>
      <c r="D716">
        <v>2099.73</v>
      </c>
      <c r="E716" t="s">
        <v>25</v>
      </c>
      <c r="F716" t="s">
        <v>20</v>
      </c>
      <c r="G716" t="s">
        <v>30</v>
      </c>
      <c r="H716" t="s">
        <v>2149</v>
      </c>
    </row>
    <row r="717" spans="1:8" x14ac:dyDescent="0.25">
      <c r="A717" t="s">
        <v>2150</v>
      </c>
      <c r="B717" t="s">
        <v>2151</v>
      </c>
      <c r="C717" s="1">
        <v>46031.253611111111</v>
      </c>
      <c r="D717">
        <v>330.75</v>
      </c>
      <c r="E717" t="s">
        <v>25</v>
      </c>
      <c r="F717" t="s">
        <v>20</v>
      </c>
      <c r="G717" t="s">
        <v>21</v>
      </c>
      <c r="H717" t="s">
        <v>2152</v>
      </c>
    </row>
    <row r="718" spans="1:8" x14ac:dyDescent="0.25">
      <c r="A718" t="s">
        <v>2153</v>
      </c>
      <c r="B718" t="s">
        <v>2154</v>
      </c>
      <c r="C718" s="1">
        <v>46032.306423611109</v>
      </c>
      <c r="D718">
        <v>1380.06</v>
      </c>
      <c r="E718" t="s">
        <v>52</v>
      </c>
      <c r="F718" t="s">
        <v>20</v>
      </c>
      <c r="G718" t="s">
        <v>26</v>
      </c>
      <c r="H718" t="s">
        <v>2155</v>
      </c>
    </row>
    <row r="719" spans="1:8" x14ac:dyDescent="0.25">
      <c r="A719" t="s">
        <v>2156</v>
      </c>
      <c r="B719" t="s">
        <v>2157</v>
      </c>
      <c r="C719" s="1">
        <v>46033.434293981481</v>
      </c>
      <c r="D719">
        <v>90.09</v>
      </c>
      <c r="E719" t="s">
        <v>19</v>
      </c>
      <c r="F719" t="s">
        <v>20</v>
      </c>
      <c r="G719" t="s">
        <v>30</v>
      </c>
      <c r="H719" t="s">
        <v>2158</v>
      </c>
    </row>
    <row r="720" spans="1:8" x14ac:dyDescent="0.25">
      <c r="A720" t="s">
        <v>2159</v>
      </c>
      <c r="B720" t="s">
        <v>2160</v>
      </c>
      <c r="C720" s="1">
        <v>46034.492789351854</v>
      </c>
      <c r="D720">
        <v>1446.39</v>
      </c>
      <c r="E720" t="s">
        <v>25</v>
      </c>
      <c r="F720" t="s">
        <v>20</v>
      </c>
      <c r="G720" t="s">
        <v>21</v>
      </c>
      <c r="H720" t="s">
        <v>2161</v>
      </c>
    </row>
    <row r="721" spans="1:8" x14ac:dyDescent="0.25">
      <c r="A721" t="s">
        <v>2162</v>
      </c>
      <c r="B721" t="s">
        <v>2163</v>
      </c>
      <c r="C721" s="1">
        <v>46035.59715277778</v>
      </c>
      <c r="D721">
        <v>1226.19</v>
      </c>
      <c r="E721" t="s">
        <v>25</v>
      </c>
      <c r="F721" t="s">
        <v>20</v>
      </c>
      <c r="G721" t="s">
        <v>26</v>
      </c>
      <c r="H721" t="s">
        <v>2164</v>
      </c>
    </row>
    <row r="722" spans="1:8" x14ac:dyDescent="0.25">
      <c r="A722" t="s">
        <v>2165</v>
      </c>
      <c r="B722" t="s">
        <v>2166</v>
      </c>
      <c r="C722" s="1">
        <v>46036.684837962966</v>
      </c>
      <c r="D722">
        <v>1190.67</v>
      </c>
      <c r="E722" t="s">
        <v>25</v>
      </c>
      <c r="F722" t="s">
        <v>20</v>
      </c>
      <c r="G722" t="s">
        <v>30</v>
      </c>
      <c r="H722" t="s">
        <v>2167</v>
      </c>
    </row>
    <row r="723" spans="1:8" x14ac:dyDescent="0.25">
      <c r="A723" t="s">
        <v>2168</v>
      </c>
      <c r="B723" t="s">
        <v>2169</v>
      </c>
      <c r="C723" s="1">
        <v>46023.797812500001</v>
      </c>
      <c r="D723">
        <v>1897.98</v>
      </c>
      <c r="E723" t="s">
        <v>25</v>
      </c>
      <c r="F723" t="s">
        <v>20</v>
      </c>
      <c r="G723" t="s">
        <v>21</v>
      </c>
      <c r="H723" t="s">
        <v>2170</v>
      </c>
    </row>
    <row r="724" spans="1:8" x14ac:dyDescent="0.25">
      <c r="A724" t="s">
        <v>2171</v>
      </c>
      <c r="B724" t="s">
        <v>2172</v>
      </c>
      <c r="C724" s="1">
        <v>46024.856226851851</v>
      </c>
      <c r="D724">
        <v>1386.77</v>
      </c>
      <c r="E724" t="s">
        <v>25</v>
      </c>
      <c r="F724" t="s">
        <v>20</v>
      </c>
      <c r="G724" t="s">
        <v>26</v>
      </c>
      <c r="H724" t="s">
        <v>2173</v>
      </c>
    </row>
    <row r="725" spans="1:8" x14ac:dyDescent="0.25">
      <c r="A725" t="s">
        <v>2174</v>
      </c>
      <c r="B725" t="s">
        <v>2175</v>
      </c>
      <c r="C725" s="1">
        <v>46025.975798611114</v>
      </c>
      <c r="D725">
        <v>1070.52</v>
      </c>
      <c r="E725" t="s">
        <v>25</v>
      </c>
      <c r="F725" t="s">
        <v>20</v>
      </c>
      <c r="G725" t="s">
        <v>30</v>
      </c>
      <c r="H725" t="s">
        <v>2176</v>
      </c>
    </row>
    <row r="726" spans="1:8" x14ac:dyDescent="0.25">
      <c r="A726" t="s">
        <v>2177</v>
      </c>
      <c r="B726" t="s">
        <v>2178</v>
      </c>
      <c r="C726" s="1">
        <v>46027.072615740741</v>
      </c>
      <c r="D726">
        <v>2367.4299999999998</v>
      </c>
      <c r="E726" t="s">
        <v>25</v>
      </c>
      <c r="F726" t="s">
        <v>20</v>
      </c>
      <c r="G726" t="s">
        <v>21</v>
      </c>
      <c r="H726" t="s">
        <v>2179</v>
      </c>
    </row>
    <row r="727" spans="1:8" x14ac:dyDescent="0.25">
      <c r="A727" t="s">
        <v>2180</v>
      </c>
      <c r="B727" t="s">
        <v>2181</v>
      </c>
      <c r="C727" s="1">
        <v>46028.163634259261</v>
      </c>
      <c r="D727">
        <v>330.37</v>
      </c>
      <c r="E727" t="s">
        <v>25</v>
      </c>
      <c r="F727" t="s">
        <v>20</v>
      </c>
      <c r="G727" t="s">
        <v>26</v>
      </c>
      <c r="H727" t="s">
        <v>2182</v>
      </c>
    </row>
    <row r="728" spans="1:8" x14ac:dyDescent="0.25">
      <c r="A728" t="s">
        <v>2183</v>
      </c>
      <c r="B728" t="s">
        <v>2184</v>
      </c>
      <c r="C728" s="1">
        <v>46028.250231481485</v>
      </c>
      <c r="D728">
        <v>2422.17</v>
      </c>
      <c r="E728" t="s">
        <v>52</v>
      </c>
      <c r="F728" t="s">
        <v>20</v>
      </c>
      <c r="G728" t="s">
        <v>30</v>
      </c>
      <c r="H728" t="s">
        <v>2185</v>
      </c>
    </row>
    <row r="729" spans="1:8" x14ac:dyDescent="0.25">
      <c r="A729" t="s">
        <v>2186</v>
      </c>
      <c r="B729" t="s">
        <v>2187</v>
      </c>
      <c r="C729" s="1">
        <v>46029.322326388887</v>
      </c>
      <c r="D729">
        <v>426.47</v>
      </c>
      <c r="E729" t="s">
        <v>19</v>
      </c>
      <c r="F729" t="s">
        <v>20</v>
      </c>
      <c r="G729" t="s">
        <v>21</v>
      </c>
      <c r="H729" t="s">
        <v>2188</v>
      </c>
    </row>
    <row r="730" spans="1:8" x14ac:dyDescent="0.25">
      <c r="A730" t="s">
        <v>2189</v>
      </c>
      <c r="B730" t="s">
        <v>2190</v>
      </c>
      <c r="C730" s="1">
        <v>46030.417488425926</v>
      </c>
      <c r="D730">
        <v>1675.32</v>
      </c>
      <c r="E730" t="s">
        <v>25</v>
      </c>
      <c r="F730" t="s">
        <v>20</v>
      </c>
      <c r="G730" t="s">
        <v>26</v>
      </c>
      <c r="H730" t="s">
        <v>2191</v>
      </c>
    </row>
    <row r="731" spans="1:8" x14ac:dyDescent="0.25">
      <c r="A731" t="s">
        <v>2192</v>
      </c>
      <c r="B731" t="s">
        <v>2193</v>
      </c>
      <c r="C731" s="1">
        <v>46031.527719907404</v>
      </c>
      <c r="D731">
        <v>1727.71</v>
      </c>
      <c r="E731" t="s">
        <v>25</v>
      </c>
      <c r="F731" t="s">
        <v>20</v>
      </c>
      <c r="G731" t="s">
        <v>30</v>
      </c>
      <c r="H731" t="s">
        <v>2194</v>
      </c>
    </row>
    <row r="732" spans="1:8" x14ac:dyDescent="0.25">
      <c r="A732" t="s">
        <v>2195</v>
      </c>
      <c r="B732" t="s">
        <v>2196</v>
      </c>
      <c r="C732" s="1">
        <v>46032.614999999998</v>
      </c>
      <c r="D732">
        <v>1419.42</v>
      </c>
      <c r="E732" t="s">
        <v>25</v>
      </c>
      <c r="F732" t="s">
        <v>20</v>
      </c>
      <c r="G732" t="s">
        <v>21</v>
      </c>
      <c r="H732" t="s">
        <v>2197</v>
      </c>
    </row>
    <row r="733" spans="1:8" x14ac:dyDescent="0.25">
      <c r="A733" t="s">
        <v>2198</v>
      </c>
      <c r="B733" t="s">
        <v>2199</v>
      </c>
      <c r="C733" s="1">
        <v>46033.684305555558</v>
      </c>
      <c r="D733">
        <v>831.32</v>
      </c>
      <c r="E733" t="s">
        <v>25</v>
      </c>
      <c r="F733" t="s">
        <v>20</v>
      </c>
      <c r="G733" t="s">
        <v>26</v>
      </c>
      <c r="H733" t="s">
        <v>2200</v>
      </c>
    </row>
    <row r="734" spans="1:8" x14ac:dyDescent="0.25">
      <c r="A734" t="s">
        <v>2201</v>
      </c>
      <c r="B734" t="s">
        <v>2202</v>
      </c>
      <c r="C734" s="1">
        <v>46034.799421296295</v>
      </c>
      <c r="D734">
        <v>1585.31</v>
      </c>
      <c r="E734" t="s">
        <v>25</v>
      </c>
      <c r="F734" t="s">
        <v>20</v>
      </c>
      <c r="G734" t="s">
        <v>30</v>
      </c>
      <c r="H734" t="s">
        <v>2203</v>
      </c>
    </row>
    <row r="735" spans="1:8" x14ac:dyDescent="0.25">
      <c r="A735" t="s">
        <v>2204</v>
      </c>
      <c r="B735" t="s">
        <v>2205</v>
      </c>
      <c r="C735" s="1">
        <v>46035.873287037037</v>
      </c>
      <c r="D735">
        <v>2236.9299999999998</v>
      </c>
      <c r="E735" t="s">
        <v>25</v>
      </c>
      <c r="F735" t="s">
        <v>20</v>
      </c>
      <c r="G735" t="s">
        <v>21</v>
      </c>
      <c r="H735" t="s">
        <v>2206</v>
      </c>
    </row>
    <row r="736" spans="1:8" x14ac:dyDescent="0.25">
      <c r="A736" t="s">
        <v>2207</v>
      </c>
      <c r="B736" t="s">
        <v>2208</v>
      </c>
      <c r="C736" s="1">
        <v>46036.982685185183</v>
      </c>
      <c r="D736">
        <v>372.63</v>
      </c>
      <c r="E736" t="s">
        <v>25</v>
      </c>
      <c r="F736" t="s">
        <v>20</v>
      </c>
      <c r="G736" t="s">
        <v>26</v>
      </c>
      <c r="H736" t="s">
        <v>2209</v>
      </c>
    </row>
    <row r="737" spans="1:8" x14ac:dyDescent="0.25">
      <c r="A737" t="s">
        <v>2210</v>
      </c>
      <c r="B737" t="s">
        <v>2211</v>
      </c>
      <c r="C737" s="1">
        <v>46024.066805555558</v>
      </c>
      <c r="D737">
        <v>2263.9499999999998</v>
      </c>
      <c r="E737" t="s">
        <v>25</v>
      </c>
      <c r="F737" t="s">
        <v>20</v>
      </c>
      <c r="G737" t="s">
        <v>30</v>
      </c>
      <c r="H737" t="s">
        <v>2212</v>
      </c>
    </row>
    <row r="738" spans="1:8" x14ac:dyDescent="0.25">
      <c r="A738" t="s">
        <v>2213</v>
      </c>
      <c r="B738" t="s">
        <v>2214</v>
      </c>
      <c r="C738" s="1">
        <v>46025.139988425923</v>
      </c>
      <c r="D738">
        <v>950.01</v>
      </c>
      <c r="E738" t="s">
        <v>52</v>
      </c>
      <c r="F738" t="s">
        <v>20</v>
      </c>
      <c r="G738" t="s">
        <v>21</v>
      </c>
      <c r="H738" t="s">
        <v>2215</v>
      </c>
    </row>
    <row r="739" spans="1:8" x14ac:dyDescent="0.25">
      <c r="A739" t="s">
        <v>2216</v>
      </c>
      <c r="B739" t="s">
        <v>2217</v>
      </c>
      <c r="C739" s="1">
        <v>46025.234652777777</v>
      </c>
      <c r="D739">
        <v>831.77</v>
      </c>
      <c r="E739" t="s">
        <v>19</v>
      </c>
      <c r="F739" t="s">
        <v>20</v>
      </c>
      <c r="G739" t="s">
        <v>26</v>
      </c>
      <c r="H739" t="s">
        <v>2218</v>
      </c>
    </row>
    <row r="740" spans="1:8" x14ac:dyDescent="0.25">
      <c r="A740" t="s">
        <v>2219</v>
      </c>
      <c r="B740" t="s">
        <v>2220</v>
      </c>
      <c r="C740" s="1">
        <v>46026.341828703706</v>
      </c>
      <c r="D740">
        <v>1085.8</v>
      </c>
      <c r="E740" t="s">
        <v>25</v>
      </c>
      <c r="F740" t="s">
        <v>20</v>
      </c>
      <c r="G740" t="s">
        <v>30</v>
      </c>
      <c r="H740" t="s">
        <v>2221</v>
      </c>
    </row>
    <row r="741" spans="1:8" x14ac:dyDescent="0.25">
      <c r="A741" t="s">
        <v>2222</v>
      </c>
      <c r="B741" t="s">
        <v>2223</v>
      </c>
      <c r="C741" s="1">
        <v>46027.424328703702</v>
      </c>
      <c r="D741">
        <v>767.13</v>
      </c>
      <c r="E741" t="s">
        <v>25</v>
      </c>
      <c r="F741" t="s">
        <v>20</v>
      </c>
      <c r="G741" t="s">
        <v>21</v>
      </c>
      <c r="H741" t="s">
        <v>2224</v>
      </c>
    </row>
    <row r="742" spans="1:8" x14ac:dyDescent="0.25">
      <c r="A742" t="s">
        <v>2225</v>
      </c>
      <c r="B742" t="s">
        <v>2226</v>
      </c>
      <c r="C742" s="1">
        <v>46028.514988425923</v>
      </c>
      <c r="D742">
        <v>1903.02</v>
      </c>
      <c r="E742" t="s">
        <v>25</v>
      </c>
      <c r="F742" t="s">
        <v>20</v>
      </c>
      <c r="G742" t="s">
        <v>26</v>
      </c>
      <c r="H742" t="s">
        <v>2227</v>
      </c>
    </row>
    <row r="743" spans="1:8" x14ac:dyDescent="0.25">
      <c r="A743" t="s">
        <v>2228</v>
      </c>
      <c r="B743" t="s">
        <v>2229</v>
      </c>
      <c r="C743" s="1">
        <v>46029.611273148148</v>
      </c>
      <c r="D743">
        <v>1893.86</v>
      </c>
      <c r="E743" t="s">
        <v>25</v>
      </c>
      <c r="F743" t="s">
        <v>20</v>
      </c>
      <c r="G743" t="s">
        <v>30</v>
      </c>
      <c r="H743" t="s">
        <v>2230</v>
      </c>
    </row>
    <row r="744" spans="1:8" x14ac:dyDescent="0.25">
      <c r="A744" t="s">
        <v>2231</v>
      </c>
      <c r="B744" t="s">
        <v>2232</v>
      </c>
      <c r="C744" s="1">
        <v>46030.692152777781</v>
      </c>
      <c r="D744">
        <v>2118.54</v>
      </c>
      <c r="E744" t="s">
        <v>25</v>
      </c>
      <c r="F744" t="s">
        <v>20</v>
      </c>
      <c r="G744" t="s">
        <v>21</v>
      </c>
      <c r="H744" t="s">
        <v>2233</v>
      </c>
    </row>
    <row r="745" spans="1:8" x14ac:dyDescent="0.25">
      <c r="A745" t="s">
        <v>2234</v>
      </c>
      <c r="B745" t="s">
        <v>2235</v>
      </c>
      <c r="C745" s="1">
        <v>46031.81318287037</v>
      </c>
      <c r="D745">
        <v>934.22</v>
      </c>
      <c r="E745" t="s">
        <v>25</v>
      </c>
      <c r="F745" t="s">
        <v>20</v>
      </c>
      <c r="G745" t="s">
        <v>26</v>
      </c>
      <c r="H745" t="s">
        <v>2236</v>
      </c>
    </row>
    <row r="746" spans="1:8" x14ac:dyDescent="0.25">
      <c r="A746" t="s">
        <v>2237</v>
      </c>
      <c r="B746" t="s">
        <v>2238</v>
      </c>
      <c r="C746" s="1">
        <v>46032.875868055555</v>
      </c>
      <c r="D746">
        <v>621.07000000000005</v>
      </c>
      <c r="E746" t="s">
        <v>25</v>
      </c>
      <c r="F746" t="s">
        <v>20</v>
      </c>
      <c r="G746" t="s">
        <v>30</v>
      </c>
      <c r="H746" t="s">
        <v>2239</v>
      </c>
    </row>
    <row r="747" spans="1:8" x14ac:dyDescent="0.25">
      <c r="A747" t="s">
        <v>2240</v>
      </c>
      <c r="B747" t="s">
        <v>2241</v>
      </c>
      <c r="C747" s="1">
        <v>46033.993900462963</v>
      </c>
      <c r="D747">
        <v>1733</v>
      </c>
      <c r="E747" t="s">
        <v>25</v>
      </c>
      <c r="F747" t="s">
        <v>20</v>
      </c>
      <c r="G747" t="s">
        <v>21</v>
      </c>
      <c r="H747" t="s">
        <v>2242</v>
      </c>
    </row>
    <row r="748" spans="1:8" x14ac:dyDescent="0.25">
      <c r="A748" t="s">
        <v>2243</v>
      </c>
      <c r="B748" t="s">
        <v>2244</v>
      </c>
      <c r="C748" s="1">
        <v>46035.091643518521</v>
      </c>
      <c r="D748">
        <v>455.6</v>
      </c>
      <c r="E748" t="s">
        <v>52</v>
      </c>
      <c r="F748" t="s">
        <v>20</v>
      </c>
      <c r="G748" t="s">
        <v>26</v>
      </c>
      <c r="H748" t="s">
        <v>2245</v>
      </c>
    </row>
    <row r="749" spans="1:8" x14ac:dyDescent="0.25">
      <c r="A749" t="s">
        <v>2246</v>
      </c>
      <c r="B749" t="s">
        <v>2247</v>
      </c>
      <c r="C749" s="1">
        <v>46036.156805555554</v>
      </c>
      <c r="D749">
        <v>1922.81</v>
      </c>
      <c r="E749" t="s">
        <v>19</v>
      </c>
      <c r="F749" t="s">
        <v>20</v>
      </c>
      <c r="G749" t="s">
        <v>30</v>
      </c>
      <c r="H749" t="s">
        <v>2248</v>
      </c>
    </row>
    <row r="750" spans="1:8" x14ac:dyDescent="0.25">
      <c r="A750" t="s">
        <v>2249</v>
      </c>
      <c r="B750" t="s">
        <v>2250</v>
      </c>
      <c r="C750" s="1">
        <v>46036.251921296294</v>
      </c>
      <c r="D750">
        <v>2144.38</v>
      </c>
      <c r="E750" t="s">
        <v>25</v>
      </c>
      <c r="F750" t="s">
        <v>20</v>
      </c>
      <c r="G750" t="s">
        <v>21</v>
      </c>
      <c r="H750" t="s">
        <v>2251</v>
      </c>
    </row>
    <row r="751" spans="1:8" x14ac:dyDescent="0.25">
      <c r="A751" t="s">
        <v>2252</v>
      </c>
      <c r="B751" t="s">
        <v>2253</v>
      </c>
      <c r="C751" s="1">
        <v>46023.339479166665</v>
      </c>
      <c r="D751">
        <v>242.59</v>
      </c>
      <c r="E751" t="s">
        <v>25</v>
      </c>
      <c r="F751" t="s">
        <v>20</v>
      </c>
      <c r="G751" t="s">
        <v>26</v>
      </c>
      <c r="H751" t="s">
        <v>2254</v>
      </c>
    </row>
    <row r="752" spans="1:8" x14ac:dyDescent="0.25">
      <c r="A752" t="s">
        <v>2255</v>
      </c>
      <c r="B752" t="s">
        <v>2256</v>
      </c>
      <c r="C752" s="1">
        <v>46024.451157407406</v>
      </c>
      <c r="D752">
        <v>1040.1099999999999</v>
      </c>
      <c r="E752" t="s">
        <v>25</v>
      </c>
      <c r="F752" t="s">
        <v>20</v>
      </c>
      <c r="G752" t="s">
        <v>30</v>
      </c>
      <c r="H752" t="s">
        <v>2257</v>
      </c>
    </row>
    <row r="753" spans="1:8" x14ac:dyDescent="0.25">
      <c r="A753" t="s">
        <v>2258</v>
      </c>
      <c r="B753" t="s">
        <v>2259</v>
      </c>
      <c r="C753" s="1">
        <v>46025.515659722223</v>
      </c>
      <c r="D753">
        <v>815.25</v>
      </c>
      <c r="E753" t="s">
        <v>25</v>
      </c>
      <c r="F753" t="s">
        <v>20</v>
      </c>
      <c r="G753" t="s">
        <v>21</v>
      </c>
      <c r="H753" t="s">
        <v>2260</v>
      </c>
    </row>
    <row r="754" spans="1:8" x14ac:dyDescent="0.25">
      <c r="A754" t="s">
        <v>2261</v>
      </c>
      <c r="B754" t="s">
        <v>2262</v>
      </c>
      <c r="C754" s="1">
        <v>46026.628495370373</v>
      </c>
      <c r="D754">
        <v>764.09</v>
      </c>
      <c r="E754" t="s">
        <v>25</v>
      </c>
      <c r="F754" t="s">
        <v>429</v>
      </c>
      <c r="G754" t="s">
        <v>26</v>
      </c>
      <c r="H754" t="s">
        <v>2263</v>
      </c>
    </row>
    <row r="755" spans="1:8" x14ac:dyDescent="0.25">
      <c r="A755" t="s">
        <v>2264</v>
      </c>
      <c r="B755" t="s">
        <v>2265</v>
      </c>
      <c r="C755" s="1">
        <v>46027.726817129631</v>
      </c>
      <c r="D755">
        <v>994.4</v>
      </c>
      <c r="E755" t="s">
        <v>25</v>
      </c>
      <c r="F755" t="s">
        <v>20</v>
      </c>
      <c r="G755" t="s">
        <v>30</v>
      </c>
      <c r="H755" t="s">
        <v>2266</v>
      </c>
    </row>
    <row r="756" spans="1:8" x14ac:dyDescent="0.25">
      <c r="A756" t="s">
        <v>2267</v>
      </c>
      <c r="B756" t="s">
        <v>2268</v>
      </c>
      <c r="C756" s="1">
        <v>46028.793009259258</v>
      </c>
      <c r="D756">
        <v>1499.32</v>
      </c>
      <c r="E756" t="s">
        <v>25</v>
      </c>
      <c r="F756" t="s">
        <v>20</v>
      </c>
      <c r="G756" t="s">
        <v>21</v>
      </c>
      <c r="H756" t="s">
        <v>2269</v>
      </c>
    </row>
    <row r="757" spans="1:8" x14ac:dyDescent="0.25">
      <c r="A757" t="s">
        <v>2270</v>
      </c>
      <c r="B757" t="s">
        <v>2271</v>
      </c>
      <c r="C757" s="1">
        <v>46029.908668981479</v>
      </c>
      <c r="D757">
        <v>760.04</v>
      </c>
      <c r="E757" t="s">
        <v>25</v>
      </c>
      <c r="F757" t="s">
        <v>20</v>
      </c>
      <c r="G757" t="s">
        <v>26</v>
      </c>
      <c r="H757" t="s">
        <v>2272</v>
      </c>
    </row>
    <row r="758" spans="1:8" x14ac:dyDescent="0.25">
      <c r="A758" t="s">
        <v>2273</v>
      </c>
      <c r="B758" t="s">
        <v>2274</v>
      </c>
      <c r="C758" s="1">
        <v>46030.992164351854</v>
      </c>
      <c r="D758">
        <v>153.87</v>
      </c>
      <c r="E758" t="s">
        <v>52</v>
      </c>
      <c r="F758" t="s">
        <v>20</v>
      </c>
      <c r="G758" t="s">
        <v>30</v>
      </c>
      <c r="H758" t="s">
        <v>2275</v>
      </c>
    </row>
    <row r="759" spans="1:8" x14ac:dyDescent="0.25">
      <c r="A759" t="s">
        <v>2276</v>
      </c>
      <c r="B759" t="s">
        <v>2277</v>
      </c>
      <c r="C759" s="1">
        <v>46032.073761574073</v>
      </c>
      <c r="D759">
        <v>1070.48</v>
      </c>
      <c r="E759" t="s">
        <v>19</v>
      </c>
      <c r="F759" t="s">
        <v>429</v>
      </c>
      <c r="G759" t="s">
        <v>21</v>
      </c>
      <c r="H759" t="s">
        <v>2278</v>
      </c>
    </row>
    <row r="760" spans="1:8" x14ac:dyDescent="0.25">
      <c r="A760" t="s">
        <v>2279</v>
      </c>
      <c r="B760" t="s">
        <v>2280</v>
      </c>
      <c r="C760" s="1">
        <v>46033.180219907408</v>
      </c>
      <c r="D760">
        <v>693.13</v>
      </c>
      <c r="E760" t="s">
        <v>25</v>
      </c>
      <c r="F760" t="s">
        <v>20</v>
      </c>
      <c r="G760" t="s">
        <v>26</v>
      </c>
      <c r="H760" t="s">
        <v>2281</v>
      </c>
    </row>
    <row r="761" spans="1:8" x14ac:dyDescent="0.25">
      <c r="A761" t="s">
        <v>2282</v>
      </c>
      <c r="B761" t="s">
        <v>2283</v>
      </c>
      <c r="C761" s="1">
        <v>46033.272499999999</v>
      </c>
      <c r="D761">
        <v>83.36</v>
      </c>
      <c r="E761" t="s">
        <v>25</v>
      </c>
      <c r="F761" t="s">
        <v>20</v>
      </c>
      <c r="G761" t="s">
        <v>30</v>
      </c>
      <c r="H761" t="s">
        <v>2284</v>
      </c>
    </row>
    <row r="762" spans="1:8" x14ac:dyDescent="0.25">
      <c r="A762" t="s">
        <v>2285</v>
      </c>
      <c r="B762" t="s">
        <v>2286</v>
      </c>
      <c r="C762" s="1">
        <v>46034.348217592589</v>
      </c>
      <c r="D762">
        <v>1081.3900000000001</v>
      </c>
      <c r="E762" t="s">
        <v>25</v>
      </c>
      <c r="F762" t="s">
        <v>20</v>
      </c>
      <c r="G762" t="s">
        <v>21</v>
      </c>
      <c r="H762" t="s">
        <v>2287</v>
      </c>
    </row>
    <row r="763" spans="1:8" x14ac:dyDescent="0.25">
      <c r="A763" t="s">
        <v>2288</v>
      </c>
      <c r="B763" t="s">
        <v>2289</v>
      </c>
      <c r="C763" s="1">
        <v>46035.455590277779</v>
      </c>
      <c r="D763">
        <v>1712.52</v>
      </c>
      <c r="E763" t="s">
        <v>25</v>
      </c>
      <c r="F763" t="s">
        <v>20</v>
      </c>
      <c r="G763" t="s">
        <v>26</v>
      </c>
      <c r="H763" t="s">
        <v>2290</v>
      </c>
    </row>
    <row r="764" spans="1:8" x14ac:dyDescent="0.25">
      <c r="A764" t="s">
        <v>2291</v>
      </c>
      <c r="B764" t="s">
        <v>2292</v>
      </c>
      <c r="C764" s="1">
        <v>46036.524837962963</v>
      </c>
      <c r="D764">
        <v>1273.19</v>
      </c>
      <c r="E764" t="s">
        <v>25</v>
      </c>
      <c r="F764" t="s">
        <v>20</v>
      </c>
      <c r="G764" t="s">
        <v>30</v>
      </c>
      <c r="H764" t="s">
        <v>2293</v>
      </c>
    </row>
    <row r="765" spans="1:8" x14ac:dyDescent="0.25">
      <c r="A765" t="s">
        <v>2294</v>
      </c>
      <c r="B765" t="s">
        <v>2295</v>
      </c>
      <c r="C765" s="1">
        <v>46023.634039351855</v>
      </c>
      <c r="D765">
        <v>311.19</v>
      </c>
      <c r="E765" t="s">
        <v>25</v>
      </c>
      <c r="F765" t="s">
        <v>20</v>
      </c>
      <c r="G765" t="s">
        <v>21</v>
      </c>
      <c r="H765" t="s">
        <v>2296</v>
      </c>
    </row>
    <row r="766" spans="1:8" x14ac:dyDescent="0.25">
      <c r="A766" t="s">
        <v>2297</v>
      </c>
      <c r="B766" t="s">
        <v>2298</v>
      </c>
      <c r="C766" s="1">
        <v>46024.704710648148</v>
      </c>
      <c r="D766">
        <v>993.75</v>
      </c>
      <c r="E766" t="s">
        <v>25</v>
      </c>
      <c r="F766" t="s">
        <v>20</v>
      </c>
      <c r="G766" t="s">
        <v>26</v>
      </c>
      <c r="H766" t="s">
        <v>2299</v>
      </c>
    </row>
    <row r="767" spans="1:8" x14ac:dyDescent="0.25">
      <c r="A767" t="s">
        <v>2300</v>
      </c>
      <c r="B767" t="s">
        <v>2301</v>
      </c>
      <c r="C767" s="1">
        <v>46025.818668981483</v>
      </c>
      <c r="D767">
        <v>1958.41</v>
      </c>
      <c r="E767" t="s">
        <v>25</v>
      </c>
      <c r="F767" t="s">
        <v>20</v>
      </c>
      <c r="G767" t="s">
        <v>30</v>
      </c>
      <c r="H767" t="s">
        <v>2302</v>
      </c>
    </row>
    <row r="768" spans="1:8" x14ac:dyDescent="0.25">
      <c r="A768" t="s">
        <v>2303</v>
      </c>
      <c r="B768" t="s">
        <v>2304</v>
      </c>
      <c r="C768" s="1">
        <v>46026.900081018517</v>
      </c>
      <c r="D768">
        <v>82.57</v>
      </c>
      <c r="E768" t="s">
        <v>52</v>
      </c>
      <c r="F768" t="s">
        <v>20</v>
      </c>
      <c r="G768" t="s">
        <v>21</v>
      </c>
      <c r="H768" t="s">
        <v>2305</v>
      </c>
    </row>
    <row r="769" spans="1:8" x14ac:dyDescent="0.25">
      <c r="A769" t="s">
        <v>2306</v>
      </c>
      <c r="B769" t="s">
        <v>2307</v>
      </c>
      <c r="C769" s="1">
        <v>46027.987928240742</v>
      </c>
      <c r="D769">
        <v>2322.2600000000002</v>
      </c>
      <c r="E769" t="s">
        <v>19</v>
      </c>
      <c r="F769" t="s">
        <v>20</v>
      </c>
      <c r="G769" t="s">
        <v>26</v>
      </c>
      <c r="H769" t="s">
        <v>2308</v>
      </c>
    </row>
    <row r="770" spans="1:8" x14ac:dyDescent="0.25">
      <c r="A770" t="s">
        <v>2309</v>
      </c>
      <c r="B770" t="s">
        <v>2310</v>
      </c>
      <c r="C770" s="1">
        <v>46029.095370370371</v>
      </c>
      <c r="D770">
        <v>1351.59</v>
      </c>
      <c r="E770" t="s">
        <v>25</v>
      </c>
      <c r="F770" t="s">
        <v>20</v>
      </c>
      <c r="G770" t="s">
        <v>30</v>
      </c>
      <c r="H770" t="s">
        <v>2311</v>
      </c>
    </row>
    <row r="771" spans="1:8" x14ac:dyDescent="0.25">
      <c r="A771" t="s">
        <v>2312</v>
      </c>
      <c r="B771" t="s">
        <v>2313</v>
      </c>
      <c r="C771" s="1">
        <v>46030.191168981481</v>
      </c>
      <c r="D771">
        <v>51.36</v>
      </c>
      <c r="E771" t="s">
        <v>25</v>
      </c>
      <c r="F771" t="s">
        <v>20</v>
      </c>
      <c r="G771" t="s">
        <v>21</v>
      </c>
      <c r="H771" t="s">
        <v>2314</v>
      </c>
    </row>
    <row r="772" spans="1:8" x14ac:dyDescent="0.25">
      <c r="A772" t="s">
        <v>2315</v>
      </c>
      <c r="B772" t="s">
        <v>2316</v>
      </c>
      <c r="C772" s="1">
        <v>46030.287870370368</v>
      </c>
      <c r="D772">
        <v>1484.46</v>
      </c>
      <c r="E772" t="s">
        <v>25</v>
      </c>
      <c r="F772" t="s">
        <v>20</v>
      </c>
      <c r="G772" t="s">
        <v>26</v>
      </c>
      <c r="H772" t="s">
        <v>2317</v>
      </c>
    </row>
    <row r="773" spans="1:8" x14ac:dyDescent="0.25">
      <c r="A773" t="s">
        <v>2318</v>
      </c>
      <c r="B773" t="s">
        <v>2319</v>
      </c>
      <c r="C773" s="1">
        <v>46031.356863425928</v>
      </c>
      <c r="D773">
        <v>1933.98</v>
      </c>
      <c r="E773" t="s">
        <v>25</v>
      </c>
      <c r="F773" t="s">
        <v>20</v>
      </c>
      <c r="G773" t="s">
        <v>30</v>
      </c>
      <c r="H773" t="s">
        <v>2320</v>
      </c>
    </row>
    <row r="774" spans="1:8" x14ac:dyDescent="0.25">
      <c r="A774" t="s">
        <v>2321</v>
      </c>
      <c r="B774" t="s">
        <v>2322</v>
      </c>
      <c r="C774" s="1">
        <v>46032.477754629632</v>
      </c>
      <c r="D774">
        <v>1989.9</v>
      </c>
      <c r="E774" t="s">
        <v>25</v>
      </c>
      <c r="F774" t="s">
        <v>20</v>
      </c>
      <c r="G774" t="s">
        <v>21</v>
      </c>
      <c r="H774" t="s">
        <v>2323</v>
      </c>
    </row>
    <row r="775" spans="1:8" x14ac:dyDescent="0.25">
      <c r="A775" t="s">
        <v>2324</v>
      </c>
      <c r="B775" t="s">
        <v>2325</v>
      </c>
      <c r="C775" s="1">
        <v>46033.551087962966</v>
      </c>
      <c r="D775">
        <v>191.22</v>
      </c>
      <c r="E775" t="s">
        <v>25</v>
      </c>
      <c r="F775" t="s">
        <v>20</v>
      </c>
      <c r="G775" t="s">
        <v>26</v>
      </c>
      <c r="H775" t="s">
        <v>2326</v>
      </c>
    </row>
    <row r="776" spans="1:8" x14ac:dyDescent="0.25">
      <c r="A776" t="s">
        <v>2327</v>
      </c>
      <c r="B776" t="s">
        <v>2328</v>
      </c>
      <c r="C776" s="1">
        <v>46034.659826388888</v>
      </c>
      <c r="D776">
        <v>1271.51</v>
      </c>
      <c r="E776" t="s">
        <v>25</v>
      </c>
      <c r="F776" t="s">
        <v>20</v>
      </c>
      <c r="G776" t="s">
        <v>30</v>
      </c>
      <c r="H776" t="s">
        <v>2329</v>
      </c>
    </row>
    <row r="777" spans="1:8" x14ac:dyDescent="0.25">
      <c r="A777" t="s">
        <v>2330</v>
      </c>
      <c r="B777" t="s">
        <v>2331</v>
      </c>
      <c r="C777" s="1">
        <v>46035.743807870371</v>
      </c>
      <c r="D777">
        <v>2241.6</v>
      </c>
      <c r="E777" t="s">
        <v>25</v>
      </c>
      <c r="F777" t="s">
        <v>20</v>
      </c>
      <c r="G777" t="s">
        <v>21</v>
      </c>
      <c r="H777" t="s">
        <v>2332</v>
      </c>
    </row>
    <row r="778" spans="1:8" x14ac:dyDescent="0.25">
      <c r="A778" t="s">
        <v>2333</v>
      </c>
      <c r="B778" t="s">
        <v>2334</v>
      </c>
      <c r="C778" s="1">
        <v>46036.826620370368</v>
      </c>
      <c r="D778">
        <v>1258.02</v>
      </c>
      <c r="E778" t="s">
        <v>52</v>
      </c>
      <c r="F778" t="s">
        <v>20</v>
      </c>
      <c r="G778" t="s">
        <v>26</v>
      </c>
      <c r="H778" t="s">
        <v>2335</v>
      </c>
    </row>
    <row r="779" spans="1:8" x14ac:dyDescent="0.25">
      <c r="A779" t="s">
        <v>2336</v>
      </c>
      <c r="B779" t="s">
        <v>2337</v>
      </c>
      <c r="C779" s="1">
        <v>46023.902812499997</v>
      </c>
      <c r="D779">
        <v>2393.19</v>
      </c>
      <c r="E779" t="s">
        <v>19</v>
      </c>
      <c r="F779" t="s">
        <v>20</v>
      </c>
      <c r="G779" t="s">
        <v>30</v>
      </c>
      <c r="H779" t="s">
        <v>2338</v>
      </c>
    </row>
    <row r="780" spans="1:8" x14ac:dyDescent="0.25">
      <c r="A780" t="s">
        <v>2339</v>
      </c>
      <c r="B780" t="s">
        <v>2340</v>
      </c>
      <c r="C780" s="1">
        <v>46024.994814814818</v>
      </c>
      <c r="D780">
        <v>198.13</v>
      </c>
      <c r="E780" t="s">
        <v>25</v>
      </c>
      <c r="F780" t="s">
        <v>20</v>
      </c>
      <c r="G780" t="s">
        <v>21</v>
      </c>
      <c r="H780" t="s">
        <v>2341</v>
      </c>
    </row>
    <row r="781" spans="1:8" x14ac:dyDescent="0.25">
      <c r="A781" t="s">
        <v>2342</v>
      </c>
      <c r="B781" t="s">
        <v>2343</v>
      </c>
      <c r="C781" s="1">
        <v>46026.111585648148</v>
      </c>
      <c r="D781">
        <v>838.92</v>
      </c>
      <c r="E781" t="s">
        <v>25</v>
      </c>
      <c r="F781" t="s">
        <v>20</v>
      </c>
      <c r="G781" t="s">
        <v>26</v>
      </c>
      <c r="H781" t="s">
        <v>2344</v>
      </c>
    </row>
    <row r="782" spans="1:8" x14ac:dyDescent="0.25">
      <c r="A782" t="s">
        <v>2345</v>
      </c>
      <c r="B782" t="s">
        <v>2346</v>
      </c>
      <c r="C782" s="1">
        <v>46027.192939814813</v>
      </c>
      <c r="D782">
        <v>226.38</v>
      </c>
      <c r="E782" t="s">
        <v>25</v>
      </c>
      <c r="F782" t="s">
        <v>20</v>
      </c>
      <c r="G782" t="s">
        <v>30</v>
      </c>
      <c r="H782" t="s">
        <v>2347</v>
      </c>
    </row>
    <row r="783" spans="1:8" x14ac:dyDescent="0.25">
      <c r="A783" t="s">
        <v>2348</v>
      </c>
      <c r="B783" t="s">
        <v>2349</v>
      </c>
      <c r="C783" s="1">
        <v>46027.290625000001</v>
      </c>
      <c r="D783">
        <v>1911.75</v>
      </c>
      <c r="E783" t="s">
        <v>25</v>
      </c>
      <c r="F783" t="s">
        <v>20</v>
      </c>
      <c r="G783" t="s">
        <v>21</v>
      </c>
      <c r="H783" t="s">
        <v>2350</v>
      </c>
    </row>
    <row r="784" spans="1:8" x14ac:dyDescent="0.25">
      <c r="A784" t="s">
        <v>2351</v>
      </c>
      <c r="B784" t="s">
        <v>2352</v>
      </c>
      <c r="C784" s="1">
        <v>46028.376018518517</v>
      </c>
      <c r="D784">
        <v>953.64</v>
      </c>
      <c r="E784" t="s">
        <v>25</v>
      </c>
      <c r="F784" t="s">
        <v>20</v>
      </c>
      <c r="G784" t="s">
        <v>26</v>
      </c>
      <c r="H784" t="s">
        <v>2353</v>
      </c>
    </row>
    <row r="785" spans="1:8" x14ac:dyDescent="0.25">
      <c r="A785" t="s">
        <v>2354</v>
      </c>
      <c r="B785" t="s">
        <v>2355</v>
      </c>
      <c r="C785" s="1">
        <v>46029.478298611109</v>
      </c>
      <c r="D785">
        <v>1436.31</v>
      </c>
      <c r="E785" t="s">
        <v>25</v>
      </c>
      <c r="F785" t="s">
        <v>20</v>
      </c>
      <c r="G785" t="s">
        <v>30</v>
      </c>
      <c r="H785" t="s">
        <v>2356</v>
      </c>
    </row>
    <row r="786" spans="1:8" x14ac:dyDescent="0.25">
      <c r="A786" t="s">
        <v>2357</v>
      </c>
      <c r="B786" t="s">
        <v>2358</v>
      </c>
      <c r="C786" s="1">
        <v>46030.555879629632</v>
      </c>
      <c r="D786">
        <v>83.03</v>
      </c>
      <c r="E786" t="s">
        <v>25</v>
      </c>
      <c r="F786" t="s">
        <v>20</v>
      </c>
      <c r="G786" t="s">
        <v>21</v>
      </c>
      <c r="H786" t="s">
        <v>2359</v>
      </c>
    </row>
    <row r="787" spans="1:8" x14ac:dyDescent="0.25">
      <c r="A787" t="s">
        <v>2360</v>
      </c>
      <c r="B787" t="s">
        <v>2361</v>
      </c>
      <c r="C787" s="1">
        <v>46031.659305555557</v>
      </c>
      <c r="D787">
        <v>1865.8</v>
      </c>
      <c r="E787" t="s">
        <v>25</v>
      </c>
      <c r="F787" t="s">
        <v>20</v>
      </c>
      <c r="G787" t="s">
        <v>26</v>
      </c>
      <c r="H787" t="s">
        <v>2362</v>
      </c>
    </row>
    <row r="788" spans="1:8" x14ac:dyDescent="0.25">
      <c r="A788" t="s">
        <v>2363</v>
      </c>
      <c r="B788" t="s">
        <v>2364</v>
      </c>
      <c r="C788" s="1">
        <v>46032.720439814817</v>
      </c>
      <c r="D788">
        <v>980.17</v>
      </c>
      <c r="E788" t="s">
        <v>52</v>
      </c>
      <c r="F788" t="s">
        <v>20</v>
      </c>
      <c r="G788" t="s">
        <v>30</v>
      </c>
      <c r="H788" t="s">
        <v>2365</v>
      </c>
    </row>
    <row r="789" spans="1:8" x14ac:dyDescent="0.25">
      <c r="A789" t="s">
        <v>2366</v>
      </c>
      <c r="B789" t="s">
        <v>2367</v>
      </c>
      <c r="C789" s="1">
        <v>46033.833055555559</v>
      </c>
      <c r="D789">
        <v>914.15</v>
      </c>
      <c r="E789" t="s">
        <v>19</v>
      </c>
      <c r="F789" t="s">
        <v>20</v>
      </c>
      <c r="G789" t="s">
        <v>21</v>
      </c>
      <c r="H789" t="s">
        <v>2368</v>
      </c>
    </row>
    <row r="790" spans="1:8" x14ac:dyDescent="0.25">
      <c r="A790" t="s">
        <v>2369</v>
      </c>
      <c r="B790" t="s">
        <v>2370</v>
      </c>
      <c r="C790" s="1">
        <v>46034.933622685188</v>
      </c>
      <c r="D790">
        <v>1652.33</v>
      </c>
      <c r="E790" t="s">
        <v>25</v>
      </c>
      <c r="F790" t="s">
        <v>20</v>
      </c>
      <c r="G790" t="s">
        <v>26</v>
      </c>
      <c r="H790" t="s">
        <v>2371</v>
      </c>
    </row>
    <row r="791" spans="1:8" x14ac:dyDescent="0.25">
      <c r="A791" t="s">
        <v>2372</v>
      </c>
      <c r="B791" t="s">
        <v>2373</v>
      </c>
      <c r="C791" s="1">
        <v>46036.034803240742</v>
      </c>
      <c r="D791">
        <v>1721.03</v>
      </c>
      <c r="E791" t="s">
        <v>25</v>
      </c>
      <c r="F791" t="s">
        <v>20</v>
      </c>
      <c r="G791" t="s">
        <v>30</v>
      </c>
      <c r="H791" t="s">
        <v>2374</v>
      </c>
    </row>
    <row r="792" spans="1:8" x14ac:dyDescent="0.25">
      <c r="A792" t="s">
        <v>2375</v>
      </c>
      <c r="B792" t="s">
        <v>2376</v>
      </c>
      <c r="C792" s="1">
        <v>46037.105624999997</v>
      </c>
      <c r="D792">
        <v>907.35</v>
      </c>
      <c r="E792" t="s">
        <v>25</v>
      </c>
      <c r="F792" t="s">
        <v>20</v>
      </c>
      <c r="G792" t="s">
        <v>21</v>
      </c>
      <c r="H792" t="s">
        <v>2377</v>
      </c>
    </row>
    <row r="793" spans="1:8" x14ac:dyDescent="0.25">
      <c r="A793" t="s">
        <v>2378</v>
      </c>
      <c r="B793" t="s">
        <v>2379</v>
      </c>
      <c r="C793" s="1">
        <v>46024.190289351849</v>
      </c>
      <c r="D793">
        <v>130.83000000000001</v>
      </c>
      <c r="E793" t="s">
        <v>25</v>
      </c>
      <c r="F793" t="s">
        <v>20</v>
      </c>
      <c r="G793" t="s">
        <v>26</v>
      </c>
      <c r="H793" t="s">
        <v>2380</v>
      </c>
    </row>
    <row r="794" spans="1:8" x14ac:dyDescent="0.25">
      <c r="A794" t="s">
        <v>2381</v>
      </c>
      <c r="B794" t="s">
        <v>2382</v>
      </c>
      <c r="C794" s="1">
        <v>46024.294699074075</v>
      </c>
      <c r="D794">
        <v>2061</v>
      </c>
      <c r="E794" t="s">
        <v>25</v>
      </c>
      <c r="F794" t="s">
        <v>20</v>
      </c>
      <c r="G794" t="s">
        <v>30</v>
      </c>
      <c r="H794" t="s">
        <v>2383</v>
      </c>
    </row>
    <row r="795" spans="1:8" x14ac:dyDescent="0.25">
      <c r="A795" t="s">
        <v>2384</v>
      </c>
      <c r="B795" t="s">
        <v>2385</v>
      </c>
      <c r="C795" s="1">
        <v>46025.364189814813</v>
      </c>
      <c r="D795">
        <v>1029.48</v>
      </c>
      <c r="E795" t="s">
        <v>25</v>
      </c>
      <c r="F795" t="s">
        <v>20</v>
      </c>
      <c r="G795" t="s">
        <v>21</v>
      </c>
      <c r="H795" t="s">
        <v>2386</v>
      </c>
    </row>
    <row r="796" spans="1:8" x14ac:dyDescent="0.25">
      <c r="A796" t="s">
        <v>2387</v>
      </c>
      <c r="B796" t="s">
        <v>2388</v>
      </c>
      <c r="C796" s="1">
        <v>46026.462800925925</v>
      </c>
      <c r="D796">
        <v>1113.27</v>
      </c>
      <c r="E796" t="s">
        <v>25</v>
      </c>
      <c r="F796" t="s">
        <v>20</v>
      </c>
      <c r="G796" t="s">
        <v>26</v>
      </c>
      <c r="H796" t="s">
        <v>2389</v>
      </c>
    </row>
    <row r="797" spans="1:8" x14ac:dyDescent="0.25">
      <c r="A797" t="s">
        <v>2390</v>
      </c>
      <c r="B797" t="s">
        <v>2391</v>
      </c>
      <c r="C797" s="1">
        <v>46027.560648148145</v>
      </c>
      <c r="D797">
        <v>150.96</v>
      </c>
      <c r="E797" t="s">
        <v>25</v>
      </c>
      <c r="F797" t="s">
        <v>20</v>
      </c>
      <c r="G797" t="s">
        <v>30</v>
      </c>
      <c r="H797" t="s">
        <v>2392</v>
      </c>
    </row>
    <row r="798" spans="1:8" x14ac:dyDescent="0.25">
      <c r="A798" t="s">
        <v>2393</v>
      </c>
      <c r="B798" t="s">
        <v>2394</v>
      </c>
      <c r="C798" s="1">
        <v>46028.675000000003</v>
      </c>
      <c r="D798">
        <v>2271.13</v>
      </c>
      <c r="E798" t="s">
        <v>52</v>
      </c>
      <c r="F798" t="s">
        <v>20</v>
      </c>
      <c r="G798" t="s">
        <v>21</v>
      </c>
      <c r="H798" t="s">
        <v>2395</v>
      </c>
    </row>
    <row r="799" spans="1:8" x14ac:dyDescent="0.25">
      <c r="A799" t="s">
        <v>2396</v>
      </c>
      <c r="B799" t="s">
        <v>2397</v>
      </c>
      <c r="C799" s="1">
        <v>46029.747002314813</v>
      </c>
      <c r="D799">
        <v>1173</v>
      </c>
      <c r="E799" t="s">
        <v>19</v>
      </c>
      <c r="F799" t="s">
        <v>20</v>
      </c>
      <c r="G799" t="s">
        <v>26</v>
      </c>
      <c r="H799" t="s">
        <v>2398</v>
      </c>
    </row>
    <row r="800" spans="1:8" x14ac:dyDescent="0.25">
      <c r="A800" t="s">
        <v>2399</v>
      </c>
      <c r="B800" t="s">
        <v>2400</v>
      </c>
      <c r="C800" s="1">
        <v>46030.838923611111</v>
      </c>
      <c r="D800">
        <v>872.3</v>
      </c>
      <c r="E800" t="s">
        <v>25</v>
      </c>
      <c r="F800" t="s">
        <v>20</v>
      </c>
      <c r="G800" t="s">
        <v>30</v>
      </c>
      <c r="H800" t="s">
        <v>2401</v>
      </c>
    </row>
    <row r="801" spans="1:8" x14ac:dyDescent="0.25">
      <c r="A801" t="s">
        <v>2402</v>
      </c>
      <c r="B801" t="s">
        <v>2403</v>
      </c>
      <c r="C801" s="1">
        <v>46031.911712962959</v>
      </c>
      <c r="D801">
        <v>744.72</v>
      </c>
      <c r="E801" t="s">
        <v>25</v>
      </c>
      <c r="F801" t="s">
        <v>20</v>
      </c>
      <c r="G801" t="s">
        <v>21</v>
      </c>
      <c r="H801" t="s">
        <v>2404</v>
      </c>
    </row>
    <row r="802" spans="1:8" x14ac:dyDescent="0.25">
      <c r="A802" t="s">
        <v>2405</v>
      </c>
      <c r="B802" t="s">
        <v>2406</v>
      </c>
      <c r="C802" s="1">
        <v>46033.005173611113</v>
      </c>
      <c r="D802">
        <v>88.33</v>
      </c>
      <c r="E802" t="s">
        <v>25</v>
      </c>
      <c r="F802" t="s">
        <v>20</v>
      </c>
      <c r="G802" t="s">
        <v>26</v>
      </c>
      <c r="H802" t="s">
        <v>2407</v>
      </c>
    </row>
    <row r="803" spans="1:8" x14ac:dyDescent="0.25">
      <c r="A803" t="s">
        <v>2408</v>
      </c>
      <c r="B803" t="s">
        <v>2409</v>
      </c>
      <c r="C803" s="1">
        <v>46034.129212962966</v>
      </c>
      <c r="D803">
        <v>2092.8200000000002</v>
      </c>
      <c r="E803" t="s">
        <v>25</v>
      </c>
      <c r="F803" t="s">
        <v>429</v>
      </c>
      <c r="G803" t="s">
        <v>30</v>
      </c>
      <c r="H803" t="s">
        <v>2410</v>
      </c>
    </row>
    <row r="804" spans="1:8" x14ac:dyDescent="0.25">
      <c r="A804" t="s">
        <v>2411</v>
      </c>
      <c r="B804" t="s">
        <v>2412</v>
      </c>
      <c r="C804" s="1">
        <v>46035.198923611111</v>
      </c>
      <c r="D804">
        <v>758.82</v>
      </c>
      <c r="E804" t="s">
        <v>25</v>
      </c>
      <c r="F804" t="s">
        <v>20</v>
      </c>
      <c r="G804" t="s">
        <v>21</v>
      </c>
      <c r="H804" t="s">
        <v>2413</v>
      </c>
    </row>
    <row r="805" spans="1:8" x14ac:dyDescent="0.25">
      <c r="A805" t="s">
        <v>2414</v>
      </c>
      <c r="B805" t="s">
        <v>2415</v>
      </c>
      <c r="C805" s="1">
        <v>46035.293124999997</v>
      </c>
      <c r="D805">
        <v>308.99</v>
      </c>
      <c r="E805" t="s">
        <v>25</v>
      </c>
      <c r="F805" t="s">
        <v>20</v>
      </c>
      <c r="G805" t="s">
        <v>26</v>
      </c>
      <c r="H805" t="s">
        <v>2416</v>
      </c>
    </row>
    <row r="806" spans="1:8" x14ac:dyDescent="0.25">
      <c r="A806" t="s">
        <v>2417</v>
      </c>
      <c r="B806" t="s">
        <v>2418</v>
      </c>
      <c r="C806" s="1">
        <v>46036.39267361111</v>
      </c>
      <c r="D806">
        <v>1562.03</v>
      </c>
      <c r="E806" t="s">
        <v>25</v>
      </c>
      <c r="F806" t="s">
        <v>20</v>
      </c>
      <c r="G806" t="s">
        <v>30</v>
      </c>
      <c r="H806" t="s">
        <v>2419</v>
      </c>
    </row>
    <row r="807" spans="1:8" x14ac:dyDescent="0.25">
      <c r="A807" t="s">
        <v>2420</v>
      </c>
      <c r="B807" t="s">
        <v>2421</v>
      </c>
      <c r="C807" s="1">
        <v>46023.463368055556</v>
      </c>
      <c r="D807">
        <v>649.36</v>
      </c>
      <c r="E807" t="s">
        <v>25</v>
      </c>
      <c r="F807" t="s">
        <v>20</v>
      </c>
      <c r="G807" t="s">
        <v>21</v>
      </c>
      <c r="H807" t="s">
        <v>2422</v>
      </c>
    </row>
    <row r="808" spans="1:8" x14ac:dyDescent="0.25">
      <c r="A808" t="s">
        <v>2423</v>
      </c>
      <c r="B808" t="s">
        <v>2424</v>
      </c>
      <c r="C808" s="1">
        <v>46024.578703703701</v>
      </c>
      <c r="D808">
        <v>239.12</v>
      </c>
      <c r="E808" t="s">
        <v>52</v>
      </c>
      <c r="F808" t="s">
        <v>20</v>
      </c>
      <c r="G808" t="s">
        <v>26</v>
      </c>
      <c r="H808" t="s">
        <v>2425</v>
      </c>
    </row>
    <row r="809" spans="1:8" x14ac:dyDescent="0.25">
      <c r="A809" t="s">
        <v>2426</v>
      </c>
      <c r="B809" t="s">
        <v>2427</v>
      </c>
      <c r="C809" s="1">
        <v>46025.651388888888</v>
      </c>
      <c r="D809">
        <v>364.14</v>
      </c>
      <c r="E809" t="s">
        <v>19</v>
      </c>
      <c r="F809" t="s">
        <v>20</v>
      </c>
      <c r="G809" t="s">
        <v>30</v>
      </c>
      <c r="H809" t="s">
        <v>2428</v>
      </c>
    </row>
    <row r="810" spans="1:8" x14ac:dyDescent="0.25">
      <c r="A810" t="s">
        <v>2429</v>
      </c>
      <c r="B810" t="s">
        <v>2430</v>
      </c>
      <c r="C810" s="1">
        <v>46026.763379629629</v>
      </c>
      <c r="D810">
        <v>756.77</v>
      </c>
      <c r="E810" t="s">
        <v>25</v>
      </c>
      <c r="F810" t="s">
        <v>20</v>
      </c>
      <c r="G810" t="s">
        <v>21</v>
      </c>
      <c r="H810" t="s">
        <v>2431</v>
      </c>
    </row>
    <row r="811" spans="1:8" x14ac:dyDescent="0.25">
      <c r="A811" t="s">
        <v>2432</v>
      </c>
      <c r="B811" t="s">
        <v>2433</v>
      </c>
      <c r="C811" s="1">
        <v>46027.85423611111</v>
      </c>
      <c r="D811">
        <v>1726.11</v>
      </c>
      <c r="E811" t="s">
        <v>25</v>
      </c>
      <c r="F811" t="s">
        <v>20</v>
      </c>
      <c r="G811" t="s">
        <v>26</v>
      </c>
      <c r="H811" t="s">
        <v>2434</v>
      </c>
    </row>
    <row r="812" spans="1:8" x14ac:dyDescent="0.25">
      <c r="A812" t="s">
        <v>2435</v>
      </c>
      <c r="B812" t="s">
        <v>2436</v>
      </c>
      <c r="C812" s="1">
        <v>46028.925810185188</v>
      </c>
      <c r="D812">
        <v>1160.32</v>
      </c>
      <c r="E812" t="s">
        <v>25</v>
      </c>
      <c r="F812" t="s">
        <v>20</v>
      </c>
      <c r="G812" t="s">
        <v>30</v>
      </c>
      <c r="H812" t="s">
        <v>2437</v>
      </c>
    </row>
    <row r="813" spans="1:8" x14ac:dyDescent="0.25">
      <c r="A813" t="s">
        <v>2438</v>
      </c>
      <c r="B813" t="s">
        <v>2439</v>
      </c>
      <c r="C813" s="1">
        <v>46030.021504629629</v>
      </c>
      <c r="D813">
        <v>45.69</v>
      </c>
      <c r="E813" t="s">
        <v>25</v>
      </c>
      <c r="F813" t="s">
        <v>20</v>
      </c>
      <c r="G813" t="s">
        <v>21</v>
      </c>
      <c r="H813" t="s">
        <v>2440</v>
      </c>
    </row>
    <row r="814" spans="1:8" x14ac:dyDescent="0.25">
      <c r="A814" t="s">
        <v>2441</v>
      </c>
      <c r="B814" t="s">
        <v>2442</v>
      </c>
      <c r="C814" s="1">
        <v>46031.138912037037</v>
      </c>
      <c r="D814">
        <v>171.61</v>
      </c>
      <c r="E814" t="s">
        <v>25</v>
      </c>
      <c r="F814" t="s">
        <v>20</v>
      </c>
      <c r="G814" t="s">
        <v>26</v>
      </c>
      <c r="H814" t="s">
        <v>2443</v>
      </c>
    </row>
    <row r="815" spans="1:8" x14ac:dyDescent="0.25">
      <c r="A815" t="s">
        <v>2444</v>
      </c>
      <c r="B815" t="s">
        <v>2445</v>
      </c>
      <c r="C815" s="1">
        <v>46032.200914351852</v>
      </c>
      <c r="D815">
        <v>941.13</v>
      </c>
      <c r="E815" t="s">
        <v>25</v>
      </c>
      <c r="F815" t="s">
        <v>20</v>
      </c>
      <c r="G815" t="s">
        <v>30</v>
      </c>
      <c r="H815" t="s">
        <v>2446</v>
      </c>
    </row>
    <row r="816" spans="1:8" x14ac:dyDescent="0.25">
      <c r="A816" t="s">
        <v>2447</v>
      </c>
      <c r="B816" t="s">
        <v>2448</v>
      </c>
      <c r="C816" s="1">
        <v>46032.30940972222</v>
      </c>
      <c r="D816">
        <v>357.63</v>
      </c>
      <c r="E816" t="s">
        <v>25</v>
      </c>
      <c r="F816" t="s">
        <v>20</v>
      </c>
      <c r="G816" t="s">
        <v>21</v>
      </c>
      <c r="H816" t="s">
        <v>2449</v>
      </c>
    </row>
    <row r="817" spans="1:8" x14ac:dyDescent="0.25">
      <c r="A817" t="s">
        <v>2450</v>
      </c>
      <c r="B817" t="s">
        <v>2451</v>
      </c>
      <c r="C817" s="1">
        <v>46033.38071759259</v>
      </c>
      <c r="D817">
        <v>667.18</v>
      </c>
      <c r="E817" t="s">
        <v>25</v>
      </c>
      <c r="F817" t="s">
        <v>20</v>
      </c>
      <c r="G817" t="s">
        <v>26</v>
      </c>
      <c r="H817" t="s">
        <v>2452</v>
      </c>
    </row>
    <row r="818" spans="1:8" x14ac:dyDescent="0.25">
      <c r="A818" t="s">
        <v>2453</v>
      </c>
      <c r="B818" t="s">
        <v>2454</v>
      </c>
      <c r="C818" s="1">
        <v>46034.483599537038</v>
      </c>
      <c r="D818">
        <v>2252.71</v>
      </c>
      <c r="E818" t="s">
        <v>52</v>
      </c>
      <c r="F818" t="s">
        <v>20</v>
      </c>
      <c r="G818" t="s">
        <v>30</v>
      </c>
      <c r="H818" t="s">
        <v>2455</v>
      </c>
    </row>
    <row r="819" spans="1:8" x14ac:dyDescent="0.25">
      <c r="A819" t="s">
        <v>2456</v>
      </c>
      <c r="B819" t="s">
        <v>2457</v>
      </c>
      <c r="C819" s="1">
        <v>46035.593912037039</v>
      </c>
      <c r="D819">
        <v>1384.95</v>
      </c>
      <c r="E819" t="s">
        <v>19</v>
      </c>
      <c r="F819" t="s">
        <v>20</v>
      </c>
      <c r="G819" t="s">
        <v>21</v>
      </c>
      <c r="H819" t="s">
        <v>2458</v>
      </c>
    </row>
    <row r="820" spans="1:8" x14ac:dyDescent="0.25">
      <c r="A820" t="s">
        <v>2459</v>
      </c>
      <c r="B820" t="s">
        <v>2460</v>
      </c>
      <c r="C820" s="1">
        <v>46036.65519675926</v>
      </c>
      <c r="D820">
        <v>1222.06</v>
      </c>
      <c r="E820" t="s">
        <v>25</v>
      </c>
      <c r="F820" t="s">
        <v>20</v>
      </c>
      <c r="G820" t="s">
        <v>26</v>
      </c>
      <c r="H820" t="s">
        <v>2461</v>
      </c>
    </row>
    <row r="821" spans="1:8" x14ac:dyDescent="0.25">
      <c r="A821" t="s">
        <v>2462</v>
      </c>
      <c r="B821" t="s">
        <v>2463</v>
      </c>
      <c r="C821" s="1">
        <v>46023.784328703703</v>
      </c>
      <c r="D821">
        <v>451.64</v>
      </c>
      <c r="E821" t="s">
        <v>25</v>
      </c>
      <c r="F821" t="s">
        <v>20</v>
      </c>
      <c r="G821" t="s">
        <v>30</v>
      </c>
      <c r="H821" t="s">
        <v>2464</v>
      </c>
    </row>
    <row r="822" spans="1:8" x14ac:dyDescent="0.25">
      <c r="A822" t="s">
        <v>2465</v>
      </c>
      <c r="B822" t="s">
        <v>2466</v>
      </c>
      <c r="C822" s="1">
        <v>46024.856064814812</v>
      </c>
      <c r="D822">
        <v>2354.9</v>
      </c>
      <c r="E822" t="s">
        <v>25</v>
      </c>
      <c r="F822" t="s">
        <v>20</v>
      </c>
      <c r="G822" t="s">
        <v>21</v>
      </c>
      <c r="H822" t="s">
        <v>2467</v>
      </c>
    </row>
    <row r="823" spans="1:8" x14ac:dyDescent="0.25">
      <c r="A823" t="s">
        <v>2468</v>
      </c>
      <c r="B823" t="s">
        <v>2469</v>
      </c>
      <c r="C823" s="1">
        <v>46025.962222222224</v>
      </c>
      <c r="D823">
        <v>1816.49</v>
      </c>
      <c r="E823" t="s">
        <v>25</v>
      </c>
      <c r="F823" t="s">
        <v>20</v>
      </c>
      <c r="G823" t="s">
        <v>26</v>
      </c>
      <c r="H823" t="s">
        <v>2470</v>
      </c>
    </row>
    <row r="824" spans="1:8" x14ac:dyDescent="0.25">
      <c r="A824" t="s">
        <v>2471</v>
      </c>
      <c r="B824" t="s">
        <v>2472</v>
      </c>
      <c r="C824" s="1">
        <v>46027.049039351848</v>
      </c>
      <c r="D824">
        <v>1882.71</v>
      </c>
      <c r="E824" t="s">
        <v>25</v>
      </c>
      <c r="F824" t="s">
        <v>20</v>
      </c>
      <c r="G824" t="s">
        <v>30</v>
      </c>
      <c r="H824" t="s">
        <v>2473</v>
      </c>
    </row>
    <row r="825" spans="1:8" x14ac:dyDescent="0.25">
      <c r="A825" t="s">
        <v>2474</v>
      </c>
      <c r="B825" t="s">
        <v>2475</v>
      </c>
      <c r="C825" s="1">
        <v>46028.131782407407</v>
      </c>
      <c r="D825">
        <v>519.66999999999996</v>
      </c>
      <c r="E825" t="s">
        <v>25</v>
      </c>
      <c r="F825" t="s">
        <v>20</v>
      </c>
      <c r="G825" t="s">
        <v>21</v>
      </c>
      <c r="H825" t="s">
        <v>2476</v>
      </c>
    </row>
    <row r="826" spans="1:8" x14ac:dyDescent="0.25">
      <c r="A826" t="s">
        <v>2477</v>
      </c>
      <c r="B826" t="s">
        <v>2478</v>
      </c>
      <c r="C826" s="1">
        <v>46028.235601851855</v>
      </c>
      <c r="D826">
        <v>1520.71</v>
      </c>
      <c r="E826" t="s">
        <v>25</v>
      </c>
      <c r="F826" t="s">
        <v>20</v>
      </c>
      <c r="G826" t="s">
        <v>26</v>
      </c>
      <c r="H826" t="s">
        <v>2479</v>
      </c>
    </row>
    <row r="827" spans="1:8" x14ac:dyDescent="0.25">
      <c r="A827" t="s">
        <v>2480</v>
      </c>
      <c r="B827" t="s">
        <v>2481</v>
      </c>
      <c r="C827" s="1">
        <v>46029.303472222222</v>
      </c>
      <c r="D827">
        <v>440.96</v>
      </c>
      <c r="E827" t="s">
        <v>25</v>
      </c>
      <c r="F827" t="s">
        <v>20</v>
      </c>
      <c r="G827" t="s">
        <v>30</v>
      </c>
      <c r="H827" t="s">
        <v>2482</v>
      </c>
    </row>
    <row r="828" spans="1:8" x14ac:dyDescent="0.25">
      <c r="A828" t="s">
        <v>2483</v>
      </c>
      <c r="B828" t="s">
        <v>2484</v>
      </c>
      <c r="C828" s="1">
        <v>46030.401643518519</v>
      </c>
      <c r="D828">
        <v>119.92</v>
      </c>
      <c r="E828" t="s">
        <v>52</v>
      </c>
      <c r="F828" t="s">
        <v>20</v>
      </c>
      <c r="G828" t="s">
        <v>21</v>
      </c>
      <c r="H828" t="s">
        <v>2485</v>
      </c>
    </row>
    <row r="829" spans="1:8" x14ac:dyDescent="0.25">
      <c r="A829" t="s">
        <v>2486</v>
      </c>
      <c r="B829" t="s">
        <v>2487</v>
      </c>
      <c r="C829" s="1">
        <v>46031.480231481481</v>
      </c>
      <c r="D829">
        <v>1112.6400000000001</v>
      </c>
      <c r="E829" t="s">
        <v>19</v>
      </c>
      <c r="F829" t="s">
        <v>20</v>
      </c>
      <c r="G829" t="s">
        <v>26</v>
      </c>
      <c r="H829" t="s">
        <v>2488</v>
      </c>
    </row>
    <row r="830" spans="1:8" x14ac:dyDescent="0.25">
      <c r="A830" t="s">
        <v>2486</v>
      </c>
      <c r="B830" t="s">
        <v>2487</v>
      </c>
      <c r="C830" s="1">
        <v>46031.480231481481</v>
      </c>
      <c r="D830">
        <v>1112.6400000000001</v>
      </c>
      <c r="E830" t="s">
        <v>19</v>
      </c>
      <c r="F830" t="s">
        <v>20</v>
      </c>
      <c r="G830" t="s">
        <v>26</v>
      </c>
      <c r="H830" t="s">
        <v>2488</v>
      </c>
    </row>
    <row r="831" spans="1:8" x14ac:dyDescent="0.25">
      <c r="A831" t="s">
        <v>2489</v>
      </c>
      <c r="B831" t="s">
        <v>2490</v>
      </c>
      <c r="C831" s="1">
        <v>46032.595034722224</v>
      </c>
      <c r="D831">
        <v>736.05</v>
      </c>
      <c r="E831" t="s">
        <v>25</v>
      </c>
      <c r="F831" t="s">
        <v>20</v>
      </c>
      <c r="G831" t="s">
        <v>30</v>
      </c>
      <c r="H831" t="s">
        <v>2491</v>
      </c>
    </row>
    <row r="832" spans="1:8" x14ac:dyDescent="0.25">
      <c r="A832" t="s">
        <v>2492</v>
      </c>
      <c r="B832" t="s">
        <v>2493</v>
      </c>
      <c r="C832" s="1">
        <v>46033.701053240744</v>
      </c>
      <c r="D832">
        <v>2262.61</v>
      </c>
      <c r="E832" t="s">
        <v>25</v>
      </c>
      <c r="F832" t="s">
        <v>20</v>
      </c>
      <c r="G832" t="s">
        <v>21</v>
      </c>
      <c r="H832" t="s">
        <v>2494</v>
      </c>
    </row>
    <row r="833" spans="1:8" x14ac:dyDescent="0.25">
      <c r="A833" t="s">
        <v>2495</v>
      </c>
      <c r="B833" t="s">
        <v>2496</v>
      </c>
      <c r="C833" s="1">
        <v>46034.754826388889</v>
      </c>
      <c r="D833">
        <v>2482.88</v>
      </c>
      <c r="E833" t="s">
        <v>25</v>
      </c>
      <c r="F833" t="s">
        <v>20</v>
      </c>
      <c r="G833" t="s">
        <v>26</v>
      </c>
      <c r="H833" t="s">
        <v>2497</v>
      </c>
    </row>
    <row r="834" spans="1:8" x14ac:dyDescent="0.25">
      <c r="A834" t="s">
        <v>2498</v>
      </c>
      <c r="B834" t="s">
        <v>2499</v>
      </c>
      <c r="C834" s="1">
        <v>46035.875219907408</v>
      </c>
      <c r="D834">
        <v>1609.55</v>
      </c>
      <c r="E834" t="s">
        <v>25</v>
      </c>
      <c r="F834" t="s">
        <v>20</v>
      </c>
      <c r="G834" t="s">
        <v>30</v>
      </c>
      <c r="H834" t="s">
        <v>2500</v>
      </c>
    </row>
    <row r="835" spans="1:8" x14ac:dyDescent="0.25">
      <c r="A835" t="s">
        <v>2501</v>
      </c>
      <c r="B835" t="s">
        <v>2502</v>
      </c>
      <c r="C835" s="1">
        <v>46036.972719907404</v>
      </c>
      <c r="D835">
        <v>2213.2399999999998</v>
      </c>
      <c r="E835" t="s">
        <v>25</v>
      </c>
      <c r="F835" t="s">
        <v>20</v>
      </c>
      <c r="G835" t="s">
        <v>21</v>
      </c>
      <c r="H835" t="s">
        <v>2503</v>
      </c>
    </row>
    <row r="836" spans="1:8" x14ac:dyDescent="0.25">
      <c r="A836" t="s">
        <v>2504</v>
      </c>
      <c r="B836" t="s">
        <v>2505</v>
      </c>
      <c r="C836" s="1">
        <v>46024.028506944444</v>
      </c>
      <c r="D836">
        <v>1446.01</v>
      </c>
      <c r="E836" t="s">
        <v>25</v>
      </c>
      <c r="F836" t="s">
        <v>20</v>
      </c>
      <c r="G836" t="s">
        <v>26</v>
      </c>
      <c r="H836" t="s">
        <v>2506</v>
      </c>
    </row>
    <row r="837" spans="1:8" x14ac:dyDescent="0.25">
      <c r="A837" t="s">
        <v>2507</v>
      </c>
      <c r="B837" t="s">
        <v>2508</v>
      </c>
      <c r="C837" s="1">
        <v>46025.128599537034</v>
      </c>
      <c r="D837">
        <v>931.01</v>
      </c>
      <c r="E837" t="s">
        <v>25</v>
      </c>
      <c r="F837" t="s">
        <v>20</v>
      </c>
      <c r="G837" t="s">
        <v>30</v>
      </c>
      <c r="H837" t="s">
        <v>2509</v>
      </c>
    </row>
    <row r="838" spans="1:8" x14ac:dyDescent="0.25">
      <c r="A838" t="s">
        <v>2510</v>
      </c>
      <c r="B838" t="s">
        <v>2511</v>
      </c>
      <c r="C838" s="1">
        <v>46026.2190162037</v>
      </c>
      <c r="D838">
        <v>629.83000000000004</v>
      </c>
      <c r="E838" t="s">
        <v>25</v>
      </c>
      <c r="F838" t="s">
        <v>20</v>
      </c>
      <c r="G838" t="s">
        <v>21</v>
      </c>
      <c r="H838" t="s">
        <v>2512</v>
      </c>
    </row>
    <row r="839" spans="1:8" x14ac:dyDescent="0.25">
      <c r="A839" t="s">
        <v>2513</v>
      </c>
      <c r="B839" t="s">
        <v>2514</v>
      </c>
      <c r="C839" s="1">
        <v>46026.333761574075</v>
      </c>
      <c r="D839">
        <v>498.47</v>
      </c>
      <c r="E839" t="s">
        <v>52</v>
      </c>
      <c r="F839" t="s">
        <v>20</v>
      </c>
      <c r="G839" t="s">
        <v>26</v>
      </c>
      <c r="H839" t="s">
        <v>2515</v>
      </c>
    </row>
    <row r="840" spans="1:8" x14ac:dyDescent="0.25">
      <c r="A840" t="s">
        <v>2516</v>
      </c>
      <c r="B840" t="s">
        <v>2517</v>
      </c>
      <c r="C840" s="1">
        <v>46027.435682870368</v>
      </c>
      <c r="D840">
        <v>1406.05</v>
      </c>
      <c r="E840" t="s">
        <v>19</v>
      </c>
      <c r="F840" t="s">
        <v>20</v>
      </c>
      <c r="G840" t="s">
        <v>30</v>
      </c>
      <c r="H840" t="s">
        <v>2518</v>
      </c>
    </row>
    <row r="841" spans="1:8" x14ac:dyDescent="0.25">
      <c r="A841" t="s">
        <v>2519</v>
      </c>
      <c r="B841" t="s">
        <v>2520</v>
      </c>
      <c r="C841" s="1">
        <v>46028.491956018515</v>
      </c>
      <c r="D841">
        <v>2488.2800000000002</v>
      </c>
      <c r="E841" t="s">
        <v>25</v>
      </c>
      <c r="F841" t="s">
        <v>20</v>
      </c>
      <c r="G841" t="s">
        <v>21</v>
      </c>
      <c r="H841" t="s">
        <v>2521</v>
      </c>
    </row>
    <row r="842" spans="1:8" x14ac:dyDescent="0.25">
      <c r="A842" t="s">
        <v>2522</v>
      </c>
      <c r="B842" t="s">
        <v>2523</v>
      </c>
      <c r="C842" s="1">
        <v>46029.608043981483</v>
      </c>
      <c r="D842">
        <v>1228.23</v>
      </c>
      <c r="E842" t="s">
        <v>25</v>
      </c>
      <c r="F842" t="s">
        <v>20</v>
      </c>
      <c r="G842" t="s">
        <v>26</v>
      </c>
      <c r="H842" t="s">
        <v>2524</v>
      </c>
    </row>
    <row r="843" spans="1:8" x14ac:dyDescent="0.25">
      <c r="A843" t="s">
        <v>2525</v>
      </c>
      <c r="B843" t="s">
        <v>2526</v>
      </c>
      <c r="C843" s="1">
        <v>46030.703414351854</v>
      </c>
      <c r="D843">
        <v>513.73</v>
      </c>
      <c r="E843" t="s">
        <v>25</v>
      </c>
      <c r="F843" t="s">
        <v>20</v>
      </c>
      <c r="G843" t="s">
        <v>30</v>
      </c>
      <c r="H843" t="s">
        <v>2527</v>
      </c>
    </row>
    <row r="844" spans="1:8" x14ac:dyDescent="0.25">
      <c r="A844" t="s">
        <v>2528</v>
      </c>
      <c r="B844" t="s">
        <v>2529</v>
      </c>
      <c r="C844" s="1">
        <v>46031.793553240743</v>
      </c>
      <c r="D844">
        <v>184.44</v>
      </c>
      <c r="E844" t="s">
        <v>25</v>
      </c>
      <c r="F844" t="s">
        <v>20</v>
      </c>
      <c r="G844" t="s">
        <v>21</v>
      </c>
      <c r="H844" t="s">
        <v>2530</v>
      </c>
    </row>
    <row r="845" spans="1:8" x14ac:dyDescent="0.25">
      <c r="A845" t="s">
        <v>2531</v>
      </c>
      <c r="B845" t="s">
        <v>2532</v>
      </c>
      <c r="C845" s="1">
        <v>46032.858020833337</v>
      </c>
      <c r="D845">
        <v>1596.84</v>
      </c>
      <c r="E845" t="s">
        <v>25</v>
      </c>
      <c r="F845" t="s">
        <v>20</v>
      </c>
      <c r="G845" t="s">
        <v>26</v>
      </c>
      <c r="H845" t="s">
        <v>2533</v>
      </c>
    </row>
    <row r="846" spans="1:8" x14ac:dyDescent="0.25">
      <c r="A846" t="s">
        <v>2534</v>
      </c>
      <c r="B846" t="s">
        <v>2535</v>
      </c>
      <c r="C846" s="1">
        <v>46033.962824074071</v>
      </c>
      <c r="D846">
        <v>2494.73</v>
      </c>
      <c r="E846" t="s">
        <v>25</v>
      </c>
      <c r="F846" t="s">
        <v>20</v>
      </c>
      <c r="G846" t="s">
        <v>30</v>
      </c>
      <c r="H846" t="s">
        <v>2536</v>
      </c>
    </row>
    <row r="847" spans="1:8" x14ac:dyDescent="0.25">
      <c r="A847" t="s">
        <v>2537</v>
      </c>
      <c r="B847" t="s">
        <v>2538</v>
      </c>
      <c r="C847" s="1">
        <v>46035.070219907408</v>
      </c>
      <c r="D847">
        <v>1252.46</v>
      </c>
      <c r="E847" t="s">
        <v>25</v>
      </c>
      <c r="F847" t="s">
        <v>20</v>
      </c>
      <c r="G847" t="s">
        <v>21</v>
      </c>
      <c r="H847" t="s">
        <v>2539</v>
      </c>
    </row>
    <row r="848" spans="1:8" x14ac:dyDescent="0.25">
      <c r="A848" t="s">
        <v>2540</v>
      </c>
      <c r="B848" t="s">
        <v>2541</v>
      </c>
      <c r="C848" s="1">
        <v>46036.128333333334</v>
      </c>
      <c r="D848">
        <v>247.5</v>
      </c>
      <c r="E848" t="s">
        <v>25</v>
      </c>
      <c r="F848" t="s">
        <v>20</v>
      </c>
      <c r="G848" t="s">
        <v>26</v>
      </c>
      <c r="H848" t="s">
        <v>2542</v>
      </c>
    </row>
    <row r="849" spans="1:8" x14ac:dyDescent="0.25">
      <c r="A849" t="s">
        <v>2543</v>
      </c>
      <c r="B849" t="s">
        <v>2544</v>
      </c>
      <c r="C849" s="1">
        <v>46036.258877314816</v>
      </c>
      <c r="D849">
        <v>1900.31</v>
      </c>
      <c r="E849" t="s">
        <v>52</v>
      </c>
      <c r="F849" t="s">
        <v>20</v>
      </c>
      <c r="G849" t="s">
        <v>30</v>
      </c>
      <c r="H849" t="s">
        <v>2545</v>
      </c>
    </row>
    <row r="850" spans="1:8" x14ac:dyDescent="0.25">
      <c r="A850" t="s">
        <v>2546</v>
      </c>
      <c r="B850" t="s">
        <v>2547</v>
      </c>
      <c r="C850" s="1">
        <v>46023.327546296299</v>
      </c>
      <c r="D850">
        <v>2189.75</v>
      </c>
      <c r="E850" t="s">
        <v>19</v>
      </c>
      <c r="F850" t="s">
        <v>20</v>
      </c>
      <c r="G850" t="s">
        <v>21</v>
      </c>
      <c r="H850" t="s">
        <v>2548</v>
      </c>
    </row>
    <row r="851" spans="1:8" x14ac:dyDescent="0.25">
      <c r="A851" t="s">
        <v>2549</v>
      </c>
      <c r="B851" t="s">
        <v>2550</v>
      </c>
      <c r="C851" s="1">
        <v>46024.411006944443</v>
      </c>
      <c r="D851">
        <v>979</v>
      </c>
      <c r="E851" t="s">
        <v>25</v>
      </c>
      <c r="F851" t="s">
        <v>20</v>
      </c>
      <c r="G851" t="s">
        <v>26</v>
      </c>
      <c r="H851" t="s">
        <v>2551</v>
      </c>
    </row>
    <row r="852" spans="1:8" x14ac:dyDescent="0.25">
      <c r="A852" t="s">
        <v>2552</v>
      </c>
      <c r="B852" t="s">
        <v>2553</v>
      </c>
      <c r="C852" s="1">
        <v>46025.519444444442</v>
      </c>
      <c r="D852">
        <v>2307.96</v>
      </c>
      <c r="E852" t="s">
        <v>25</v>
      </c>
      <c r="F852" t="s">
        <v>20</v>
      </c>
      <c r="G852" t="s">
        <v>30</v>
      </c>
      <c r="H852" t="s">
        <v>2554</v>
      </c>
    </row>
    <row r="853" spans="1:8" x14ac:dyDescent="0.25">
      <c r="A853" t="s">
        <v>2555</v>
      </c>
      <c r="B853" t="s">
        <v>2556</v>
      </c>
      <c r="C853" s="1">
        <v>46026.600937499999</v>
      </c>
      <c r="D853">
        <v>2191.5500000000002</v>
      </c>
      <c r="E853" t="s">
        <v>25</v>
      </c>
      <c r="F853" t="s">
        <v>20</v>
      </c>
      <c r="G853" t="s">
        <v>21</v>
      </c>
      <c r="H853" t="s">
        <v>2557</v>
      </c>
    </row>
    <row r="854" spans="1:8" x14ac:dyDescent="0.25">
      <c r="A854" t="s">
        <v>2558</v>
      </c>
      <c r="B854" t="s">
        <v>2559</v>
      </c>
      <c r="C854" s="1">
        <v>46027.697638888887</v>
      </c>
      <c r="D854">
        <v>698.88</v>
      </c>
      <c r="E854" t="s">
        <v>25</v>
      </c>
      <c r="F854" t="s">
        <v>20</v>
      </c>
      <c r="G854" t="s">
        <v>26</v>
      </c>
      <c r="H854" t="s">
        <v>2560</v>
      </c>
    </row>
    <row r="855" spans="1:8" x14ac:dyDescent="0.25">
      <c r="A855" t="s">
        <v>2561</v>
      </c>
      <c r="B855" t="s">
        <v>2562</v>
      </c>
      <c r="C855" s="1">
        <v>46028.80609953704</v>
      </c>
      <c r="D855">
        <v>2457.91</v>
      </c>
      <c r="E855" t="s">
        <v>25</v>
      </c>
      <c r="F855" t="s">
        <v>20</v>
      </c>
      <c r="G855" t="s">
        <v>30</v>
      </c>
      <c r="H855" t="s">
        <v>2563</v>
      </c>
    </row>
    <row r="856" spans="1:8" x14ac:dyDescent="0.25">
      <c r="A856" t="s">
        <v>2564</v>
      </c>
      <c r="B856" t="s">
        <v>2565</v>
      </c>
      <c r="C856" s="1">
        <v>46029.881631944445</v>
      </c>
      <c r="D856">
        <v>340.94</v>
      </c>
      <c r="E856" t="s">
        <v>25</v>
      </c>
      <c r="F856" t="s">
        <v>20</v>
      </c>
      <c r="G856" t="s">
        <v>21</v>
      </c>
      <c r="H856" t="s">
        <v>2566</v>
      </c>
    </row>
    <row r="857" spans="1:8" x14ac:dyDescent="0.25">
      <c r="A857" t="s">
        <v>2567</v>
      </c>
      <c r="B857" t="s">
        <v>2568</v>
      </c>
      <c r="C857" s="1">
        <v>46030.986064814817</v>
      </c>
      <c r="D857">
        <v>360.82</v>
      </c>
      <c r="E857" t="s">
        <v>25</v>
      </c>
      <c r="F857" t="s">
        <v>20</v>
      </c>
      <c r="G857" t="s">
        <v>26</v>
      </c>
      <c r="H857" t="s">
        <v>2569</v>
      </c>
    </row>
    <row r="858" spans="1:8" x14ac:dyDescent="0.25">
      <c r="A858" t="s">
        <v>2570</v>
      </c>
      <c r="B858" t="s">
        <v>2571</v>
      </c>
      <c r="C858" s="1">
        <v>46032.069710648146</v>
      </c>
      <c r="D858">
        <v>265.27999999999997</v>
      </c>
      <c r="E858" t="s">
        <v>25</v>
      </c>
      <c r="F858" t="s">
        <v>20</v>
      </c>
      <c r="G858" t="s">
        <v>30</v>
      </c>
      <c r="H858" t="s">
        <v>2572</v>
      </c>
    </row>
    <row r="859" spans="1:8" x14ac:dyDescent="0.25">
      <c r="A859" t="s">
        <v>2573</v>
      </c>
      <c r="B859" t="s">
        <v>2574</v>
      </c>
      <c r="C859" s="1">
        <v>46033.172175925924</v>
      </c>
      <c r="D859">
        <v>42.48</v>
      </c>
      <c r="E859" t="s">
        <v>52</v>
      </c>
      <c r="F859" t="s">
        <v>20</v>
      </c>
      <c r="G859" t="s">
        <v>21</v>
      </c>
      <c r="H859" t="s">
        <v>2575</v>
      </c>
    </row>
    <row r="860" spans="1:8" x14ac:dyDescent="0.25">
      <c r="A860" t="s">
        <v>2576</v>
      </c>
      <c r="B860" t="s">
        <v>2577</v>
      </c>
      <c r="C860" s="1">
        <v>46033.232372685183</v>
      </c>
      <c r="D860">
        <v>41.73</v>
      </c>
      <c r="E860" t="s">
        <v>19</v>
      </c>
      <c r="F860" t="s">
        <v>92</v>
      </c>
      <c r="G860" t="s">
        <v>26</v>
      </c>
      <c r="H860" t="s">
        <v>2578</v>
      </c>
    </row>
    <row r="861" spans="1:8" x14ac:dyDescent="0.25">
      <c r="A861" t="s">
        <v>2579</v>
      </c>
      <c r="B861" t="s">
        <v>2580</v>
      </c>
      <c r="C861" s="1">
        <v>46034.327164351853</v>
      </c>
      <c r="D861">
        <v>63.11</v>
      </c>
      <c r="E861" t="s">
        <v>25</v>
      </c>
      <c r="F861" t="s">
        <v>20</v>
      </c>
      <c r="G861" t="s">
        <v>30</v>
      </c>
      <c r="H861" t="s">
        <v>2581</v>
      </c>
    </row>
    <row r="862" spans="1:8" x14ac:dyDescent="0.25">
      <c r="A862" t="s">
        <v>2582</v>
      </c>
      <c r="B862" t="s">
        <v>2583</v>
      </c>
      <c r="C862" s="1">
        <v>46035.431504629632</v>
      </c>
      <c r="D862">
        <v>1748.28</v>
      </c>
      <c r="E862" t="s">
        <v>25</v>
      </c>
      <c r="F862" t="s">
        <v>20</v>
      </c>
      <c r="G862" t="s">
        <v>21</v>
      </c>
      <c r="H862" t="s">
        <v>2584</v>
      </c>
    </row>
    <row r="863" spans="1:8" x14ac:dyDescent="0.25">
      <c r="A863" t="s">
        <v>2585</v>
      </c>
      <c r="B863" t="s">
        <v>2586</v>
      </c>
      <c r="C863" s="1">
        <v>46036.527916666666</v>
      </c>
      <c r="D863">
        <v>594.07000000000005</v>
      </c>
      <c r="E863" t="s">
        <v>25</v>
      </c>
      <c r="F863" t="s">
        <v>20</v>
      </c>
      <c r="G863" t="s">
        <v>26</v>
      </c>
      <c r="H863" t="s">
        <v>2587</v>
      </c>
    </row>
    <row r="864" spans="1:8" x14ac:dyDescent="0.25">
      <c r="A864" t="s">
        <v>2588</v>
      </c>
      <c r="B864" t="s">
        <v>2589</v>
      </c>
      <c r="C864" s="1">
        <v>46023.601018518515</v>
      </c>
      <c r="D864">
        <v>2094.6999999999998</v>
      </c>
      <c r="E864" t="s">
        <v>25</v>
      </c>
      <c r="F864" t="s">
        <v>20</v>
      </c>
      <c r="G864" t="s">
        <v>30</v>
      </c>
      <c r="H864" t="s">
        <v>2590</v>
      </c>
    </row>
    <row r="865" spans="1:8" x14ac:dyDescent="0.25">
      <c r="A865" t="s">
        <v>2591</v>
      </c>
      <c r="B865" t="s">
        <v>2592</v>
      </c>
      <c r="C865" s="1">
        <v>46024.697974537034</v>
      </c>
      <c r="D865">
        <v>798.51</v>
      </c>
      <c r="E865" t="s">
        <v>25</v>
      </c>
      <c r="F865" t="s">
        <v>20</v>
      </c>
      <c r="G865" t="s">
        <v>21</v>
      </c>
      <c r="H865" t="s">
        <v>2593</v>
      </c>
    </row>
    <row r="866" spans="1:8" x14ac:dyDescent="0.25">
      <c r="A866" t="s">
        <v>2594</v>
      </c>
      <c r="B866" t="s">
        <v>2595</v>
      </c>
      <c r="C866" s="1">
        <v>46025.801712962966</v>
      </c>
      <c r="D866">
        <v>2321.09</v>
      </c>
      <c r="E866" t="s">
        <v>25</v>
      </c>
      <c r="F866" t="s">
        <v>20</v>
      </c>
      <c r="G866" t="s">
        <v>26</v>
      </c>
      <c r="H866" t="s">
        <v>2596</v>
      </c>
    </row>
    <row r="867" spans="1:8" x14ac:dyDescent="0.25">
      <c r="A867" t="s">
        <v>2597</v>
      </c>
      <c r="B867" t="s">
        <v>2598</v>
      </c>
      <c r="C867" s="1">
        <v>46026.873252314814</v>
      </c>
      <c r="D867">
        <v>2148.77</v>
      </c>
      <c r="E867" t="s">
        <v>25</v>
      </c>
      <c r="F867" t="s">
        <v>20</v>
      </c>
      <c r="G867" t="s">
        <v>30</v>
      </c>
      <c r="H867" t="s">
        <v>2599</v>
      </c>
    </row>
    <row r="868" spans="1:8" x14ac:dyDescent="0.25">
      <c r="A868" t="s">
        <v>2600</v>
      </c>
      <c r="B868" t="s">
        <v>2601</v>
      </c>
      <c r="C868" s="1">
        <v>46027.973090277781</v>
      </c>
      <c r="D868">
        <v>1021.65</v>
      </c>
      <c r="E868" t="s">
        <v>25</v>
      </c>
      <c r="F868" t="s">
        <v>20</v>
      </c>
      <c r="G868" t="s">
        <v>21</v>
      </c>
      <c r="H868" t="s">
        <v>2602</v>
      </c>
    </row>
    <row r="869" spans="1:8" x14ac:dyDescent="0.25">
      <c r="A869" t="s">
        <v>2603</v>
      </c>
      <c r="B869" t="s">
        <v>2604</v>
      </c>
      <c r="C869" s="1">
        <v>46029.060011574074</v>
      </c>
      <c r="D869">
        <v>2088.59</v>
      </c>
      <c r="E869" t="s">
        <v>52</v>
      </c>
      <c r="F869" t="s">
        <v>20</v>
      </c>
      <c r="G869" t="s">
        <v>26</v>
      </c>
      <c r="H869" t="s">
        <v>2605</v>
      </c>
    </row>
    <row r="870" spans="1:8" x14ac:dyDescent="0.25">
      <c r="A870" t="s">
        <v>2606</v>
      </c>
      <c r="B870" t="s">
        <v>2607</v>
      </c>
      <c r="C870" s="1">
        <v>46030.182870370372</v>
      </c>
      <c r="D870">
        <v>2103.84</v>
      </c>
      <c r="E870" t="s">
        <v>19</v>
      </c>
      <c r="F870" t="s">
        <v>20</v>
      </c>
      <c r="G870" t="s">
        <v>30</v>
      </c>
      <c r="H870" t="s">
        <v>2608</v>
      </c>
    </row>
    <row r="871" spans="1:8" x14ac:dyDescent="0.25">
      <c r="A871" t="s">
        <v>2609</v>
      </c>
      <c r="B871" t="s">
        <v>2610</v>
      </c>
      <c r="C871" s="1">
        <v>46030.256562499999</v>
      </c>
      <c r="D871">
        <v>635.57000000000005</v>
      </c>
      <c r="E871" t="s">
        <v>25</v>
      </c>
      <c r="F871" t="s">
        <v>20</v>
      </c>
      <c r="G871" t="s">
        <v>21</v>
      </c>
      <c r="H871" t="s">
        <v>2611</v>
      </c>
    </row>
    <row r="872" spans="1:8" x14ac:dyDescent="0.25">
      <c r="A872" t="s">
        <v>2612</v>
      </c>
      <c r="B872" t="s">
        <v>2613</v>
      </c>
      <c r="C872" s="1">
        <v>46031.330254629633</v>
      </c>
      <c r="D872">
        <v>421.29</v>
      </c>
      <c r="E872" t="s">
        <v>25</v>
      </c>
      <c r="F872" t="s">
        <v>20</v>
      </c>
      <c r="G872" t="s">
        <v>26</v>
      </c>
      <c r="H872" t="s">
        <v>2614</v>
      </c>
    </row>
    <row r="873" spans="1:8" x14ac:dyDescent="0.25">
      <c r="A873" t="s">
        <v>2615</v>
      </c>
      <c r="B873" t="s">
        <v>2616</v>
      </c>
      <c r="C873" s="1">
        <v>46032.457013888888</v>
      </c>
      <c r="D873">
        <v>2129.65</v>
      </c>
      <c r="E873" t="s">
        <v>25</v>
      </c>
      <c r="F873" t="s">
        <v>20</v>
      </c>
      <c r="G873" t="s">
        <v>30</v>
      </c>
      <c r="H873" t="s">
        <v>2617</v>
      </c>
    </row>
    <row r="874" spans="1:8" x14ac:dyDescent="0.25">
      <c r="A874" t="s">
        <v>2618</v>
      </c>
      <c r="B874" t="s">
        <v>2619</v>
      </c>
      <c r="C874" s="1">
        <v>46033.522592592592</v>
      </c>
      <c r="D874">
        <v>1845.84</v>
      </c>
      <c r="E874" t="s">
        <v>25</v>
      </c>
      <c r="F874" t="s">
        <v>20</v>
      </c>
      <c r="G874" t="s">
        <v>21</v>
      </c>
      <c r="H874" t="s">
        <v>2620</v>
      </c>
    </row>
    <row r="875" spans="1:8" x14ac:dyDescent="0.25">
      <c r="A875" t="s">
        <v>2621</v>
      </c>
      <c r="B875" t="s">
        <v>2622</v>
      </c>
      <c r="C875" s="1">
        <v>46034.622384259259</v>
      </c>
      <c r="D875">
        <v>1148.5</v>
      </c>
      <c r="E875" t="s">
        <v>25</v>
      </c>
      <c r="F875" t="s">
        <v>20</v>
      </c>
      <c r="G875" t="s">
        <v>26</v>
      </c>
      <c r="H875" t="s">
        <v>2623</v>
      </c>
    </row>
    <row r="876" spans="1:8" x14ac:dyDescent="0.25">
      <c r="A876" t="s">
        <v>2624</v>
      </c>
      <c r="B876" t="s">
        <v>2625</v>
      </c>
      <c r="C876" s="1">
        <v>46035.695462962962</v>
      </c>
      <c r="D876">
        <v>785.53</v>
      </c>
      <c r="E876" t="s">
        <v>25</v>
      </c>
      <c r="F876" t="s">
        <v>20</v>
      </c>
      <c r="G876" t="s">
        <v>30</v>
      </c>
      <c r="H876" t="s">
        <v>2626</v>
      </c>
    </row>
    <row r="877" spans="1:8" x14ac:dyDescent="0.25">
      <c r="A877" t="s">
        <v>2624</v>
      </c>
      <c r="B877" t="s">
        <v>2625</v>
      </c>
      <c r="C877" s="1">
        <v>46035.695462962962</v>
      </c>
      <c r="D877">
        <v>785.53</v>
      </c>
      <c r="E877" t="s">
        <v>25</v>
      </c>
      <c r="F877" t="s">
        <v>20</v>
      </c>
      <c r="G877" t="s">
        <v>30</v>
      </c>
      <c r="H877" t="s">
        <v>2626</v>
      </c>
    </row>
    <row r="878" spans="1:8" x14ac:dyDescent="0.25">
      <c r="A878" t="s">
        <v>2627</v>
      </c>
      <c r="B878" t="s">
        <v>2628</v>
      </c>
      <c r="C878" s="1">
        <v>46036.807800925926</v>
      </c>
      <c r="D878">
        <v>1896.81</v>
      </c>
      <c r="E878" t="s">
        <v>25</v>
      </c>
      <c r="F878" t="s">
        <v>20</v>
      </c>
      <c r="G878" t="s">
        <v>21</v>
      </c>
      <c r="H878" t="s">
        <v>2629</v>
      </c>
    </row>
    <row r="879" spans="1:8" x14ac:dyDescent="0.25">
      <c r="A879" t="s">
        <v>2630</v>
      </c>
      <c r="B879" t="s">
        <v>2631</v>
      </c>
      <c r="C879" s="1">
        <v>46023.910497685189</v>
      </c>
      <c r="D879">
        <v>2480.9</v>
      </c>
      <c r="E879" t="s">
        <v>25</v>
      </c>
      <c r="F879" t="s">
        <v>20</v>
      </c>
      <c r="G879" t="s">
        <v>26</v>
      </c>
      <c r="H879" t="s">
        <v>2632</v>
      </c>
    </row>
    <row r="880" spans="1:8" x14ac:dyDescent="0.25">
      <c r="A880" t="s">
        <v>2633</v>
      </c>
      <c r="B880" t="s">
        <v>2634</v>
      </c>
      <c r="C880" s="1">
        <v>46025.000706018516</v>
      </c>
      <c r="D880">
        <v>2369.58</v>
      </c>
      <c r="E880" t="s">
        <v>52</v>
      </c>
      <c r="F880" t="s">
        <v>20</v>
      </c>
      <c r="G880" t="s">
        <v>30</v>
      </c>
      <c r="H880" t="s">
        <v>2635</v>
      </c>
    </row>
    <row r="881" spans="1:8" x14ac:dyDescent="0.25">
      <c r="A881" t="s">
        <v>2636</v>
      </c>
      <c r="B881" t="s">
        <v>2637</v>
      </c>
      <c r="C881" s="1">
        <v>46026.098032407404</v>
      </c>
      <c r="D881">
        <v>2348.33</v>
      </c>
      <c r="E881" t="s">
        <v>19</v>
      </c>
      <c r="F881" t="s">
        <v>92</v>
      </c>
      <c r="G881" t="s">
        <v>21</v>
      </c>
      <c r="H881" t="s">
        <v>2638</v>
      </c>
    </row>
    <row r="882" spans="1:8" x14ac:dyDescent="0.25">
      <c r="A882" t="s">
        <v>2639</v>
      </c>
      <c r="B882" t="s">
        <v>2640</v>
      </c>
      <c r="C882" s="1">
        <v>46027.177337962959</v>
      </c>
      <c r="D882">
        <v>2330.98</v>
      </c>
      <c r="E882" t="s">
        <v>25</v>
      </c>
      <c r="F882" t="s">
        <v>20</v>
      </c>
      <c r="G882" t="s">
        <v>26</v>
      </c>
      <c r="H882" t="s">
        <v>2641</v>
      </c>
    </row>
    <row r="883" spans="1:8" x14ac:dyDescent="0.25">
      <c r="A883" t="s">
        <v>2642</v>
      </c>
      <c r="B883" t="s">
        <v>2643</v>
      </c>
      <c r="C883" s="1">
        <v>46027.282743055555</v>
      </c>
      <c r="D883">
        <v>335.56</v>
      </c>
      <c r="E883" t="s">
        <v>25</v>
      </c>
      <c r="F883" t="s">
        <v>20</v>
      </c>
      <c r="G883" t="s">
        <v>30</v>
      </c>
      <c r="H883" t="s">
        <v>2644</v>
      </c>
    </row>
    <row r="884" spans="1:8" x14ac:dyDescent="0.25">
      <c r="A884" t="s">
        <v>2645</v>
      </c>
      <c r="B884" t="s">
        <v>2646</v>
      </c>
      <c r="C884" s="1">
        <v>46028.368449074071</v>
      </c>
      <c r="D884">
        <v>1215.7</v>
      </c>
      <c r="E884" t="s">
        <v>25</v>
      </c>
      <c r="F884" t="s">
        <v>20</v>
      </c>
      <c r="G884" t="s">
        <v>21</v>
      </c>
      <c r="H884" t="s">
        <v>2647</v>
      </c>
    </row>
    <row r="885" spans="1:8" x14ac:dyDescent="0.25">
      <c r="A885" t="s">
        <v>2648</v>
      </c>
      <c r="B885" t="s">
        <v>2649</v>
      </c>
      <c r="C885" s="1">
        <v>46029.459814814814</v>
      </c>
      <c r="D885">
        <v>1605.02</v>
      </c>
      <c r="E885" t="s">
        <v>25</v>
      </c>
      <c r="F885" t="s">
        <v>20</v>
      </c>
      <c r="G885" t="s">
        <v>26</v>
      </c>
      <c r="H885" t="s">
        <v>2650</v>
      </c>
    </row>
    <row r="886" spans="1:8" x14ac:dyDescent="0.25">
      <c r="A886" t="s">
        <v>2651</v>
      </c>
      <c r="B886" t="s">
        <v>2652</v>
      </c>
      <c r="C886" s="1">
        <v>46030.52516203704</v>
      </c>
      <c r="D886">
        <v>557.58000000000004</v>
      </c>
      <c r="E886" t="s">
        <v>25</v>
      </c>
      <c r="F886" t="s">
        <v>20</v>
      </c>
      <c r="G886" t="s">
        <v>30</v>
      </c>
      <c r="H886" t="s">
        <v>2653</v>
      </c>
    </row>
    <row r="887" spans="1:8" x14ac:dyDescent="0.25">
      <c r="A887" t="s">
        <v>2654</v>
      </c>
      <c r="B887" t="s">
        <v>2655</v>
      </c>
      <c r="C887" s="1">
        <v>46031.632615740738</v>
      </c>
      <c r="D887">
        <v>2168.86</v>
      </c>
      <c r="E887" t="s">
        <v>25</v>
      </c>
      <c r="F887" t="s">
        <v>20</v>
      </c>
      <c r="G887" t="s">
        <v>21</v>
      </c>
      <c r="H887" t="s">
        <v>2656</v>
      </c>
    </row>
    <row r="888" spans="1:8" x14ac:dyDescent="0.25">
      <c r="A888" t="s">
        <v>2657</v>
      </c>
      <c r="B888" t="s">
        <v>2658</v>
      </c>
      <c r="C888" s="1">
        <v>46032.72078703704</v>
      </c>
      <c r="D888">
        <v>394.83</v>
      </c>
      <c r="E888" t="s">
        <v>25</v>
      </c>
      <c r="F888" t="s">
        <v>20</v>
      </c>
      <c r="G888" t="s">
        <v>26</v>
      </c>
      <c r="H888" t="s">
        <v>2659</v>
      </c>
    </row>
    <row r="889" spans="1:8" x14ac:dyDescent="0.25">
      <c r="A889" t="s">
        <v>2660</v>
      </c>
      <c r="B889" t="s">
        <v>2661</v>
      </c>
      <c r="C889" s="1">
        <v>46033.818402777775</v>
      </c>
      <c r="D889">
        <v>85.57</v>
      </c>
      <c r="E889" t="s">
        <v>25</v>
      </c>
      <c r="F889" t="s">
        <v>20</v>
      </c>
      <c r="G889" t="s">
        <v>30</v>
      </c>
      <c r="H889" t="s">
        <v>2662</v>
      </c>
    </row>
    <row r="890" spans="1:8" x14ac:dyDescent="0.25">
      <c r="A890" t="s">
        <v>2663</v>
      </c>
      <c r="B890" t="s">
        <v>2664</v>
      </c>
      <c r="C890" s="1">
        <v>46034.893784722219</v>
      </c>
      <c r="D890">
        <v>113.44</v>
      </c>
      <c r="E890" t="s">
        <v>52</v>
      </c>
      <c r="F890" t="s">
        <v>20</v>
      </c>
      <c r="G890" t="s">
        <v>21</v>
      </c>
      <c r="H890" t="s">
        <v>2665</v>
      </c>
    </row>
    <row r="891" spans="1:8" x14ac:dyDescent="0.25">
      <c r="A891" t="s">
        <v>2666</v>
      </c>
      <c r="B891" t="s">
        <v>2667</v>
      </c>
      <c r="C891" s="1">
        <v>46035.998356481483</v>
      </c>
      <c r="D891">
        <v>1001.11</v>
      </c>
      <c r="E891" t="s">
        <v>19</v>
      </c>
      <c r="F891" t="s">
        <v>92</v>
      </c>
      <c r="G891" t="s">
        <v>26</v>
      </c>
      <c r="H891" t="s">
        <v>2668</v>
      </c>
    </row>
    <row r="892" spans="1:8" x14ac:dyDescent="0.25">
      <c r="A892" t="s">
        <v>2669</v>
      </c>
      <c r="B892" t="s">
        <v>2670</v>
      </c>
      <c r="C892" s="1">
        <v>46037.097349537034</v>
      </c>
      <c r="D892">
        <v>2223.6</v>
      </c>
      <c r="E892" t="s">
        <v>25</v>
      </c>
      <c r="F892" t="s">
        <v>20</v>
      </c>
      <c r="G892" t="s">
        <v>30</v>
      </c>
      <c r="H892" t="s">
        <v>2671</v>
      </c>
    </row>
    <row r="893" spans="1:8" x14ac:dyDescent="0.25">
      <c r="A893" t="s">
        <v>2672</v>
      </c>
      <c r="B893" t="s">
        <v>2673</v>
      </c>
      <c r="C893" s="1">
        <v>46024.188692129632</v>
      </c>
      <c r="D893">
        <v>1823.75</v>
      </c>
      <c r="E893" t="s">
        <v>25</v>
      </c>
      <c r="F893" t="s">
        <v>20</v>
      </c>
      <c r="G893" t="s">
        <v>21</v>
      </c>
      <c r="H893" t="s">
        <v>2674</v>
      </c>
    </row>
    <row r="894" spans="1:8" x14ac:dyDescent="0.25">
      <c r="A894" t="s">
        <v>2675</v>
      </c>
      <c r="B894" t="s">
        <v>2676</v>
      </c>
      <c r="C894" s="1">
        <v>46024.281805555554</v>
      </c>
      <c r="D894">
        <v>735.46</v>
      </c>
      <c r="E894" t="s">
        <v>25</v>
      </c>
      <c r="F894" t="s">
        <v>20</v>
      </c>
      <c r="G894" t="s">
        <v>26</v>
      </c>
      <c r="H894" t="s">
        <v>2677</v>
      </c>
    </row>
    <row r="895" spans="1:8" x14ac:dyDescent="0.25">
      <c r="A895" t="s">
        <v>2678</v>
      </c>
      <c r="B895" t="s">
        <v>2679</v>
      </c>
      <c r="C895" s="1">
        <v>46025.379027777781</v>
      </c>
      <c r="D895">
        <v>2045.81</v>
      </c>
      <c r="E895" t="s">
        <v>25</v>
      </c>
      <c r="F895" t="s">
        <v>20</v>
      </c>
      <c r="G895" t="s">
        <v>30</v>
      </c>
      <c r="H895" t="s">
        <v>2680</v>
      </c>
    </row>
    <row r="896" spans="1:8" x14ac:dyDescent="0.25">
      <c r="A896" t="s">
        <v>2681</v>
      </c>
      <c r="B896" t="s">
        <v>2682</v>
      </c>
      <c r="C896" s="1">
        <v>46026.452592592592</v>
      </c>
      <c r="D896">
        <v>1843.92</v>
      </c>
      <c r="E896" t="s">
        <v>25</v>
      </c>
      <c r="F896" t="s">
        <v>20</v>
      </c>
      <c r="G896" t="s">
        <v>21</v>
      </c>
      <c r="H896" t="s">
        <v>2683</v>
      </c>
    </row>
    <row r="897" spans="1:8" x14ac:dyDescent="0.25">
      <c r="A897" t="s">
        <v>2684</v>
      </c>
      <c r="B897" t="s">
        <v>2685</v>
      </c>
      <c r="C897" s="1">
        <v>46027.531215277777</v>
      </c>
      <c r="D897">
        <v>1964.34</v>
      </c>
      <c r="E897" t="s">
        <v>25</v>
      </c>
      <c r="F897" t="s">
        <v>20</v>
      </c>
      <c r="G897" t="s">
        <v>26</v>
      </c>
      <c r="H897" t="s">
        <v>2686</v>
      </c>
    </row>
    <row r="898" spans="1:8" x14ac:dyDescent="0.25">
      <c r="A898" t="s">
        <v>2687</v>
      </c>
      <c r="B898" t="s">
        <v>2688</v>
      </c>
      <c r="C898" s="1">
        <v>46028.633333333331</v>
      </c>
      <c r="D898">
        <v>993.25</v>
      </c>
      <c r="E898" t="s">
        <v>25</v>
      </c>
      <c r="F898" t="s">
        <v>20</v>
      </c>
      <c r="G898" t="s">
        <v>30</v>
      </c>
      <c r="H898" t="s">
        <v>2689</v>
      </c>
    </row>
    <row r="899" spans="1:8" x14ac:dyDescent="0.25">
      <c r="A899" t="s">
        <v>2690</v>
      </c>
      <c r="B899" t="s">
        <v>2691</v>
      </c>
      <c r="C899" s="1">
        <v>46029.743217592593</v>
      </c>
      <c r="D899">
        <v>974.31</v>
      </c>
      <c r="E899" t="s">
        <v>25</v>
      </c>
      <c r="F899" t="s">
        <v>20</v>
      </c>
      <c r="G899" t="s">
        <v>21</v>
      </c>
      <c r="H899" t="s">
        <v>2692</v>
      </c>
    </row>
    <row r="900" spans="1:8" x14ac:dyDescent="0.25">
      <c r="A900" t="s">
        <v>2693</v>
      </c>
      <c r="B900" t="s">
        <v>2694</v>
      </c>
      <c r="C900" s="1">
        <v>46030.819571759261</v>
      </c>
      <c r="D900">
        <v>511.71</v>
      </c>
      <c r="E900" t="s">
        <v>52</v>
      </c>
      <c r="F900" t="s">
        <v>20</v>
      </c>
      <c r="G900" t="s">
        <v>26</v>
      </c>
      <c r="H900" t="s">
        <v>2695</v>
      </c>
    </row>
    <row r="901" spans="1:8" x14ac:dyDescent="0.25">
      <c r="A901" t="s">
        <v>2696</v>
      </c>
      <c r="B901" t="s">
        <v>2697</v>
      </c>
      <c r="C901" s="1">
        <v>46031.900393518517</v>
      </c>
      <c r="D901">
        <v>1864.24</v>
      </c>
      <c r="E901" t="s">
        <v>19</v>
      </c>
      <c r="F901" t="s">
        <v>20</v>
      </c>
      <c r="G901" t="s">
        <v>30</v>
      </c>
      <c r="H901" t="s">
        <v>2698</v>
      </c>
    </row>
    <row r="902" spans="1:8" x14ac:dyDescent="0.25">
      <c r="A902" t="s">
        <v>2699</v>
      </c>
      <c r="B902" t="s">
        <v>2700</v>
      </c>
      <c r="C902" s="1">
        <v>46033.006747685184</v>
      </c>
      <c r="D902">
        <v>1935.98</v>
      </c>
      <c r="E902" t="s">
        <v>25</v>
      </c>
      <c r="F902" t="s">
        <v>20</v>
      </c>
      <c r="G902" t="s">
        <v>21</v>
      </c>
      <c r="H902" t="s">
        <v>2701</v>
      </c>
    </row>
    <row r="903" spans="1:8" x14ac:dyDescent="0.25">
      <c r="A903" t="s">
        <v>2702</v>
      </c>
      <c r="B903" t="s">
        <v>2703</v>
      </c>
      <c r="C903" s="1">
        <v>46034.117546296293</v>
      </c>
      <c r="D903">
        <v>1808.05</v>
      </c>
      <c r="E903" t="s">
        <v>25</v>
      </c>
      <c r="F903" t="s">
        <v>20</v>
      </c>
      <c r="G903" t="s">
        <v>26</v>
      </c>
      <c r="H903" t="s">
        <v>2704</v>
      </c>
    </row>
    <row r="904" spans="1:8" x14ac:dyDescent="0.25">
      <c r="A904" t="s">
        <v>2705</v>
      </c>
      <c r="B904" t="s">
        <v>2706</v>
      </c>
      <c r="C904" s="1">
        <v>46035.202384259261</v>
      </c>
      <c r="D904">
        <v>2447.9499999999998</v>
      </c>
      <c r="E904" t="s">
        <v>25</v>
      </c>
      <c r="F904" t="s">
        <v>20</v>
      </c>
      <c r="G904" t="s">
        <v>30</v>
      </c>
      <c r="H904" t="s">
        <v>2707</v>
      </c>
    </row>
    <row r="905" spans="1:8" x14ac:dyDescent="0.25">
      <c r="A905" t="s">
        <v>2708</v>
      </c>
      <c r="B905" t="s">
        <v>2709</v>
      </c>
      <c r="C905" s="1">
        <v>46035.286585648151</v>
      </c>
      <c r="D905">
        <v>646.74</v>
      </c>
      <c r="E905" t="s">
        <v>25</v>
      </c>
      <c r="F905" t="s">
        <v>20</v>
      </c>
      <c r="G905" t="s">
        <v>21</v>
      </c>
      <c r="H905" t="s">
        <v>2710</v>
      </c>
    </row>
    <row r="906" spans="1:8" x14ac:dyDescent="0.25">
      <c r="A906" t="s">
        <v>2711</v>
      </c>
      <c r="B906" t="s">
        <v>2712</v>
      </c>
      <c r="C906" s="1">
        <v>46036.374097222222</v>
      </c>
      <c r="D906">
        <v>1530.95</v>
      </c>
      <c r="E906" t="s">
        <v>25</v>
      </c>
      <c r="F906" t="s">
        <v>20</v>
      </c>
      <c r="G906" t="s">
        <v>26</v>
      </c>
      <c r="H906" t="s">
        <v>2713</v>
      </c>
    </row>
    <row r="907" spans="1:8" x14ac:dyDescent="0.25">
      <c r="A907" t="s">
        <v>2711</v>
      </c>
      <c r="B907" t="s">
        <v>2712</v>
      </c>
      <c r="C907" s="1">
        <v>46036.374097222222</v>
      </c>
      <c r="D907">
        <v>1530.95</v>
      </c>
      <c r="E907" t="s">
        <v>25</v>
      </c>
      <c r="F907" t="s">
        <v>20</v>
      </c>
      <c r="G907" t="s">
        <v>26</v>
      </c>
      <c r="H907" t="s">
        <v>2713</v>
      </c>
    </row>
    <row r="908" spans="1:8" x14ac:dyDescent="0.25">
      <c r="A908" t="s">
        <v>2714</v>
      </c>
      <c r="B908" t="s">
        <v>2715</v>
      </c>
      <c r="C908" s="1">
        <v>46023.479583333334</v>
      </c>
      <c r="D908">
        <v>373.69</v>
      </c>
      <c r="E908" t="s">
        <v>25</v>
      </c>
      <c r="F908" t="s">
        <v>20</v>
      </c>
      <c r="G908" t="s">
        <v>30</v>
      </c>
      <c r="H908" t="s">
        <v>2716</v>
      </c>
    </row>
    <row r="909" spans="1:8" x14ac:dyDescent="0.25">
      <c r="A909" t="s">
        <v>2717</v>
      </c>
      <c r="B909" t="s">
        <v>2718</v>
      </c>
      <c r="C909" s="1">
        <v>46024.535474537035</v>
      </c>
      <c r="D909">
        <v>2370.52</v>
      </c>
      <c r="E909" t="s">
        <v>25</v>
      </c>
      <c r="F909" t="s">
        <v>429</v>
      </c>
      <c r="G909" t="s">
        <v>21</v>
      </c>
      <c r="H909" t="s">
        <v>2719</v>
      </c>
    </row>
    <row r="910" spans="1:8" x14ac:dyDescent="0.25">
      <c r="A910" t="s">
        <v>2720</v>
      </c>
      <c r="B910" t="s">
        <v>2721</v>
      </c>
      <c r="C910" s="1">
        <v>46025.667685185188</v>
      </c>
      <c r="D910">
        <v>1460.54</v>
      </c>
      <c r="E910" t="s">
        <v>25</v>
      </c>
      <c r="F910" t="s">
        <v>20</v>
      </c>
      <c r="G910" t="s">
        <v>26</v>
      </c>
      <c r="H910" t="s">
        <v>2722</v>
      </c>
    </row>
    <row r="911" spans="1:8" x14ac:dyDescent="0.25">
      <c r="A911" t="s">
        <v>2723</v>
      </c>
      <c r="B911" t="s">
        <v>2724</v>
      </c>
      <c r="C911" s="1">
        <v>46026.734293981484</v>
      </c>
      <c r="D911">
        <v>1267.3399999999999</v>
      </c>
      <c r="E911" t="s">
        <v>52</v>
      </c>
      <c r="F911" t="s">
        <v>20</v>
      </c>
      <c r="G911" t="s">
        <v>30</v>
      </c>
      <c r="H911" t="s">
        <v>2725</v>
      </c>
    </row>
    <row r="912" spans="1:8" x14ac:dyDescent="0.25">
      <c r="A912" t="s">
        <v>2726</v>
      </c>
      <c r="B912" t="s">
        <v>2727</v>
      </c>
      <c r="C912" s="1">
        <v>46027.811747685184</v>
      </c>
      <c r="D912">
        <v>2112.7199999999998</v>
      </c>
      <c r="E912" t="s">
        <v>19</v>
      </c>
      <c r="F912" t="s">
        <v>20</v>
      </c>
      <c r="G912" t="s">
        <v>21</v>
      </c>
      <c r="H912" t="s">
        <v>2728</v>
      </c>
    </row>
    <row r="913" spans="1:8" x14ac:dyDescent="0.25">
      <c r="A913" t="s">
        <v>2729</v>
      </c>
      <c r="B913" t="s">
        <v>2730</v>
      </c>
      <c r="C913" s="1">
        <v>46028.91265046296</v>
      </c>
      <c r="D913">
        <v>699.68</v>
      </c>
      <c r="E913" t="s">
        <v>25</v>
      </c>
      <c r="F913" t="s">
        <v>20</v>
      </c>
      <c r="G913" t="s">
        <v>26</v>
      </c>
      <c r="H913" t="s">
        <v>2731</v>
      </c>
    </row>
    <row r="914" spans="1:8" x14ac:dyDescent="0.25">
      <c r="A914" t="s">
        <v>2732</v>
      </c>
      <c r="B914" t="s">
        <v>2733</v>
      </c>
      <c r="C914" s="1">
        <v>46030.016539351855</v>
      </c>
      <c r="D914">
        <v>1213.06</v>
      </c>
      <c r="E914" t="s">
        <v>25</v>
      </c>
      <c r="F914" t="s">
        <v>20</v>
      </c>
      <c r="G914" t="s">
        <v>30</v>
      </c>
      <c r="H914" t="s">
        <v>2734</v>
      </c>
    </row>
    <row r="915" spans="1:8" x14ac:dyDescent="0.25">
      <c r="A915" t="s">
        <v>2735</v>
      </c>
      <c r="B915" t="s">
        <v>2736</v>
      </c>
      <c r="C915" s="1">
        <v>46031.089305555557</v>
      </c>
      <c r="D915">
        <v>1255.8</v>
      </c>
      <c r="E915" t="s">
        <v>25</v>
      </c>
      <c r="F915" t="s">
        <v>20</v>
      </c>
      <c r="G915" t="s">
        <v>21</v>
      </c>
      <c r="H915" t="s">
        <v>2737</v>
      </c>
    </row>
    <row r="916" spans="1:8" x14ac:dyDescent="0.25">
      <c r="A916" t="s">
        <v>2738</v>
      </c>
      <c r="B916" t="s">
        <v>2739</v>
      </c>
      <c r="C916" s="1">
        <v>46032.178263888891</v>
      </c>
      <c r="D916">
        <v>1351.66</v>
      </c>
      <c r="E916" t="s">
        <v>25</v>
      </c>
      <c r="F916" t="s">
        <v>20</v>
      </c>
      <c r="G916" t="s">
        <v>26</v>
      </c>
      <c r="H916" t="s">
        <v>2740</v>
      </c>
    </row>
    <row r="917" spans="1:8" x14ac:dyDescent="0.25">
      <c r="A917" t="s">
        <v>2741</v>
      </c>
      <c r="B917" t="s">
        <v>2742</v>
      </c>
      <c r="C917" s="1">
        <v>46032.28193287037</v>
      </c>
      <c r="D917">
        <v>1863.47</v>
      </c>
      <c r="E917" t="s">
        <v>25</v>
      </c>
      <c r="F917" t="s">
        <v>20</v>
      </c>
      <c r="G917" t="s">
        <v>30</v>
      </c>
      <c r="H917" t="s">
        <v>2743</v>
      </c>
    </row>
    <row r="918" spans="1:8" x14ac:dyDescent="0.25">
      <c r="A918" t="s">
        <v>2744</v>
      </c>
      <c r="B918" t="s">
        <v>2745</v>
      </c>
      <c r="C918" s="1">
        <v>46033.394988425927</v>
      </c>
      <c r="D918">
        <v>998.64</v>
      </c>
      <c r="E918" t="s">
        <v>25</v>
      </c>
      <c r="F918" t="s">
        <v>20</v>
      </c>
      <c r="G918" t="s">
        <v>21</v>
      </c>
      <c r="H918" t="s">
        <v>2746</v>
      </c>
    </row>
    <row r="919" spans="1:8" x14ac:dyDescent="0.25">
      <c r="A919" t="s">
        <v>2747</v>
      </c>
      <c r="B919" t="s">
        <v>2748</v>
      </c>
      <c r="C919" s="1">
        <v>46034.490208333336</v>
      </c>
      <c r="D919">
        <v>2177.5500000000002</v>
      </c>
      <c r="E919" t="s">
        <v>25</v>
      </c>
      <c r="F919" t="s">
        <v>20</v>
      </c>
      <c r="G919" t="s">
        <v>26</v>
      </c>
      <c r="H919" t="s">
        <v>2749</v>
      </c>
    </row>
    <row r="920" spans="1:8" x14ac:dyDescent="0.25">
      <c r="A920" t="s">
        <v>2750</v>
      </c>
      <c r="B920" t="s">
        <v>2751</v>
      </c>
      <c r="C920" s="1">
        <v>46035.579027777778</v>
      </c>
      <c r="D920">
        <v>1129.57</v>
      </c>
      <c r="E920" t="s">
        <v>25</v>
      </c>
      <c r="F920" t="s">
        <v>20</v>
      </c>
      <c r="G920" t="s">
        <v>30</v>
      </c>
      <c r="H920" t="s">
        <v>2752</v>
      </c>
    </row>
    <row r="921" spans="1:8" x14ac:dyDescent="0.25">
      <c r="A921" t="s">
        <v>2753</v>
      </c>
      <c r="B921" t="s">
        <v>2754</v>
      </c>
      <c r="C921" s="1">
        <v>46036.659641203703</v>
      </c>
      <c r="D921">
        <v>862.82</v>
      </c>
      <c r="E921" t="s">
        <v>52</v>
      </c>
      <c r="F921" t="s">
        <v>20</v>
      </c>
      <c r="G921" t="s">
        <v>21</v>
      </c>
      <c r="H921" t="s">
        <v>2755</v>
      </c>
    </row>
    <row r="922" spans="1:8" x14ac:dyDescent="0.25">
      <c r="A922" t="s">
        <v>2756</v>
      </c>
      <c r="B922" t="s">
        <v>2757</v>
      </c>
      <c r="C922" s="1">
        <v>46023.751898148148</v>
      </c>
      <c r="D922">
        <v>796.22</v>
      </c>
      <c r="E922" t="s">
        <v>19</v>
      </c>
      <c r="F922" t="s">
        <v>20</v>
      </c>
      <c r="G922" t="s">
        <v>26</v>
      </c>
      <c r="H922" t="s">
        <v>2758</v>
      </c>
    </row>
    <row r="923" spans="1:8" x14ac:dyDescent="0.25">
      <c r="A923" t="s">
        <v>2759</v>
      </c>
      <c r="B923" t="s">
        <v>2760</v>
      </c>
      <c r="C923" s="1">
        <v>46024.823391203703</v>
      </c>
      <c r="D923">
        <v>664.89</v>
      </c>
      <c r="E923" t="s">
        <v>25</v>
      </c>
      <c r="F923" t="s">
        <v>92</v>
      </c>
      <c r="G923" t="s">
        <v>30</v>
      </c>
      <c r="H923" t="s">
        <v>2761</v>
      </c>
    </row>
    <row r="924" spans="1:8" x14ac:dyDescent="0.25">
      <c r="A924" t="s">
        <v>2762</v>
      </c>
      <c r="B924" t="s">
        <v>2763</v>
      </c>
      <c r="C924" s="1">
        <v>46025.936874999999</v>
      </c>
      <c r="D924">
        <v>2126.34</v>
      </c>
      <c r="E924" t="s">
        <v>25</v>
      </c>
      <c r="F924" t="s">
        <v>20</v>
      </c>
      <c r="G924" t="s">
        <v>21</v>
      </c>
      <c r="H924" t="s">
        <v>2764</v>
      </c>
    </row>
    <row r="925" spans="1:8" x14ac:dyDescent="0.25">
      <c r="A925" t="s">
        <v>2765</v>
      </c>
      <c r="B925" t="s">
        <v>2766</v>
      </c>
      <c r="C925" s="1">
        <v>46027.023252314815</v>
      </c>
      <c r="D925">
        <v>192.78</v>
      </c>
      <c r="E925" t="s">
        <v>25</v>
      </c>
      <c r="F925" t="s">
        <v>20</v>
      </c>
      <c r="G925" t="s">
        <v>26</v>
      </c>
      <c r="H925" t="s">
        <v>2767</v>
      </c>
    </row>
    <row r="926" spans="1:8" x14ac:dyDescent="0.25">
      <c r="A926" t="s">
        <v>2768</v>
      </c>
      <c r="B926" t="s">
        <v>2769</v>
      </c>
      <c r="C926" s="1">
        <v>46028.100127314814</v>
      </c>
      <c r="D926">
        <v>1999.24</v>
      </c>
      <c r="E926" t="s">
        <v>25</v>
      </c>
      <c r="F926" t="s">
        <v>20</v>
      </c>
      <c r="G926" t="s">
        <v>30</v>
      </c>
      <c r="H926" t="s">
        <v>2770</v>
      </c>
    </row>
    <row r="927" spans="1:8" x14ac:dyDescent="0.25">
      <c r="A927" t="s">
        <v>2771</v>
      </c>
      <c r="B927" t="s">
        <v>2772</v>
      </c>
      <c r="C927" s="1">
        <v>46029.197384259256</v>
      </c>
      <c r="D927">
        <v>720.22</v>
      </c>
      <c r="E927" t="s">
        <v>25</v>
      </c>
      <c r="F927" t="s">
        <v>20</v>
      </c>
      <c r="G927" t="s">
        <v>21</v>
      </c>
      <c r="H927" t="s">
        <v>2773</v>
      </c>
    </row>
    <row r="928" spans="1:8" x14ac:dyDescent="0.25">
      <c r="A928" t="s">
        <v>2774</v>
      </c>
      <c r="B928" t="s">
        <v>2775</v>
      </c>
      <c r="C928" s="1">
        <v>46029.318124999998</v>
      </c>
      <c r="D928">
        <v>1380.99</v>
      </c>
      <c r="E928" t="s">
        <v>25</v>
      </c>
      <c r="F928" t="s">
        <v>20</v>
      </c>
      <c r="G928" t="s">
        <v>26</v>
      </c>
      <c r="H928" t="s">
        <v>2776</v>
      </c>
    </row>
    <row r="929" spans="1:8" x14ac:dyDescent="0.25">
      <c r="A929" t="s">
        <v>2777</v>
      </c>
      <c r="B929" t="s">
        <v>2778</v>
      </c>
      <c r="C929" s="1">
        <v>46030.381238425929</v>
      </c>
      <c r="D929">
        <v>1523.19</v>
      </c>
      <c r="E929" t="s">
        <v>25</v>
      </c>
      <c r="F929" t="s">
        <v>20</v>
      </c>
      <c r="G929" t="s">
        <v>30</v>
      </c>
      <c r="H929" t="s">
        <v>2779</v>
      </c>
    </row>
    <row r="930" spans="1:8" x14ac:dyDescent="0.25">
      <c r="A930" t="s">
        <v>2780</v>
      </c>
      <c r="B930" t="s">
        <v>2781</v>
      </c>
      <c r="C930" s="1">
        <v>46031.489988425928</v>
      </c>
      <c r="D930">
        <v>2028.85</v>
      </c>
      <c r="E930" t="s">
        <v>25</v>
      </c>
      <c r="F930" t="s">
        <v>20</v>
      </c>
      <c r="G930" t="s">
        <v>21</v>
      </c>
      <c r="H930" t="s">
        <v>2782</v>
      </c>
    </row>
    <row r="931" spans="1:8" x14ac:dyDescent="0.25">
      <c r="A931" t="s">
        <v>2783</v>
      </c>
      <c r="B931" t="s">
        <v>2784</v>
      </c>
      <c r="C931" s="1">
        <v>46032.583981481483</v>
      </c>
      <c r="D931">
        <v>1344.26</v>
      </c>
      <c r="E931" t="s">
        <v>52</v>
      </c>
      <c r="F931" t="s">
        <v>20</v>
      </c>
      <c r="G931" t="s">
        <v>26</v>
      </c>
      <c r="H931" t="s">
        <v>2785</v>
      </c>
    </row>
    <row r="932" spans="1:8" x14ac:dyDescent="0.25">
      <c r="A932" t="s">
        <v>2786</v>
      </c>
      <c r="B932" t="s">
        <v>2787</v>
      </c>
      <c r="C932" s="1">
        <v>46033.67255787037</v>
      </c>
      <c r="D932">
        <v>1562.2</v>
      </c>
      <c r="E932" t="s">
        <v>19</v>
      </c>
      <c r="F932" t="s">
        <v>20</v>
      </c>
      <c r="G932" t="s">
        <v>30</v>
      </c>
      <c r="H932" t="s">
        <v>2788</v>
      </c>
    </row>
    <row r="933" spans="1:8" x14ac:dyDescent="0.25">
      <c r="A933" t="s">
        <v>2789</v>
      </c>
      <c r="B933" t="s">
        <v>2790</v>
      </c>
      <c r="C933" s="1">
        <v>46034.762048611112</v>
      </c>
      <c r="D933">
        <v>1660.32</v>
      </c>
      <c r="E933" t="s">
        <v>25</v>
      </c>
      <c r="F933" t="s">
        <v>20</v>
      </c>
      <c r="G933" t="s">
        <v>21</v>
      </c>
      <c r="H933" t="s">
        <v>2791</v>
      </c>
    </row>
    <row r="934" spans="1:8" x14ac:dyDescent="0.25">
      <c r="A934" t="s">
        <v>2792</v>
      </c>
      <c r="B934" t="s">
        <v>2793</v>
      </c>
      <c r="C934" s="1">
        <v>46035.853981481479</v>
      </c>
      <c r="D934">
        <v>2303.59</v>
      </c>
      <c r="E934" t="s">
        <v>25</v>
      </c>
      <c r="F934" t="s">
        <v>20</v>
      </c>
      <c r="G934" t="s">
        <v>26</v>
      </c>
      <c r="H934" t="s">
        <v>2794</v>
      </c>
    </row>
    <row r="935" spans="1:8" x14ac:dyDescent="0.25">
      <c r="A935" t="s">
        <v>2795</v>
      </c>
      <c r="B935" t="s">
        <v>2796</v>
      </c>
      <c r="C935" s="1">
        <v>46036.94326388889</v>
      </c>
      <c r="D935">
        <v>692.78</v>
      </c>
      <c r="E935" t="s">
        <v>25</v>
      </c>
      <c r="F935" t="s">
        <v>20</v>
      </c>
      <c r="G935" t="s">
        <v>30</v>
      </c>
      <c r="H935" t="s">
        <v>2797</v>
      </c>
    </row>
    <row r="936" spans="1:8" x14ac:dyDescent="0.25">
      <c r="A936" t="s">
        <v>2798</v>
      </c>
      <c r="B936" t="s">
        <v>2799</v>
      </c>
      <c r="C936" s="1">
        <v>46024.013865740744</v>
      </c>
      <c r="D936">
        <v>1412.34</v>
      </c>
      <c r="E936" t="s">
        <v>25</v>
      </c>
      <c r="F936" t="s">
        <v>20</v>
      </c>
      <c r="G936" t="s">
        <v>21</v>
      </c>
      <c r="H936" t="s">
        <v>2800</v>
      </c>
    </row>
    <row r="937" spans="1:8" x14ac:dyDescent="0.25">
      <c r="A937" t="s">
        <v>2801</v>
      </c>
      <c r="B937" t="s">
        <v>2802</v>
      </c>
      <c r="C937" s="1">
        <v>46025.124699074076</v>
      </c>
      <c r="D937">
        <v>1743.14</v>
      </c>
      <c r="E937" t="s">
        <v>25</v>
      </c>
      <c r="F937" t="s">
        <v>20</v>
      </c>
      <c r="G937" t="s">
        <v>26</v>
      </c>
      <c r="H937" t="s">
        <v>2803</v>
      </c>
    </row>
    <row r="938" spans="1:8" x14ac:dyDescent="0.25">
      <c r="A938" t="s">
        <v>2804</v>
      </c>
      <c r="B938" t="s">
        <v>2805</v>
      </c>
      <c r="C938" s="1">
        <v>46026.218541666669</v>
      </c>
      <c r="D938">
        <v>898.59</v>
      </c>
      <c r="E938" t="s">
        <v>25</v>
      </c>
      <c r="F938" t="s">
        <v>20</v>
      </c>
      <c r="G938" t="s">
        <v>30</v>
      </c>
      <c r="H938" t="s">
        <v>2806</v>
      </c>
    </row>
    <row r="939" spans="1:8" x14ac:dyDescent="0.25">
      <c r="A939" t="s">
        <v>2807</v>
      </c>
      <c r="B939" t="s">
        <v>2808</v>
      </c>
      <c r="C939" s="1">
        <v>46026.305266203701</v>
      </c>
      <c r="D939">
        <v>1025.76</v>
      </c>
      <c r="E939" t="s">
        <v>25</v>
      </c>
      <c r="F939" t="s">
        <v>20</v>
      </c>
      <c r="G939" t="s">
        <v>21</v>
      </c>
      <c r="H939" t="s">
        <v>2809</v>
      </c>
    </row>
    <row r="940" spans="1:8" x14ac:dyDescent="0.25">
      <c r="A940" t="s">
        <v>2810</v>
      </c>
      <c r="B940" t="s">
        <v>2811</v>
      </c>
      <c r="C940" s="1">
        <v>46027.397083333337</v>
      </c>
      <c r="D940">
        <v>701.47</v>
      </c>
      <c r="E940" t="s">
        <v>25</v>
      </c>
      <c r="F940" t="s">
        <v>429</v>
      </c>
      <c r="G940" t="s">
        <v>26</v>
      </c>
      <c r="H940" t="s">
        <v>2812</v>
      </c>
    </row>
    <row r="941" spans="1:8" x14ac:dyDescent="0.25">
      <c r="A941" t="s">
        <v>2813</v>
      </c>
      <c r="B941" t="s">
        <v>2814</v>
      </c>
      <c r="C941" s="1">
        <v>46028.502847222226</v>
      </c>
      <c r="D941">
        <v>1223</v>
      </c>
      <c r="E941" t="s">
        <v>52</v>
      </c>
      <c r="F941" t="s">
        <v>20</v>
      </c>
      <c r="G941" t="s">
        <v>30</v>
      </c>
      <c r="H941" t="s">
        <v>2815</v>
      </c>
    </row>
    <row r="942" spans="1:8" x14ac:dyDescent="0.25">
      <c r="A942" t="s">
        <v>2816</v>
      </c>
      <c r="B942" t="s">
        <v>2817</v>
      </c>
      <c r="C942" s="1">
        <v>46029.584490740737</v>
      </c>
      <c r="D942">
        <v>673.63</v>
      </c>
      <c r="E942" t="s">
        <v>19</v>
      </c>
      <c r="F942" t="s">
        <v>20</v>
      </c>
      <c r="G942" t="s">
        <v>21</v>
      </c>
      <c r="H942" t="s">
        <v>2818</v>
      </c>
    </row>
    <row r="943" spans="1:8" x14ac:dyDescent="0.25">
      <c r="A943" t="s">
        <v>2819</v>
      </c>
      <c r="B943" t="s">
        <v>2820</v>
      </c>
      <c r="C943" s="1">
        <v>46030.683136574073</v>
      </c>
      <c r="D943">
        <v>1154.96</v>
      </c>
      <c r="E943" t="s">
        <v>25</v>
      </c>
      <c r="F943" t="s">
        <v>20</v>
      </c>
      <c r="G943" t="s">
        <v>26</v>
      </c>
      <c r="H943" t="s">
        <v>2821</v>
      </c>
    </row>
    <row r="944" spans="1:8" x14ac:dyDescent="0.25">
      <c r="A944" t="s">
        <v>2822</v>
      </c>
      <c r="B944" t="s">
        <v>2823</v>
      </c>
      <c r="C944" s="1">
        <v>46031.774884259263</v>
      </c>
      <c r="D944">
        <v>221.56</v>
      </c>
      <c r="E944" t="s">
        <v>25</v>
      </c>
      <c r="F944" t="s">
        <v>20</v>
      </c>
      <c r="G944" t="s">
        <v>30</v>
      </c>
      <c r="H944" t="s">
        <v>2824</v>
      </c>
    </row>
    <row r="945" spans="1:8" x14ac:dyDescent="0.25">
      <c r="A945" t="s">
        <v>2825</v>
      </c>
      <c r="B945" t="s">
        <v>2826</v>
      </c>
      <c r="C945" s="1">
        <v>46032.865995370368</v>
      </c>
      <c r="D945">
        <v>311.74</v>
      </c>
      <c r="E945" t="s">
        <v>25</v>
      </c>
      <c r="F945" t="s">
        <v>20</v>
      </c>
      <c r="G945" t="s">
        <v>21</v>
      </c>
      <c r="H945" t="s">
        <v>2827</v>
      </c>
    </row>
    <row r="946" spans="1:8" x14ac:dyDescent="0.25">
      <c r="A946" t="s">
        <v>2828</v>
      </c>
      <c r="B946" t="s">
        <v>2829</v>
      </c>
      <c r="C946" s="1">
        <v>46033.959953703707</v>
      </c>
      <c r="D946">
        <v>329.74</v>
      </c>
      <c r="E946" t="s">
        <v>25</v>
      </c>
      <c r="F946" t="s">
        <v>20</v>
      </c>
      <c r="G946" t="s">
        <v>26</v>
      </c>
      <c r="H946" t="s">
        <v>2830</v>
      </c>
    </row>
    <row r="947" spans="1:8" x14ac:dyDescent="0.25">
      <c r="A947" t="s">
        <v>2831</v>
      </c>
      <c r="B947" t="s">
        <v>2832</v>
      </c>
      <c r="C947" s="1">
        <v>46035.042546296296</v>
      </c>
      <c r="D947">
        <v>769.31</v>
      </c>
      <c r="E947" t="s">
        <v>25</v>
      </c>
      <c r="F947" t="s">
        <v>20</v>
      </c>
      <c r="G947" t="s">
        <v>30</v>
      </c>
      <c r="H947" t="s">
        <v>2833</v>
      </c>
    </row>
    <row r="948" spans="1:8" x14ac:dyDescent="0.25">
      <c r="A948" t="s">
        <v>2834</v>
      </c>
      <c r="B948" t="s">
        <v>2835</v>
      </c>
      <c r="C948" s="1">
        <v>46036.127766203703</v>
      </c>
      <c r="D948">
        <v>1694.21</v>
      </c>
      <c r="E948" t="s">
        <v>25</v>
      </c>
      <c r="F948" t="s">
        <v>20</v>
      </c>
      <c r="G948" t="s">
        <v>21</v>
      </c>
      <c r="H948" t="s">
        <v>2836</v>
      </c>
    </row>
    <row r="949" spans="1:8" x14ac:dyDescent="0.25">
      <c r="A949" t="s">
        <v>2837</v>
      </c>
      <c r="B949" t="s">
        <v>2838</v>
      </c>
      <c r="C949" s="1">
        <v>46037.223437499997</v>
      </c>
      <c r="D949">
        <v>1881.46</v>
      </c>
      <c r="E949" t="s">
        <v>25</v>
      </c>
      <c r="F949" t="s">
        <v>20</v>
      </c>
      <c r="G949" t="s">
        <v>26</v>
      </c>
      <c r="H949" t="s">
        <v>2839</v>
      </c>
    </row>
    <row r="950" spans="1:8" x14ac:dyDescent="0.25">
      <c r="A950" t="s">
        <v>2840</v>
      </c>
      <c r="B950" t="s">
        <v>2841</v>
      </c>
      <c r="C950" s="1">
        <v>46023.324814814812</v>
      </c>
      <c r="D950">
        <v>1049.93</v>
      </c>
      <c r="E950" t="s">
        <v>25</v>
      </c>
      <c r="F950" t="s">
        <v>20</v>
      </c>
      <c r="G950" t="s">
        <v>30</v>
      </c>
      <c r="H950" t="s">
        <v>2842</v>
      </c>
    </row>
    <row r="951" spans="1:8" x14ac:dyDescent="0.25">
      <c r="A951" t="s">
        <v>2843</v>
      </c>
      <c r="B951" t="s">
        <v>2844</v>
      </c>
      <c r="C951" s="1">
        <v>46024.414803240739</v>
      </c>
      <c r="D951">
        <v>1592.93</v>
      </c>
      <c r="E951" t="s">
        <v>52</v>
      </c>
      <c r="F951" t="s">
        <v>20</v>
      </c>
      <c r="G951" t="s">
        <v>21</v>
      </c>
      <c r="H951" t="s">
        <v>2845</v>
      </c>
    </row>
    <row r="952" spans="1:8" x14ac:dyDescent="0.25">
      <c r="A952" t="s">
        <v>2846</v>
      </c>
      <c r="B952" t="s">
        <v>2847</v>
      </c>
      <c r="C952" s="1">
        <v>46025.500648148147</v>
      </c>
      <c r="D952">
        <v>411.28</v>
      </c>
      <c r="E952" t="s">
        <v>19</v>
      </c>
      <c r="F952" t="s">
        <v>20</v>
      </c>
      <c r="G952" t="s">
        <v>26</v>
      </c>
      <c r="H952" t="s">
        <v>2848</v>
      </c>
    </row>
    <row r="953" spans="1:8" x14ac:dyDescent="0.25">
      <c r="A953" t="s">
        <v>2849</v>
      </c>
      <c r="B953" t="s">
        <v>2850</v>
      </c>
      <c r="C953" s="1">
        <v>46026.584756944445</v>
      </c>
      <c r="D953">
        <v>2486.5700000000002</v>
      </c>
      <c r="E953" t="s">
        <v>25</v>
      </c>
      <c r="F953" t="s">
        <v>20</v>
      </c>
      <c r="G953" t="s">
        <v>30</v>
      </c>
      <c r="H953" t="s">
        <v>2851</v>
      </c>
    </row>
    <row r="954" spans="1:8" x14ac:dyDescent="0.25">
      <c r="A954" t="s">
        <v>2852</v>
      </c>
      <c r="B954" t="s">
        <v>2853</v>
      </c>
      <c r="C954" s="1">
        <v>46027.67496527778</v>
      </c>
      <c r="D954">
        <v>716.63</v>
      </c>
      <c r="E954" t="s">
        <v>25</v>
      </c>
      <c r="F954" t="s">
        <v>20</v>
      </c>
      <c r="G954" t="s">
        <v>21</v>
      </c>
      <c r="H954" t="s">
        <v>2854</v>
      </c>
    </row>
    <row r="955" spans="1:8" x14ac:dyDescent="0.25">
      <c r="A955" t="s">
        <v>2855</v>
      </c>
      <c r="B955" t="s">
        <v>2856</v>
      </c>
      <c r="C955" s="1">
        <v>46028.761655092596</v>
      </c>
      <c r="D955">
        <v>1844.5</v>
      </c>
      <c r="E955" t="s">
        <v>25</v>
      </c>
      <c r="F955" t="s">
        <v>20</v>
      </c>
      <c r="G955" t="s">
        <v>26</v>
      </c>
      <c r="H955" t="s">
        <v>2857</v>
      </c>
    </row>
    <row r="956" spans="1:8" x14ac:dyDescent="0.25">
      <c r="A956" t="s">
        <v>2858</v>
      </c>
      <c r="B956" t="s">
        <v>2859</v>
      </c>
      <c r="C956" s="1">
        <v>46029.851782407408</v>
      </c>
      <c r="D956">
        <v>148.65</v>
      </c>
      <c r="E956" t="s">
        <v>25</v>
      </c>
      <c r="F956" t="s">
        <v>20</v>
      </c>
      <c r="G956" t="s">
        <v>30</v>
      </c>
      <c r="H956" t="s">
        <v>2860</v>
      </c>
    </row>
    <row r="957" spans="1:8" x14ac:dyDescent="0.25">
      <c r="A957" t="s">
        <v>2861</v>
      </c>
      <c r="B957" t="s">
        <v>2862</v>
      </c>
      <c r="C957" s="1">
        <v>46030.960138888891</v>
      </c>
      <c r="D957">
        <v>2473.92</v>
      </c>
      <c r="E957" t="s">
        <v>25</v>
      </c>
      <c r="F957" t="s">
        <v>20</v>
      </c>
      <c r="G957" t="s">
        <v>21</v>
      </c>
      <c r="H957" t="s">
        <v>2863</v>
      </c>
    </row>
    <row r="958" spans="1:8" x14ac:dyDescent="0.25">
      <c r="A958" t="s">
        <v>2864</v>
      </c>
      <c r="B958" t="s">
        <v>2865</v>
      </c>
      <c r="C958" s="1">
        <v>46032.054699074077</v>
      </c>
      <c r="D958">
        <v>41.4</v>
      </c>
      <c r="E958" t="s">
        <v>25</v>
      </c>
      <c r="F958" t="s">
        <v>20</v>
      </c>
      <c r="G958" t="s">
        <v>26</v>
      </c>
      <c r="H958" t="s">
        <v>2866</v>
      </c>
    </row>
    <row r="959" spans="1:8" x14ac:dyDescent="0.25">
      <c r="A959" t="s">
        <v>2867</v>
      </c>
      <c r="B959" t="s">
        <v>2868</v>
      </c>
      <c r="C959" s="1">
        <v>46033.150659722225</v>
      </c>
      <c r="D959">
        <v>2400.1799999999998</v>
      </c>
      <c r="E959" t="s">
        <v>25</v>
      </c>
      <c r="F959" t="s">
        <v>20</v>
      </c>
      <c r="G959" t="s">
        <v>30</v>
      </c>
      <c r="H959" t="s">
        <v>2869</v>
      </c>
    </row>
    <row r="960" spans="1:8" x14ac:dyDescent="0.25">
      <c r="A960" t="s">
        <v>2870</v>
      </c>
      <c r="B960" t="s">
        <v>2871</v>
      </c>
      <c r="C960" s="1">
        <v>46033.241712962961</v>
      </c>
      <c r="D960">
        <v>2383.04</v>
      </c>
      <c r="E960" t="s">
        <v>25</v>
      </c>
      <c r="F960" t="s">
        <v>20</v>
      </c>
      <c r="G960" t="s">
        <v>21</v>
      </c>
      <c r="H960" t="s">
        <v>2872</v>
      </c>
    </row>
    <row r="961" spans="1:8" x14ac:dyDescent="0.25">
      <c r="A961" t="s">
        <v>2873</v>
      </c>
      <c r="B961" t="s">
        <v>2874</v>
      </c>
      <c r="C961" s="1">
        <v>46034.317511574074</v>
      </c>
      <c r="D961">
        <v>2473.9</v>
      </c>
      <c r="E961" t="s">
        <v>52</v>
      </c>
      <c r="F961" t="s">
        <v>20</v>
      </c>
      <c r="G961" t="s">
        <v>26</v>
      </c>
      <c r="H961" t="s">
        <v>2875</v>
      </c>
    </row>
    <row r="962" spans="1:8" x14ac:dyDescent="0.25">
      <c r="A962" t="s">
        <v>2876</v>
      </c>
      <c r="B962" t="s">
        <v>2877</v>
      </c>
      <c r="C962" s="1">
        <v>46035.422650462962</v>
      </c>
      <c r="D962">
        <v>2058.73</v>
      </c>
      <c r="E962" t="s">
        <v>19</v>
      </c>
      <c r="F962" t="s">
        <v>20</v>
      </c>
      <c r="G962" t="s">
        <v>30</v>
      </c>
      <c r="H962" t="s">
        <v>2878</v>
      </c>
    </row>
    <row r="963" spans="1:8" x14ac:dyDescent="0.25">
      <c r="A963" t="s">
        <v>2879</v>
      </c>
      <c r="B963" t="s">
        <v>2880</v>
      </c>
      <c r="C963" s="1">
        <v>46036.523495370369</v>
      </c>
      <c r="D963">
        <v>2423</v>
      </c>
      <c r="E963" t="s">
        <v>25</v>
      </c>
      <c r="F963" t="s">
        <v>20</v>
      </c>
      <c r="G963" t="s">
        <v>21</v>
      </c>
      <c r="H963" t="s">
        <v>2881</v>
      </c>
    </row>
    <row r="964" spans="1:8" x14ac:dyDescent="0.25">
      <c r="A964" t="s">
        <v>2882</v>
      </c>
      <c r="B964" t="s">
        <v>2883</v>
      </c>
      <c r="C964" s="1">
        <v>46023.59684027778</v>
      </c>
      <c r="D964">
        <v>849.21</v>
      </c>
      <c r="E964" t="s">
        <v>25</v>
      </c>
      <c r="F964" t="s">
        <v>20</v>
      </c>
      <c r="G964" t="s">
        <v>26</v>
      </c>
      <c r="H964" t="s">
        <v>2884</v>
      </c>
    </row>
    <row r="965" spans="1:8" x14ac:dyDescent="0.25">
      <c r="A965" t="s">
        <v>2885</v>
      </c>
      <c r="B965" t="s">
        <v>2886</v>
      </c>
      <c r="C965" s="1">
        <v>46024.673055555555</v>
      </c>
      <c r="D965">
        <v>191.72</v>
      </c>
      <c r="E965" t="s">
        <v>25</v>
      </c>
      <c r="F965" t="s">
        <v>20</v>
      </c>
      <c r="G965" t="s">
        <v>30</v>
      </c>
      <c r="H965" t="s">
        <v>2887</v>
      </c>
    </row>
    <row r="966" spans="1:8" x14ac:dyDescent="0.25">
      <c r="A966" t="s">
        <v>2888</v>
      </c>
      <c r="B966" t="s">
        <v>2889</v>
      </c>
      <c r="C966" s="1">
        <v>46025.798831018517</v>
      </c>
      <c r="D966">
        <v>1615.86</v>
      </c>
      <c r="E966" t="s">
        <v>25</v>
      </c>
      <c r="F966" t="s">
        <v>20</v>
      </c>
      <c r="G966" t="s">
        <v>21</v>
      </c>
      <c r="H966" t="s">
        <v>2890</v>
      </c>
    </row>
    <row r="967" spans="1:8" x14ac:dyDescent="0.25">
      <c r="A967" t="s">
        <v>2891</v>
      </c>
      <c r="B967" t="s">
        <v>2892</v>
      </c>
      <c r="C967" s="1">
        <v>46026.875833333332</v>
      </c>
      <c r="D967">
        <v>1709.24</v>
      </c>
      <c r="E967" t="s">
        <v>25</v>
      </c>
      <c r="F967" t="s">
        <v>20</v>
      </c>
      <c r="G967" t="s">
        <v>26</v>
      </c>
      <c r="H967" t="s">
        <v>2893</v>
      </c>
    </row>
    <row r="968" spans="1:8" x14ac:dyDescent="0.25">
      <c r="A968" t="s">
        <v>2894</v>
      </c>
      <c r="B968" t="s">
        <v>2895</v>
      </c>
      <c r="C968" s="1">
        <v>46027.947881944441</v>
      </c>
      <c r="D968">
        <v>815.7</v>
      </c>
      <c r="E968" t="s">
        <v>25</v>
      </c>
      <c r="F968" t="s">
        <v>20</v>
      </c>
      <c r="G968" t="s">
        <v>30</v>
      </c>
      <c r="H968" t="s">
        <v>2896</v>
      </c>
    </row>
    <row r="969" spans="1:8" x14ac:dyDescent="0.25">
      <c r="A969" t="s">
        <v>2897</v>
      </c>
      <c r="B969" t="s">
        <v>2898</v>
      </c>
      <c r="C969" s="1">
        <v>46029.076192129629</v>
      </c>
      <c r="D969">
        <v>1060.3900000000001</v>
      </c>
      <c r="E969" t="s">
        <v>25</v>
      </c>
      <c r="F969" t="s">
        <v>20</v>
      </c>
      <c r="G969" t="s">
        <v>21</v>
      </c>
      <c r="H969" t="s">
        <v>2899</v>
      </c>
    </row>
    <row r="970" spans="1:8" x14ac:dyDescent="0.25">
      <c r="A970" t="s">
        <v>2900</v>
      </c>
      <c r="B970" t="s">
        <v>2901</v>
      </c>
      <c r="C970" s="1">
        <v>46030.148125</v>
      </c>
      <c r="D970">
        <v>1660.49</v>
      </c>
      <c r="E970" t="s">
        <v>25</v>
      </c>
      <c r="F970" t="s">
        <v>20</v>
      </c>
      <c r="G970" t="s">
        <v>26</v>
      </c>
      <c r="H970" t="s">
        <v>2902</v>
      </c>
    </row>
    <row r="971" spans="1:8" x14ac:dyDescent="0.25">
      <c r="A971" t="s">
        <v>2903</v>
      </c>
      <c r="B971" t="s">
        <v>2904</v>
      </c>
      <c r="C971" s="1">
        <v>46031.225162037037</v>
      </c>
      <c r="D971">
        <v>333.63</v>
      </c>
      <c r="E971" t="s">
        <v>52</v>
      </c>
      <c r="F971" t="s">
        <v>20</v>
      </c>
      <c r="G971" t="s">
        <v>30</v>
      </c>
      <c r="H971" t="s">
        <v>2905</v>
      </c>
    </row>
    <row r="972" spans="1:8" x14ac:dyDescent="0.25">
      <c r="A972" t="s">
        <v>2906</v>
      </c>
      <c r="B972" t="s">
        <v>2907</v>
      </c>
      <c r="C972" s="1">
        <v>46031.337430555555</v>
      </c>
      <c r="D972">
        <v>296.55</v>
      </c>
      <c r="E972" t="s">
        <v>19</v>
      </c>
      <c r="F972" t="s">
        <v>20</v>
      </c>
      <c r="G972" t="s">
        <v>21</v>
      </c>
      <c r="H972" t="s">
        <v>2908</v>
      </c>
    </row>
    <row r="973" spans="1:8" x14ac:dyDescent="0.25">
      <c r="A973" t="s">
        <v>2909</v>
      </c>
      <c r="B973" t="s">
        <v>2910</v>
      </c>
      <c r="C973" s="1">
        <v>46032.404930555553</v>
      </c>
      <c r="D973">
        <v>1142.1600000000001</v>
      </c>
      <c r="E973" t="s">
        <v>25</v>
      </c>
      <c r="F973" t="s">
        <v>20</v>
      </c>
      <c r="G973" t="s">
        <v>26</v>
      </c>
      <c r="H973" t="s">
        <v>2911</v>
      </c>
    </row>
    <row r="974" spans="1:8" x14ac:dyDescent="0.25">
      <c r="A974" t="s">
        <v>2912</v>
      </c>
      <c r="B974" t="s">
        <v>2913</v>
      </c>
      <c r="C974" s="1">
        <v>46033.533252314817</v>
      </c>
      <c r="D974">
        <v>30.89</v>
      </c>
      <c r="E974" t="s">
        <v>25</v>
      </c>
      <c r="F974" t="s">
        <v>20</v>
      </c>
      <c r="G974" t="s">
        <v>30</v>
      </c>
      <c r="H974" t="s">
        <v>2914</v>
      </c>
    </row>
    <row r="975" spans="1:8" x14ac:dyDescent="0.25">
      <c r="A975" t="s">
        <v>2915</v>
      </c>
      <c r="B975" t="s">
        <v>2916</v>
      </c>
      <c r="C975" s="1">
        <v>46034.610821759263</v>
      </c>
      <c r="D975">
        <v>2370.34</v>
      </c>
      <c r="E975" t="s">
        <v>25</v>
      </c>
      <c r="F975" t="s">
        <v>20</v>
      </c>
      <c r="G975" t="s">
        <v>21</v>
      </c>
      <c r="H975" t="s">
        <v>2917</v>
      </c>
    </row>
    <row r="976" spans="1:8" x14ac:dyDescent="0.25">
      <c r="A976" t="s">
        <v>2918</v>
      </c>
      <c r="B976" t="s">
        <v>2919</v>
      </c>
      <c r="C976" s="1">
        <v>46035.682233796295</v>
      </c>
      <c r="D976">
        <v>1976.69</v>
      </c>
      <c r="E976" t="s">
        <v>25</v>
      </c>
      <c r="F976" t="s">
        <v>20</v>
      </c>
      <c r="G976" t="s">
        <v>26</v>
      </c>
      <c r="H976" t="s">
        <v>2920</v>
      </c>
    </row>
    <row r="977" spans="1:8" x14ac:dyDescent="0.25">
      <c r="A977" t="s">
        <v>2921</v>
      </c>
      <c r="B977" t="s">
        <v>2922</v>
      </c>
      <c r="C977" s="1">
        <v>46036.799930555557</v>
      </c>
      <c r="D977">
        <v>1501.12</v>
      </c>
      <c r="E977" t="s">
        <v>25</v>
      </c>
      <c r="F977" t="s">
        <v>20</v>
      </c>
      <c r="G977" t="s">
        <v>30</v>
      </c>
      <c r="H977" t="s">
        <v>2923</v>
      </c>
    </row>
    <row r="978" spans="1:8" x14ac:dyDescent="0.25">
      <c r="A978" t="s">
        <v>2924</v>
      </c>
      <c r="B978" t="s">
        <v>2925</v>
      </c>
      <c r="C978" s="1">
        <v>46023.873784722222</v>
      </c>
      <c r="D978">
        <v>406.11</v>
      </c>
      <c r="E978" t="s">
        <v>25</v>
      </c>
      <c r="F978" t="s">
        <v>20</v>
      </c>
      <c r="G978" t="s">
        <v>21</v>
      </c>
      <c r="H978" t="s">
        <v>2926</v>
      </c>
    </row>
    <row r="979" spans="1:8" x14ac:dyDescent="0.25">
      <c r="A979" t="s">
        <v>2927</v>
      </c>
      <c r="B979" t="s">
        <v>2928</v>
      </c>
      <c r="C979" s="1">
        <v>46024.968321759261</v>
      </c>
      <c r="D979">
        <v>2055.44</v>
      </c>
      <c r="E979" t="s">
        <v>25</v>
      </c>
      <c r="F979" t="s">
        <v>20</v>
      </c>
      <c r="G979" t="s">
        <v>26</v>
      </c>
      <c r="H979" t="s">
        <v>2929</v>
      </c>
    </row>
    <row r="980" spans="1:8" x14ac:dyDescent="0.25">
      <c r="A980" t="s">
        <v>2930</v>
      </c>
      <c r="B980" t="s">
        <v>2931</v>
      </c>
      <c r="C980" s="1">
        <v>46026.057650462964</v>
      </c>
      <c r="D980">
        <v>1466.89</v>
      </c>
      <c r="E980" t="s">
        <v>25</v>
      </c>
      <c r="F980" t="s">
        <v>20</v>
      </c>
      <c r="G980" t="s">
        <v>30</v>
      </c>
      <c r="H980" t="s">
        <v>2932</v>
      </c>
    </row>
    <row r="981" spans="1:8" x14ac:dyDescent="0.25">
      <c r="A981" t="s">
        <v>2933</v>
      </c>
      <c r="B981" t="s">
        <v>2934</v>
      </c>
      <c r="C981" s="1">
        <v>46027.141481481478</v>
      </c>
      <c r="D981">
        <v>1956.65</v>
      </c>
      <c r="E981" t="s">
        <v>52</v>
      </c>
      <c r="F981" t="s">
        <v>20</v>
      </c>
      <c r="G981" t="s">
        <v>21</v>
      </c>
      <c r="H981" t="s">
        <v>2935</v>
      </c>
    </row>
    <row r="982" spans="1:8" x14ac:dyDescent="0.25">
      <c r="A982" t="s">
        <v>2936</v>
      </c>
      <c r="B982" t="s">
        <v>2937</v>
      </c>
      <c r="C982" s="1">
        <v>46028.226504629631</v>
      </c>
      <c r="D982">
        <v>345.23</v>
      </c>
      <c r="E982" t="s">
        <v>19</v>
      </c>
      <c r="F982" t="s">
        <v>20</v>
      </c>
      <c r="G982" t="s">
        <v>26</v>
      </c>
      <c r="H982" t="s">
        <v>2938</v>
      </c>
    </row>
    <row r="983" spans="1:8" x14ac:dyDescent="0.25">
      <c r="A983" t="s">
        <v>2939</v>
      </c>
      <c r="B983" t="s">
        <v>2940</v>
      </c>
      <c r="C983" s="1">
        <v>46028.346226851849</v>
      </c>
      <c r="D983">
        <v>458.25</v>
      </c>
      <c r="E983" t="s">
        <v>25</v>
      </c>
      <c r="F983" t="s">
        <v>20</v>
      </c>
      <c r="G983" t="s">
        <v>30</v>
      </c>
      <c r="H983" t="s">
        <v>2941</v>
      </c>
    </row>
    <row r="984" spans="1:8" x14ac:dyDescent="0.25">
      <c r="A984" t="s">
        <v>2942</v>
      </c>
      <c r="B984" t="s">
        <v>2943</v>
      </c>
      <c r="C984" s="1">
        <v>46029.433865740742</v>
      </c>
      <c r="D984">
        <v>1404.71</v>
      </c>
      <c r="E984" t="s">
        <v>25</v>
      </c>
      <c r="F984" t="s">
        <v>20</v>
      </c>
      <c r="G984" t="s">
        <v>21</v>
      </c>
      <c r="H984" t="s">
        <v>2944</v>
      </c>
    </row>
    <row r="985" spans="1:8" x14ac:dyDescent="0.25">
      <c r="A985" t="s">
        <v>2945</v>
      </c>
      <c r="B985" t="s">
        <v>2946</v>
      </c>
      <c r="C985" s="1">
        <v>46030.525057870371</v>
      </c>
      <c r="D985">
        <v>1977.38</v>
      </c>
      <c r="E985" t="s">
        <v>25</v>
      </c>
      <c r="F985" t="s">
        <v>20</v>
      </c>
      <c r="G985" t="s">
        <v>26</v>
      </c>
      <c r="H985" t="s">
        <v>2947</v>
      </c>
    </row>
    <row r="986" spans="1:8" x14ac:dyDescent="0.25">
      <c r="A986" t="s">
        <v>2948</v>
      </c>
      <c r="B986" t="s">
        <v>2949</v>
      </c>
      <c r="C986" s="1">
        <v>46031.616076388891</v>
      </c>
      <c r="D986">
        <v>1668.19</v>
      </c>
      <c r="E986" t="s">
        <v>25</v>
      </c>
      <c r="F986" t="s">
        <v>20</v>
      </c>
      <c r="G986" t="s">
        <v>30</v>
      </c>
      <c r="H986" t="s">
        <v>2950</v>
      </c>
    </row>
    <row r="987" spans="1:8" x14ac:dyDescent="0.25">
      <c r="A987" t="s">
        <v>2951</v>
      </c>
      <c r="B987" t="s">
        <v>2952</v>
      </c>
      <c r="C987" s="1">
        <v>46032.709432870368</v>
      </c>
      <c r="D987">
        <v>621.58000000000004</v>
      </c>
      <c r="E987" t="s">
        <v>25</v>
      </c>
      <c r="F987" t="s">
        <v>20</v>
      </c>
      <c r="G987" t="s">
        <v>21</v>
      </c>
      <c r="H987" t="s">
        <v>2953</v>
      </c>
    </row>
    <row r="988" spans="1:8" x14ac:dyDescent="0.25">
      <c r="A988" t="s">
        <v>2954</v>
      </c>
      <c r="B988" t="s">
        <v>2955</v>
      </c>
      <c r="C988" s="1">
        <v>46033.794814814813</v>
      </c>
      <c r="D988">
        <v>2334.73</v>
      </c>
      <c r="E988" t="s">
        <v>25</v>
      </c>
      <c r="F988" t="s">
        <v>20</v>
      </c>
      <c r="G988" t="s">
        <v>26</v>
      </c>
      <c r="H988" t="s">
        <v>2956</v>
      </c>
    </row>
    <row r="989" spans="1:8" x14ac:dyDescent="0.25">
      <c r="A989" t="s">
        <v>2957</v>
      </c>
      <c r="B989" t="s">
        <v>2958</v>
      </c>
      <c r="C989" s="1">
        <v>46034.881493055553</v>
      </c>
      <c r="D989">
        <v>1327.88</v>
      </c>
      <c r="E989" t="s">
        <v>25</v>
      </c>
      <c r="F989" t="s">
        <v>20</v>
      </c>
      <c r="G989" t="s">
        <v>30</v>
      </c>
      <c r="H989" t="s">
        <v>2959</v>
      </c>
    </row>
    <row r="990" spans="1:8" x14ac:dyDescent="0.25">
      <c r="A990" t="s">
        <v>2960</v>
      </c>
      <c r="B990" t="s">
        <v>2961</v>
      </c>
      <c r="C990" s="1">
        <v>46035.993310185186</v>
      </c>
      <c r="D990">
        <v>2187.69</v>
      </c>
      <c r="E990" t="s">
        <v>25</v>
      </c>
      <c r="F990" t="s">
        <v>20</v>
      </c>
      <c r="G990" t="s">
        <v>21</v>
      </c>
      <c r="H990" t="s">
        <v>2962</v>
      </c>
    </row>
    <row r="991" spans="1:8" x14ac:dyDescent="0.25">
      <c r="A991" t="s">
        <v>2963</v>
      </c>
      <c r="B991" t="s">
        <v>2964</v>
      </c>
      <c r="C991" s="1">
        <v>46037.089085648149</v>
      </c>
      <c r="D991">
        <v>971.85</v>
      </c>
      <c r="E991" t="s">
        <v>52</v>
      </c>
      <c r="F991" t="s">
        <v>20</v>
      </c>
      <c r="G991" t="s">
        <v>26</v>
      </c>
      <c r="H991" t="s">
        <v>2965</v>
      </c>
    </row>
    <row r="992" spans="1:8" x14ac:dyDescent="0.25">
      <c r="A992" t="s">
        <v>2966</v>
      </c>
      <c r="B992" t="s">
        <v>2967</v>
      </c>
      <c r="C992" s="1">
        <v>46024.181377314817</v>
      </c>
      <c r="D992">
        <v>1487.31</v>
      </c>
      <c r="E992" t="s">
        <v>19</v>
      </c>
      <c r="F992" t="s">
        <v>20</v>
      </c>
      <c r="G992" t="s">
        <v>30</v>
      </c>
      <c r="H992" t="s">
        <v>2968</v>
      </c>
    </row>
    <row r="993" spans="1:8" x14ac:dyDescent="0.25">
      <c r="A993" t="s">
        <v>2969</v>
      </c>
      <c r="B993" t="s">
        <v>2970</v>
      </c>
      <c r="C993" s="1">
        <v>46024.271064814813</v>
      </c>
      <c r="D993">
        <v>2170.7199999999998</v>
      </c>
      <c r="E993" t="s">
        <v>25</v>
      </c>
      <c r="F993" t="s">
        <v>20</v>
      </c>
      <c r="G993" t="s">
        <v>21</v>
      </c>
      <c r="H993" t="s">
        <v>2971</v>
      </c>
    </row>
    <row r="994" spans="1:8" x14ac:dyDescent="0.25">
      <c r="A994" t="s">
        <v>2972</v>
      </c>
      <c r="B994" t="s">
        <v>2973</v>
      </c>
      <c r="C994" s="1">
        <v>46025.351805555554</v>
      </c>
      <c r="D994">
        <v>2353.33</v>
      </c>
      <c r="E994" t="s">
        <v>25</v>
      </c>
      <c r="F994" t="s">
        <v>20</v>
      </c>
      <c r="G994" t="s">
        <v>26</v>
      </c>
      <c r="H994" t="s">
        <v>2974</v>
      </c>
    </row>
    <row r="995" spans="1:8" x14ac:dyDescent="0.25">
      <c r="A995" t="s">
        <v>2975</v>
      </c>
      <c r="B995" t="s">
        <v>2976</v>
      </c>
      <c r="C995" s="1">
        <v>46026.428553240738</v>
      </c>
      <c r="D995">
        <v>299.7</v>
      </c>
      <c r="E995" t="s">
        <v>25</v>
      </c>
      <c r="F995" t="s">
        <v>20</v>
      </c>
      <c r="G995" t="s">
        <v>30</v>
      </c>
      <c r="H995" t="s">
        <v>2977</v>
      </c>
    </row>
    <row r="996" spans="1:8" x14ac:dyDescent="0.25">
      <c r="A996" t="s">
        <v>2978</v>
      </c>
      <c r="B996" t="s">
        <v>2979</v>
      </c>
      <c r="C996" s="1">
        <v>46027.513368055559</v>
      </c>
      <c r="D996">
        <v>2499.8000000000002</v>
      </c>
      <c r="E996" t="s">
        <v>25</v>
      </c>
      <c r="F996" t="s">
        <v>20</v>
      </c>
      <c r="G996" t="s">
        <v>21</v>
      </c>
      <c r="H996" t="s">
        <v>2980</v>
      </c>
    </row>
    <row r="997" spans="1:8" x14ac:dyDescent="0.25">
      <c r="A997" t="s">
        <v>2981</v>
      </c>
      <c r="B997" t="s">
        <v>2982</v>
      </c>
      <c r="C997" s="1">
        <v>46028.605358796296</v>
      </c>
      <c r="D997">
        <v>303.45999999999998</v>
      </c>
      <c r="E997" t="s">
        <v>25</v>
      </c>
      <c r="F997" t="s">
        <v>20</v>
      </c>
      <c r="G997" t="s">
        <v>26</v>
      </c>
      <c r="H997" t="s">
        <v>2983</v>
      </c>
    </row>
    <row r="998" spans="1:8" x14ac:dyDescent="0.25">
      <c r="A998" t="s">
        <v>2984</v>
      </c>
      <c r="B998" t="s">
        <v>2985</v>
      </c>
      <c r="C998" s="1">
        <v>46029.717800925922</v>
      </c>
      <c r="D998">
        <v>1780.67</v>
      </c>
      <c r="E998" t="s">
        <v>25</v>
      </c>
      <c r="F998" t="s">
        <v>20</v>
      </c>
      <c r="G998" t="s">
        <v>30</v>
      </c>
      <c r="H998" t="s">
        <v>2986</v>
      </c>
    </row>
    <row r="999" spans="1:8" x14ac:dyDescent="0.25">
      <c r="A999" t="s">
        <v>2987</v>
      </c>
      <c r="B999" t="s">
        <v>2988</v>
      </c>
      <c r="C999" s="1">
        <v>46030.786238425928</v>
      </c>
      <c r="D999">
        <v>990.99</v>
      </c>
      <c r="E999" t="s">
        <v>25</v>
      </c>
      <c r="F999" t="s">
        <v>20</v>
      </c>
      <c r="G999" t="s">
        <v>21</v>
      </c>
      <c r="H999" t="s">
        <v>2989</v>
      </c>
    </row>
    <row r="1000" spans="1:8" x14ac:dyDescent="0.25">
      <c r="A1000" t="s">
        <v>2990</v>
      </c>
      <c r="B1000" t="s">
        <v>2991</v>
      </c>
      <c r="C1000" s="1">
        <v>46031.888287037036</v>
      </c>
      <c r="D1000">
        <v>1495.87</v>
      </c>
      <c r="E1000" t="s">
        <v>25</v>
      </c>
      <c r="F1000" t="s">
        <v>92</v>
      </c>
      <c r="G1000" t="s">
        <v>26</v>
      </c>
      <c r="H1000" t="s">
        <v>2992</v>
      </c>
    </row>
    <row r="1001" spans="1:8" x14ac:dyDescent="0.25">
      <c r="A1001" t="s">
        <v>2993</v>
      </c>
      <c r="B1001" t="s">
        <v>2994</v>
      </c>
      <c r="C1001" s="1">
        <v>46033.00136574074</v>
      </c>
      <c r="D1001">
        <v>2151.5100000000002</v>
      </c>
      <c r="E1001" t="s">
        <v>52</v>
      </c>
      <c r="F1001" t="s">
        <v>20</v>
      </c>
      <c r="G1001" t="s">
        <v>30</v>
      </c>
      <c r="H1001" t="s">
        <v>2995</v>
      </c>
    </row>
    <row r="1002" spans="1:8" x14ac:dyDescent="0.25">
      <c r="A1002" t="s">
        <v>2996</v>
      </c>
      <c r="B1002" t="s">
        <v>2997</v>
      </c>
      <c r="C1002" s="1">
        <v>46034.082986111112</v>
      </c>
      <c r="D1002">
        <v>977.86</v>
      </c>
      <c r="E1002" t="s">
        <v>19</v>
      </c>
      <c r="F1002" t="s">
        <v>20</v>
      </c>
      <c r="G1002" t="s">
        <v>21</v>
      </c>
      <c r="H1002" t="s">
        <v>2998</v>
      </c>
    </row>
    <row r="1003" spans="1:8" x14ac:dyDescent="0.25">
      <c r="A1003" t="s">
        <v>2999</v>
      </c>
      <c r="B1003" t="s">
        <v>3000</v>
      </c>
      <c r="C1003" s="1">
        <v>46035.186226851853</v>
      </c>
      <c r="D1003">
        <v>2225.9499999999998</v>
      </c>
      <c r="E1003" t="s">
        <v>25</v>
      </c>
      <c r="F1003" t="s">
        <v>20</v>
      </c>
      <c r="G1003" t="s">
        <v>26</v>
      </c>
      <c r="H1003" t="s">
        <v>3001</v>
      </c>
    </row>
    <row r="1004" spans="1:8" x14ac:dyDescent="0.25">
      <c r="A1004" t="s">
        <v>3002</v>
      </c>
      <c r="B1004" t="s">
        <v>3003</v>
      </c>
      <c r="C1004" s="1">
        <v>46035.259085648147</v>
      </c>
      <c r="D1004">
        <v>969.94</v>
      </c>
      <c r="E1004" t="s">
        <v>25</v>
      </c>
      <c r="F1004" t="s">
        <v>20</v>
      </c>
      <c r="G1004" t="s">
        <v>30</v>
      </c>
      <c r="H1004" t="s">
        <v>3004</v>
      </c>
    </row>
    <row r="1005" spans="1:8" x14ac:dyDescent="0.25">
      <c r="A1005" t="s">
        <v>3005</v>
      </c>
      <c r="B1005" t="s">
        <v>3006</v>
      </c>
      <c r="C1005" s="1">
        <v>46036.35601851852</v>
      </c>
      <c r="D1005">
        <v>548.24</v>
      </c>
      <c r="E1005" t="s">
        <v>25</v>
      </c>
      <c r="F1005" t="s">
        <v>20</v>
      </c>
      <c r="G1005" t="s">
        <v>21</v>
      </c>
      <c r="H1005" t="s">
        <v>3007</v>
      </c>
    </row>
    <row r="1006" spans="1:8" x14ac:dyDescent="0.25">
      <c r="A1006" t="s">
        <v>3008</v>
      </c>
      <c r="B1006" t="s">
        <v>3009</v>
      </c>
      <c r="C1006" s="1">
        <v>46023.435717592591</v>
      </c>
      <c r="D1006">
        <v>1906.98</v>
      </c>
      <c r="E1006" t="s">
        <v>25</v>
      </c>
      <c r="F1006" t="s">
        <v>429</v>
      </c>
      <c r="G1006" t="s">
        <v>26</v>
      </c>
      <c r="H1006" t="s">
        <v>3010</v>
      </c>
    </row>
    <row r="1007" spans="1:8" x14ac:dyDescent="0.25">
      <c r="A1007" t="s">
        <v>3011</v>
      </c>
      <c r="B1007" t="s">
        <v>3012</v>
      </c>
      <c r="C1007" s="1">
        <v>46024.536238425928</v>
      </c>
      <c r="D1007">
        <v>1177.99</v>
      </c>
      <c r="E1007" t="s">
        <v>25</v>
      </c>
      <c r="F1007" t="s">
        <v>20</v>
      </c>
      <c r="G1007" t="s">
        <v>30</v>
      </c>
      <c r="H1007" t="s">
        <v>3013</v>
      </c>
    </row>
    <row r="1008" spans="1:8" x14ac:dyDescent="0.25">
      <c r="A1008" t="s">
        <v>3014</v>
      </c>
      <c r="B1008" t="s">
        <v>3015</v>
      </c>
      <c r="C1008" s="1">
        <v>46025.612233796295</v>
      </c>
      <c r="D1008">
        <v>1860.07</v>
      </c>
      <c r="E1008" t="s">
        <v>25</v>
      </c>
      <c r="F1008" t="s">
        <v>20</v>
      </c>
      <c r="G1008" t="s">
        <v>21</v>
      </c>
      <c r="H1008" t="s">
        <v>3016</v>
      </c>
    </row>
    <row r="1009" spans="1:8" x14ac:dyDescent="0.25">
      <c r="A1009" t="s">
        <v>3017</v>
      </c>
      <c r="B1009" t="s">
        <v>3018</v>
      </c>
      <c r="C1009" s="1">
        <v>46026.741423611114</v>
      </c>
      <c r="D1009">
        <v>1051.23</v>
      </c>
      <c r="E1009" t="s">
        <v>25</v>
      </c>
      <c r="F1009" t="s">
        <v>20</v>
      </c>
      <c r="G1009" t="s">
        <v>26</v>
      </c>
      <c r="H1009" t="s">
        <v>3019</v>
      </c>
    </row>
    <row r="1010" spans="1:8" x14ac:dyDescent="0.25">
      <c r="A1010" t="s">
        <v>3020</v>
      </c>
      <c r="B1010" t="s">
        <v>3021</v>
      </c>
      <c r="C1010" s="1">
        <v>46027.801458333335</v>
      </c>
      <c r="D1010">
        <v>2350.64</v>
      </c>
      <c r="E1010" t="s">
        <v>25</v>
      </c>
      <c r="F1010" t="s">
        <v>20</v>
      </c>
      <c r="G1010" t="s">
        <v>30</v>
      </c>
      <c r="H1010" t="s">
        <v>3022</v>
      </c>
    </row>
    <row r="1011" spans="1:8" x14ac:dyDescent="0.25">
      <c r="A1011" t="s">
        <v>3023</v>
      </c>
      <c r="B1011" t="s">
        <v>3024</v>
      </c>
      <c r="C1011" s="1">
        <v>46028.914803240739</v>
      </c>
      <c r="D1011">
        <v>1943.93</v>
      </c>
      <c r="E1011" t="s">
        <v>52</v>
      </c>
      <c r="F1011" t="s">
        <v>20</v>
      </c>
      <c r="G1011" t="s">
        <v>21</v>
      </c>
      <c r="H1011" t="s">
        <v>3025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AE04-ECEB-43FD-B388-5325BAC4E4B9}">
  <dimension ref="A1:D8"/>
  <sheetViews>
    <sheetView zoomScale="71" workbookViewId="0">
      <selection activeCell="D15" sqref="D15"/>
    </sheetView>
  </sheetViews>
  <sheetFormatPr defaultColWidth="48.42578125" defaultRowHeight="15" x14ac:dyDescent="0.25"/>
  <cols>
    <col min="2" max="2" width="9.7109375" customWidth="1"/>
    <col min="3" max="3" width="9" customWidth="1"/>
  </cols>
  <sheetData>
    <row r="1" spans="1:4" ht="36" x14ac:dyDescent="0.25">
      <c r="A1" s="11" t="s">
        <v>0</v>
      </c>
      <c r="B1" s="11"/>
      <c r="C1" s="11"/>
      <c r="D1" s="11"/>
    </row>
    <row r="2" spans="1:4" ht="15.75" thickBot="1" x14ac:dyDescent="0.3"/>
    <row r="3" spans="1:4" ht="31.5" x14ac:dyDescent="0.25">
      <c r="A3" s="30" t="s">
        <v>1</v>
      </c>
      <c r="D3" s="30" t="s">
        <v>3</v>
      </c>
    </row>
    <row r="4" spans="1:4" ht="63.75" thickBot="1" x14ac:dyDescent="0.3">
      <c r="A4" s="31" t="s">
        <v>2</v>
      </c>
      <c r="D4" s="31" t="s">
        <v>4</v>
      </c>
    </row>
    <row r="6" spans="1:4" ht="15.75" thickBot="1" x14ac:dyDescent="0.3"/>
    <row r="7" spans="1:4" ht="31.5" x14ac:dyDescent="0.25">
      <c r="A7" s="30" t="s">
        <v>5</v>
      </c>
      <c r="D7" s="30" t="s">
        <v>7</v>
      </c>
    </row>
    <row r="8" spans="1:4" ht="42.75" thickBot="1" x14ac:dyDescent="0.3">
      <c r="A8" s="31" t="s">
        <v>6</v>
      </c>
      <c r="D8" s="31" t="s">
        <v>8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8482-D007-4E4D-9720-A2D62CD36E01}">
  <dimension ref="A1:E7"/>
  <sheetViews>
    <sheetView showGridLines="0" workbookViewId="0">
      <selection activeCell="A4" sqref="A4"/>
    </sheetView>
  </sheetViews>
  <sheetFormatPr defaultRowHeight="15" x14ac:dyDescent="0.25"/>
  <cols>
    <col min="1" max="1" width="21.140625" customWidth="1"/>
    <col min="2" max="2" width="33.7109375" bestFit="1" customWidth="1"/>
    <col min="3" max="3" width="27.140625" customWidth="1"/>
  </cols>
  <sheetData>
    <row r="1" spans="1:5" ht="36" x14ac:dyDescent="0.25">
      <c r="A1" s="11" t="s">
        <v>4968</v>
      </c>
      <c r="B1" s="29"/>
      <c r="C1" s="29"/>
      <c r="D1" s="29"/>
      <c r="E1" s="29"/>
    </row>
    <row r="2" spans="1:5" x14ac:dyDescent="0.25">
      <c r="A2" s="2"/>
      <c r="B2" s="2"/>
    </row>
    <row r="3" spans="1:5" ht="27" thickBot="1" x14ac:dyDescent="0.3">
      <c r="B3" s="32" t="s">
        <v>5037</v>
      </c>
      <c r="C3" s="33" t="s">
        <v>5038</v>
      </c>
      <c r="D3" s="28"/>
      <c r="E3" s="28"/>
    </row>
    <row r="4" spans="1:5" ht="93.75" x14ac:dyDescent="0.25">
      <c r="B4" s="34" t="s">
        <v>4969</v>
      </c>
      <c r="C4" s="35" t="s">
        <v>4970</v>
      </c>
    </row>
    <row r="5" spans="1:5" ht="21" x14ac:dyDescent="0.25">
      <c r="B5" s="36" t="s">
        <v>4971</v>
      </c>
      <c r="C5" s="37">
        <f>ROWS(Internal_Transactions[internal_payment_id])</f>
        <v>1010</v>
      </c>
    </row>
    <row r="6" spans="1:5" ht="21" x14ac:dyDescent="0.25">
      <c r="B6" s="36" t="s">
        <v>4972</v>
      </c>
      <c r="C6" s="37">
        <f>ROWS(Processor_Transactions[processor_transaction_id])</f>
        <v>1075</v>
      </c>
    </row>
    <row r="7" spans="1:5" ht="21" x14ac:dyDescent="0.25">
      <c r="B7" s="38" t="s">
        <v>4973</v>
      </c>
      <c r="C7" s="39">
        <f>ROWS(Bank_Settlements[bank_entry_id])</f>
        <v>219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C17B-48B5-4806-8668-5A51DAA48442}">
  <dimension ref="A1:X17"/>
  <sheetViews>
    <sheetView zoomScale="90" workbookViewId="0">
      <selection activeCell="C15" sqref="C15"/>
    </sheetView>
  </sheetViews>
  <sheetFormatPr defaultRowHeight="15" x14ac:dyDescent="0.25"/>
  <cols>
    <col min="1" max="1" width="16.85546875" customWidth="1"/>
    <col min="2" max="2" width="22.5703125" customWidth="1"/>
    <col min="3" max="3" width="26.7109375" customWidth="1"/>
    <col min="4" max="4" width="22.140625" customWidth="1"/>
    <col min="5" max="5" width="19.7109375" customWidth="1"/>
    <col min="6" max="6" width="15.28515625" customWidth="1"/>
    <col min="7" max="7" width="25.140625" customWidth="1"/>
    <col min="8" max="8" width="26.140625" customWidth="1"/>
    <col min="9" max="9" width="21.28515625" customWidth="1"/>
  </cols>
  <sheetData>
    <row r="1" spans="1:24" ht="45.75" customHeight="1" x14ac:dyDescent="0.25">
      <c r="A1" s="11" t="s">
        <v>5010</v>
      </c>
      <c r="B1" s="12"/>
      <c r="C1" s="12"/>
      <c r="D1" s="12"/>
      <c r="E1" s="12"/>
      <c r="F1" s="12"/>
      <c r="G1" s="12"/>
      <c r="H1" s="12"/>
      <c r="I1" s="12"/>
    </row>
    <row r="2" spans="1:24" ht="26.25" x14ac:dyDescent="0.25">
      <c r="A2" s="13" t="s">
        <v>5030</v>
      </c>
      <c r="B2" s="13"/>
      <c r="C2" s="13"/>
      <c r="D2" s="13"/>
      <c r="E2" s="13"/>
      <c r="F2" s="13"/>
      <c r="G2" s="13"/>
      <c r="H2" s="13"/>
      <c r="I2" s="13"/>
    </row>
    <row r="3" spans="1:24" ht="15.75" x14ac:dyDescent="0.25">
      <c r="A3" s="14" t="s">
        <v>5031</v>
      </c>
      <c r="B3" s="14"/>
      <c r="C3" s="14"/>
      <c r="D3" s="14"/>
      <c r="E3" s="14"/>
      <c r="F3" s="14"/>
      <c r="G3" s="14"/>
      <c r="H3" s="14"/>
      <c r="I3" s="14"/>
    </row>
    <row r="5" spans="1:24" x14ac:dyDescent="0.25">
      <c r="A5" s="40" t="s">
        <v>5011</v>
      </c>
      <c r="B5" s="40" t="s">
        <v>5005</v>
      </c>
      <c r="C5" s="40" t="s">
        <v>5012</v>
      </c>
      <c r="D5" s="40" t="s">
        <v>5013</v>
      </c>
      <c r="E5" s="40" t="s">
        <v>5014</v>
      </c>
      <c r="F5" s="40" t="s">
        <v>5015</v>
      </c>
      <c r="G5" s="40" t="s">
        <v>5016</v>
      </c>
      <c r="H5" s="40" t="s">
        <v>5017</v>
      </c>
      <c r="I5" s="40" t="s">
        <v>5018</v>
      </c>
    </row>
    <row r="6" spans="1:24" ht="30" x14ac:dyDescent="0.25">
      <c r="A6" s="41" t="s">
        <v>5019</v>
      </c>
      <c r="B6" s="41" t="s">
        <v>4991</v>
      </c>
      <c r="C6" s="20" t="s">
        <v>91</v>
      </c>
      <c r="D6" s="20">
        <v>1437.16</v>
      </c>
      <c r="E6" s="20">
        <v>-718.58</v>
      </c>
      <c r="F6" s="41" t="s">
        <v>25</v>
      </c>
      <c r="G6" s="41" t="s">
        <v>5020</v>
      </c>
      <c r="H6" s="41" t="s">
        <v>5021</v>
      </c>
      <c r="I6" s="41" t="s">
        <v>5022</v>
      </c>
    </row>
    <row r="7" spans="1:24" ht="30" x14ac:dyDescent="0.25">
      <c r="A7" s="41" t="s">
        <v>5023</v>
      </c>
      <c r="B7" s="41" t="s">
        <v>4993</v>
      </c>
      <c r="C7" s="20" t="s">
        <v>116</v>
      </c>
      <c r="D7" s="42" t="s">
        <v>5039</v>
      </c>
      <c r="E7" s="41" t="s">
        <v>25</v>
      </c>
      <c r="F7" s="41" t="s">
        <v>19</v>
      </c>
      <c r="G7" s="41" t="s">
        <v>5020</v>
      </c>
      <c r="H7" s="41" t="s">
        <v>5024</v>
      </c>
      <c r="I7" s="41" t="s">
        <v>5022</v>
      </c>
    </row>
    <row r="8" spans="1:24" ht="30" x14ac:dyDescent="0.25">
      <c r="A8" s="41" t="s">
        <v>5025</v>
      </c>
      <c r="B8" s="41" t="s">
        <v>4988</v>
      </c>
      <c r="C8" s="21" t="s">
        <v>3184</v>
      </c>
      <c r="D8" s="20">
        <v>767.13</v>
      </c>
      <c r="E8" s="41" t="s">
        <v>5040</v>
      </c>
      <c r="F8" s="41" t="s">
        <v>52</v>
      </c>
      <c r="G8" s="41" t="s">
        <v>5020</v>
      </c>
      <c r="H8" s="41" t="s">
        <v>5041</v>
      </c>
      <c r="I8" s="41" t="s">
        <v>5022</v>
      </c>
    </row>
    <row r="9" spans="1:24" ht="30" x14ac:dyDescent="0.25">
      <c r="A9" s="41" t="s">
        <v>5026</v>
      </c>
      <c r="B9" s="41" t="s">
        <v>4987</v>
      </c>
      <c r="C9" s="41" t="s">
        <v>3369</v>
      </c>
      <c r="D9" s="41">
        <v>1860.63</v>
      </c>
      <c r="E9" s="41">
        <v>1862.63</v>
      </c>
      <c r="F9" s="41" t="s">
        <v>25</v>
      </c>
      <c r="G9" s="41" t="s">
        <v>5020</v>
      </c>
      <c r="H9" s="41" t="s">
        <v>5027</v>
      </c>
      <c r="I9" s="41" t="s">
        <v>5022</v>
      </c>
    </row>
    <row r="10" spans="1:24" ht="30" x14ac:dyDescent="0.25">
      <c r="A10" s="41" t="s">
        <v>5028</v>
      </c>
      <c r="B10" s="41" t="s">
        <v>5042</v>
      </c>
      <c r="C10" s="41" t="s">
        <v>4320</v>
      </c>
      <c r="D10" s="43" t="s">
        <v>5043</v>
      </c>
      <c r="E10" s="43" t="s">
        <v>5043</v>
      </c>
      <c r="F10" s="41" t="s">
        <v>25</v>
      </c>
      <c r="G10" s="41" t="s">
        <v>5020</v>
      </c>
      <c r="H10" s="41" t="s">
        <v>5029</v>
      </c>
      <c r="I10" s="41" t="s">
        <v>5022</v>
      </c>
    </row>
    <row r="13" spans="1:24" x14ac:dyDescent="0.25">
      <c r="A13" s="9" t="s">
        <v>5032</v>
      </c>
      <c r="B13" s="10" t="s">
        <v>5006</v>
      </c>
      <c r="C13" s="22"/>
      <c r="D13" s="23"/>
      <c r="E13" s="24"/>
      <c r="F13" s="24"/>
      <c r="G13" s="24"/>
      <c r="H13" s="24"/>
      <c r="I13" s="24"/>
      <c r="J13" s="24"/>
      <c r="K13" s="24"/>
      <c r="L13" s="25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5"/>
      <c r="X13" s="22"/>
    </row>
    <row r="14" spans="1:24" ht="30" x14ac:dyDescent="0.25">
      <c r="A14" s="5" t="s">
        <v>5033</v>
      </c>
      <c r="B14" s="6">
        <f>COUNTA(A6:A1000)</f>
        <v>10</v>
      </c>
      <c r="C14" s="22"/>
      <c r="D14" s="22"/>
      <c r="E14" s="20"/>
      <c r="F14" s="20"/>
      <c r="G14" s="20"/>
      <c r="H14" s="22"/>
      <c r="I14" s="20"/>
      <c r="J14" s="20"/>
      <c r="K14" s="20"/>
      <c r="L14" s="26"/>
      <c r="M14" s="20"/>
      <c r="N14" s="27"/>
      <c r="O14" s="20"/>
      <c r="P14" s="20"/>
      <c r="Q14" s="20"/>
      <c r="R14" s="20"/>
      <c r="S14" s="20"/>
      <c r="T14" s="20"/>
      <c r="U14" s="20"/>
      <c r="V14" s="20"/>
      <c r="W14" s="26"/>
      <c r="X14" s="22"/>
    </row>
    <row r="15" spans="1:24" ht="30" x14ac:dyDescent="0.25">
      <c r="A15" s="5" t="s">
        <v>5034</v>
      </c>
      <c r="B15" s="6">
        <f>COUNTIF(G6:G1000,"Open")</f>
        <v>5</v>
      </c>
    </row>
    <row r="16" spans="1:24" x14ac:dyDescent="0.25">
      <c r="A16" s="5" t="s">
        <v>5035</v>
      </c>
      <c r="B16" s="6">
        <f>COUNTIF(G6:G1000,"Under Review")</f>
        <v>0</v>
      </c>
    </row>
    <row r="17" spans="1:2" ht="30" x14ac:dyDescent="0.25">
      <c r="A17" s="7" t="s">
        <v>5036</v>
      </c>
      <c r="B17" s="8">
        <f>COUNTIF(G6:G1000,"Resolved")</f>
        <v>0</v>
      </c>
    </row>
  </sheetData>
  <mergeCells count="3">
    <mergeCell ref="A1:I1"/>
    <mergeCell ref="A2:I2"/>
    <mergeCell ref="A3:I3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5546-EB20-4BA0-B7A8-935A5950BC36}">
  <dimension ref="A1:Q25"/>
  <sheetViews>
    <sheetView showGridLines="0" tabSelected="1" zoomScale="28" zoomScaleNormal="31" workbookViewId="0">
      <selection activeCell="O9" sqref="O9"/>
    </sheetView>
  </sheetViews>
  <sheetFormatPr defaultRowHeight="15" x14ac:dyDescent="0.25"/>
  <cols>
    <col min="1" max="1" width="52.85546875" bestFit="1" customWidth="1"/>
    <col min="2" max="2" width="12" customWidth="1"/>
    <col min="3" max="3" width="45.7109375" bestFit="1" customWidth="1"/>
    <col min="4" max="4" width="15.28515625" customWidth="1"/>
    <col min="5" max="5" width="41" bestFit="1" customWidth="1"/>
    <col min="7" max="7" width="43.85546875" customWidth="1"/>
    <col min="11" max="11" width="48.42578125" customWidth="1"/>
    <col min="12" max="12" width="57.42578125" customWidth="1"/>
    <col min="13" max="13" width="57.7109375" customWidth="1"/>
    <col min="14" max="14" width="54.85546875" bestFit="1" customWidth="1"/>
    <col min="15" max="15" width="61.7109375" bestFit="1" customWidth="1"/>
  </cols>
  <sheetData>
    <row r="1" spans="1:17" ht="63.75" x14ac:dyDescent="0.25">
      <c r="A1" s="15" t="s">
        <v>4995</v>
      </c>
      <c r="B1" s="15"/>
      <c r="C1" s="15"/>
      <c r="D1" s="15"/>
      <c r="E1" s="15"/>
      <c r="F1" s="15"/>
      <c r="G1" s="15"/>
    </row>
    <row r="2" spans="1:17" ht="41.25" customHeight="1" x14ac:dyDescent="0.4">
      <c r="A2" s="16" t="s">
        <v>4996</v>
      </c>
      <c r="B2" s="16"/>
      <c r="C2" s="16"/>
      <c r="D2" s="16"/>
      <c r="E2" s="16"/>
      <c r="F2" s="16"/>
      <c r="G2" s="16"/>
      <c r="K2" s="63" t="s">
        <v>5005</v>
      </c>
      <c r="L2" s="64" t="s">
        <v>5006</v>
      </c>
      <c r="M2" s="63" t="s">
        <v>5007</v>
      </c>
      <c r="N2" s="64" t="s">
        <v>5008</v>
      </c>
    </row>
    <row r="3" spans="1:17" ht="24" x14ac:dyDescent="0.4">
      <c r="K3" s="65" t="s">
        <v>4999</v>
      </c>
      <c r="L3" s="66">
        <f>L15</f>
        <v>60</v>
      </c>
      <c r="M3" s="65" t="s">
        <v>4977</v>
      </c>
      <c r="N3" s="66">
        <f>COUNTIF(tblBankRecon[Settlement_Status],M3)</f>
        <v>157</v>
      </c>
    </row>
    <row r="4" spans="1:17" ht="44.25" customHeight="1" x14ac:dyDescent="0.4">
      <c r="A4" s="17" t="s">
        <v>5009</v>
      </c>
      <c r="B4" s="18"/>
      <c r="C4" s="18"/>
      <c r="D4" s="18"/>
      <c r="E4" s="18"/>
      <c r="F4" s="18"/>
      <c r="G4" s="18"/>
      <c r="K4" s="65" t="s">
        <v>5000</v>
      </c>
      <c r="L4" s="66">
        <f>N15</f>
        <v>10</v>
      </c>
      <c r="M4" s="65" t="s">
        <v>4988</v>
      </c>
      <c r="N4" s="66">
        <f>COUNTIF(tblBankRecon[Settlement_Status],M4)</f>
        <v>25</v>
      </c>
    </row>
    <row r="5" spans="1:17" ht="47.25" customHeight="1" x14ac:dyDescent="0.4">
      <c r="A5" s="18"/>
      <c r="B5" s="18"/>
      <c r="C5" s="18"/>
      <c r="D5" s="18"/>
      <c r="E5" s="18"/>
      <c r="F5" s="18"/>
      <c r="G5" s="18"/>
      <c r="K5" s="67" t="s">
        <v>5002</v>
      </c>
      <c r="L5" s="66">
        <f>K11</f>
        <v>25</v>
      </c>
      <c r="M5" s="68" t="s">
        <v>4987</v>
      </c>
      <c r="N5" s="69">
        <f>COUNTIF(tblBankRecon[Settlement_Status],M5)</f>
        <v>37</v>
      </c>
    </row>
    <row r="6" spans="1:17" ht="41.25" customHeight="1" x14ac:dyDescent="0.4">
      <c r="B6" s="4"/>
      <c r="K6" s="67" t="s">
        <v>5003</v>
      </c>
      <c r="L6" s="66">
        <f>L11</f>
        <v>37</v>
      </c>
      <c r="M6" s="70"/>
      <c r="N6" s="70"/>
    </row>
    <row r="7" spans="1:17" ht="24" x14ac:dyDescent="0.4">
      <c r="A7" s="3"/>
      <c r="B7" s="3"/>
      <c r="C7" s="3"/>
      <c r="D7" s="3"/>
      <c r="E7" s="3"/>
      <c r="F7" s="3"/>
      <c r="G7" s="3"/>
      <c r="K7" s="71" t="s">
        <v>5004</v>
      </c>
      <c r="L7" s="72">
        <f>M11</f>
        <v>5</v>
      </c>
      <c r="M7" s="70"/>
      <c r="N7" s="70"/>
    </row>
    <row r="8" spans="1:17" ht="21.75" thickBot="1" x14ac:dyDescent="0.4">
      <c r="A8" s="3"/>
      <c r="B8" s="3"/>
      <c r="C8" s="3"/>
      <c r="D8" s="3"/>
      <c r="E8" s="3"/>
      <c r="F8" s="3"/>
      <c r="G8" s="3"/>
    </row>
    <row r="9" spans="1:17" ht="48.75" customHeight="1" thickBot="1" x14ac:dyDescent="0.35">
      <c r="K9" s="52" t="s">
        <v>5001</v>
      </c>
    </row>
    <row r="10" spans="1:17" ht="31.5" customHeight="1" x14ac:dyDescent="0.25">
      <c r="K10" s="45" t="s">
        <v>5002</v>
      </c>
      <c r="L10" s="62" t="s">
        <v>5003</v>
      </c>
      <c r="M10" s="46" t="s">
        <v>5004</v>
      </c>
      <c r="N10" s="47" t="s">
        <v>4997</v>
      </c>
    </row>
    <row r="11" spans="1:17" ht="45.75" customHeight="1" thickBot="1" x14ac:dyDescent="0.3">
      <c r="K11" s="48">
        <f>COUNTIF(tblBankRecon[Settlement_Status],"Missing in Bank")</f>
        <v>25</v>
      </c>
      <c r="L11" s="49">
        <f>COUNTIF(tblBankRecon[Settlement_Status],"Settlement Amount Mismatch")</f>
        <v>37</v>
      </c>
      <c r="M11" s="50">
        <f>COUNTIF(tblDataQuality[Invalid_Gross_Amount],TRUE)</f>
        <v>5</v>
      </c>
      <c r="N11" s="51">
        <f>ROWS(tblRecon[internal_payment_id])</f>
        <v>1080</v>
      </c>
    </row>
    <row r="12" spans="1:17" ht="36.75" customHeight="1" thickBot="1" x14ac:dyDescent="0.35">
      <c r="A12" s="17" t="s">
        <v>5001</v>
      </c>
      <c r="B12" s="19"/>
      <c r="C12" s="19"/>
      <c r="D12" s="19"/>
      <c r="E12" s="19"/>
      <c r="F12" s="19"/>
      <c r="G12" s="19"/>
      <c r="L12" s="53"/>
      <c r="M12" s="53"/>
      <c r="N12" s="53"/>
      <c r="O12" s="53"/>
      <c r="P12" s="53"/>
      <c r="Q12" s="53"/>
    </row>
    <row r="13" spans="1:17" ht="26.25" customHeight="1" thickBot="1" x14ac:dyDescent="0.35">
      <c r="A13" s="19"/>
      <c r="B13" s="19"/>
      <c r="C13" s="19"/>
      <c r="D13" s="19"/>
      <c r="E13" s="19"/>
      <c r="F13" s="19"/>
      <c r="G13" s="19"/>
      <c r="K13" s="52" t="s">
        <v>5001</v>
      </c>
      <c r="L13" s="53"/>
      <c r="M13" s="53"/>
      <c r="N13" s="53"/>
      <c r="O13" s="53"/>
      <c r="P13" s="53"/>
      <c r="Q13" s="53"/>
    </row>
    <row r="14" spans="1:17" ht="21" x14ac:dyDescent="0.25">
      <c r="K14" s="54" t="s">
        <v>4998</v>
      </c>
      <c r="L14" s="55" t="s">
        <v>4999</v>
      </c>
      <c r="M14" s="56" t="s">
        <v>4977</v>
      </c>
      <c r="N14" s="57" t="s">
        <v>5000</v>
      </c>
    </row>
    <row r="15" spans="1:17" ht="21.75" thickBot="1" x14ac:dyDescent="0.3">
      <c r="K15" s="58">
        <f>IFERROR(COUNTIF(tblRecon[Processor_Match],"Matched")/COUNTA(tblRecon[internal_payment_id]),0)</f>
        <v>0.98148148148148151</v>
      </c>
      <c r="L15" s="59">
        <f>COUNTIF(tblRecon[Amount_Match],"Amount Mismatch")</f>
        <v>60</v>
      </c>
      <c r="M15" s="60">
        <v>157</v>
      </c>
      <c r="N15" s="61">
        <f>COUNTIF(tblRecon[Currency_Match],"Currency Mismatch")</f>
        <v>10</v>
      </c>
    </row>
    <row r="23" spans="11:17" ht="21" x14ac:dyDescent="0.25">
      <c r="K23" s="44"/>
      <c r="L23" s="44"/>
      <c r="M23" s="44"/>
      <c r="N23" s="44"/>
      <c r="O23" s="44"/>
      <c r="P23" s="44"/>
      <c r="Q23" s="44"/>
    </row>
    <row r="24" spans="11:17" ht="21" x14ac:dyDescent="0.35">
      <c r="P24" s="3"/>
    </row>
    <row r="25" spans="11:17" ht="21" x14ac:dyDescent="0.35">
      <c r="P25" s="3"/>
    </row>
  </sheetData>
  <mergeCells count="4">
    <mergeCell ref="A1:G1"/>
    <mergeCell ref="A2:G2"/>
    <mergeCell ref="A4:G5"/>
    <mergeCell ref="A12:G13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5A26B4-5826-4E3C-B9D2-0E93906D89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Processor_Transactions</vt:lpstr>
      <vt:lpstr>Bank__Data</vt:lpstr>
      <vt:lpstr>Data_Quality_Exceptions</vt:lpstr>
      <vt:lpstr>Transaction_Exceptions</vt:lpstr>
      <vt:lpstr>Currency_Exceptions</vt:lpstr>
      <vt:lpstr>Amount_Exceptions</vt:lpstr>
      <vt:lpstr>Settlement_Exceptions</vt:lpstr>
      <vt:lpstr>Processor_Bank_Reconciliation</vt:lpstr>
      <vt:lpstr>Bank_Batch_Summary</vt:lpstr>
      <vt:lpstr>Processor_Batch_Summary</vt:lpstr>
      <vt:lpstr>Recon_Internal_Processor</vt:lpstr>
      <vt:lpstr>Internal__Data</vt:lpstr>
      <vt:lpstr>Project_Overview</vt:lpstr>
      <vt:lpstr>Reconciliation</vt:lpstr>
      <vt:lpstr>Exception_Log</vt:lpstr>
      <vt:lpstr>KPI_Dashboard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S0213210</dc:creator>
  <cp:lastModifiedBy>S0213210</cp:lastModifiedBy>
  <dcterms:created xsi:type="dcterms:W3CDTF">2026-10-23T13:36:24Z</dcterms:created>
  <dcterms:modified xsi:type="dcterms:W3CDTF">2026-10-25T19:01:02Z</dcterms:modified>
</cp:coreProperties>
</file>